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fileSharing userName="Banco03" algorithmName="SHA-512" hashValue="H4aBHRCkfby/HysZnHBCLHQJ8bUSU6zzv6hvUmjKiENGHKiSy5FYKo1YDT7ZM8odqigr7K8XJAqHop2Fk/ylBw==" saltValue="3NSkp7s96ZM72PuQS++nWg==" spinCount="10000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2025\9-SEPTIEMBRE\20.09\"/>
    </mc:Choice>
  </mc:AlternateContent>
  <xr:revisionPtr revIDLastSave="0" documentId="14_{7DE759FF-912F-4E7C-86AA-C42E9539D92D}" xr6:coauthVersionLast="47" xr6:coauthVersionMax="47" xr10:uidLastSave="{00000000-0000-0000-0000-000000000000}"/>
  <bookViews>
    <workbookView xWindow="-108" yWindow="-108" windowWidth="23256" windowHeight="13896" tabRatio="753" xr2:uid="{00000000-000D-0000-FFFF-FFFF00000000}"/>
  </bookViews>
  <sheets>
    <sheet name="ERROR FINAL" sheetId="27" r:id="rId1"/>
    <sheet name="Hoja1" sheetId="28" r:id="rId2"/>
    <sheet name="Hoja2 (2)" sheetId="30" r:id="rId3"/>
    <sheet name="Hoja2" sheetId="29" r:id="rId4"/>
  </sheets>
  <definedNames>
    <definedName name="_xlnm._FilterDatabase" localSheetId="0" hidden="1">'ERROR FINAL'!$A$8:$BL$309</definedName>
    <definedName name="_xlnm._FilterDatabase" localSheetId="1" hidden="1">Hoja1!$B$3:$H$3</definedName>
    <definedName name="_xlnm._FilterDatabase" localSheetId="2" hidden="1">'Hoja2 (2)'!$A$3:$I$725</definedName>
    <definedName name="_xlnm.Print_Titles" localSheetId="3">Hoja2!$1:$5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55" i="27" l="1"/>
  <c r="V56" i="27" s="1"/>
  <c r="V57" i="27" s="1"/>
  <c r="V58" i="27" s="1"/>
  <c r="V59" i="27" s="1"/>
  <c r="V60" i="27" s="1"/>
  <c r="V61" i="27" s="1"/>
  <c r="V62" i="27" s="1"/>
  <c r="V63" i="27" s="1"/>
  <c r="V64" i="27" s="1"/>
  <c r="V65" i="27" s="1"/>
  <c r="V66" i="27" s="1"/>
  <c r="V67" i="27" s="1"/>
  <c r="V68" i="27" s="1"/>
  <c r="V69" i="27" s="1"/>
  <c r="V70" i="27" s="1"/>
  <c r="V71" i="27" s="1"/>
  <c r="V72" i="27" s="1"/>
  <c r="V73" i="27" s="1"/>
  <c r="V74" i="27" s="1"/>
  <c r="V75" i="27" s="1"/>
  <c r="V76" i="27" s="1"/>
  <c r="V77" i="27" s="1"/>
  <c r="V78" i="27" s="1"/>
  <c r="V79" i="27" s="1"/>
  <c r="V80" i="27" s="1"/>
  <c r="V81" i="27" s="1"/>
  <c r="V82" i="27" s="1"/>
  <c r="V83" i="27" s="1"/>
  <c r="V84" i="27" s="1"/>
  <c r="V85" i="27" s="1"/>
  <c r="V86" i="27" s="1"/>
  <c r="V87" i="27" s="1"/>
  <c r="V88" i="27" s="1"/>
  <c r="V89" i="27" s="1"/>
  <c r="V90" i="27" s="1"/>
  <c r="V91" i="27" s="1"/>
  <c r="V92" i="27" s="1"/>
  <c r="V93" i="27" s="1"/>
  <c r="V94" i="27" s="1"/>
  <c r="V95" i="27" s="1"/>
  <c r="V96" i="27" s="1"/>
  <c r="V97" i="27" s="1"/>
  <c r="V98" i="27" s="1"/>
  <c r="V99" i="27" s="1"/>
  <c r="V100" i="27" s="1"/>
  <c r="V101" i="27" s="1"/>
  <c r="V102" i="27" s="1"/>
  <c r="V103" i="27" s="1"/>
  <c r="V104" i="27" s="1"/>
  <c r="V105" i="27" s="1"/>
  <c r="V106" i="27" s="1"/>
  <c r="V107" i="27" s="1"/>
  <c r="V108" i="27" s="1"/>
  <c r="V109" i="27" s="1"/>
  <c r="V110" i="27" s="1"/>
  <c r="V111" i="27" s="1"/>
  <c r="V112" i="27" s="1"/>
  <c r="V113" i="27" s="1"/>
  <c r="V114" i="27" s="1"/>
  <c r="V115" i="27" s="1"/>
  <c r="V116" i="27" s="1"/>
  <c r="V117" i="27" s="1"/>
  <c r="V118" i="27" s="1"/>
  <c r="V119" i="27" s="1"/>
  <c r="V120" i="27" s="1"/>
  <c r="V121" i="27" s="1"/>
  <c r="V122" i="27" s="1"/>
  <c r="V123" i="27" s="1"/>
  <c r="V124" i="27" s="1"/>
  <c r="V125" i="27" s="1"/>
  <c r="V126" i="27" s="1"/>
  <c r="V127" i="27" s="1"/>
  <c r="V128" i="27" s="1"/>
  <c r="V129" i="27" s="1"/>
  <c r="V130" i="27" s="1"/>
  <c r="V131" i="27" s="1"/>
  <c r="V132" i="27" s="1"/>
  <c r="V133" i="27" s="1"/>
  <c r="V134" i="27" s="1"/>
  <c r="V135" i="27" s="1"/>
  <c r="V136" i="27" s="1"/>
  <c r="V137" i="27" s="1"/>
  <c r="V138" i="27" s="1"/>
  <c r="V139" i="27" s="1"/>
  <c r="V140" i="27" s="1"/>
  <c r="V141" i="27" s="1"/>
  <c r="V142" i="27" s="1"/>
  <c r="V143" i="27" s="1"/>
  <c r="V144" i="27" s="1"/>
  <c r="V145" i="27" s="1"/>
  <c r="V146" i="27" s="1"/>
  <c r="V147" i="27" s="1"/>
  <c r="V148" i="27" s="1"/>
  <c r="V149" i="27" s="1"/>
  <c r="V150" i="27" s="1"/>
  <c r="V151" i="27" s="1"/>
  <c r="V152" i="27" s="1"/>
  <c r="V153" i="27" s="1"/>
  <c r="V154" i="27" s="1"/>
  <c r="V155" i="27" s="1"/>
  <c r="V156" i="27" s="1"/>
  <c r="V157" i="27" s="1"/>
  <c r="V158" i="27" s="1"/>
  <c r="V159" i="27" s="1"/>
  <c r="V160" i="27" s="1"/>
  <c r="V161" i="27" s="1"/>
  <c r="V162" i="27" s="1"/>
  <c r="V163" i="27" s="1"/>
  <c r="V164" i="27" s="1"/>
  <c r="V165" i="27" s="1"/>
  <c r="V166" i="27" s="1"/>
  <c r="V167" i="27" s="1"/>
  <c r="V168" i="27" s="1"/>
  <c r="V169" i="27" s="1"/>
  <c r="V170" i="27" s="1"/>
  <c r="V171" i="27" s="1"/>
  <c r="V172" i="27" s="1"/>
  <c r="V173" i="27" s="1"/>
  <c r="V174" i="27" s="1"/>
  <c r="V175" i="27" s="1"/>
  <c r="V176" i="27" s="1"/>
  <c r="V177" i="27" s="1"/>
  <c r="V178" i="27" s="1"/>
  <c r="V179" i="27" s="1"/>
  <c r="V180" i="27" s="1"/>
  <c r="V181" i="27" s="1"/>
  <c r="V182" i="27" s="1"/>
  <c r="V183" i="27" s="1"/>
  <c r="V184" i="27" s="1"/>
  <c r="V185" i="27" s="1"/>
  <c r="V186" i="27" s="1"/>
  <c r="V187" i="27" s="1"/>
  <c r="V188" i="27" s="1"/>
  <c r="V189" i="27" s="1"/>
  <c r="V190" i="27" s="1"/>
  <c r="V191" i="27" s="1"/>
  <c r="V192" i="27" s="1"/>
  <c r="V193" i="27" s="1"/>
  <c r="V194" i="27" s="1"/>
  <c r="V195" i="27" s="1"/>
  <c r="V196" i="27" s="1"/>
  <c r="V197" i="27" s="1"/>
  <c r="V198" i="27" s="1"/>
  <c r="V199" i="27" s="1"/>
  <c r="V200" i="27" s="1"/>
  <c r="V201" i="27" s="1"/>
  <c r="V202" i="27" s="1"/>
  <c r="V203" i="27" s="1"/>
  <c r="V204" i="27" s="1"/>
  <c r="V205" i="27" s="1"/>
  <c r="V206" i="27" s="1"/>
  <c r="V207" i="27" s="1"/>
  <c r="V208" i="27" s="1"/>
  <c r="V209" i="27" s="1"/>
  <c r="V210" i="27" s="1"/>
  <c r="V211" i="27" s="1"/>
  <c r="V212" i="27" s="1"/>
  <c r="V213" i="27" s="1"/>
  <c r="V214" i="27" s="1"/>
  <c r="V215" i="27" s="1"/>
  <c r="V216" i="27" s="1"/>
  <c r="V217" i="27" s="1"/>
  <c r="V218" i="27" s="1"/>
  <c r="V219" i="27" s="1"/>
  <c r="V220" i="27" s="1"/>
  <c r="V221" i="27" s="1"/>
  <c r="V222" i="27" s="1"/>
  <c r="V223" i="27" s="1"/>
  <c r="V224" i="27" s="1"/>
  <c r="V225" i="27" s="1"/>
  <c r="V226" i="27" s="1"/>
  <c r="V227" i="27" s="1"/>
  <c r="V228" i="27" s="1"/>
  <c r="V229" i="27" s="1"/>
  <c r="V230" i="27" s="1"/>
  <c r="V231" i="27" s="1"/>
  <c r="V232" i="27" s="1"/>
  <c r="V233" i="27" s="1"/>
  <c r="V234" i="27" s="1"/>
  <c r="V235" i="27" s="1"/>
  <c r="V236" i="27" s="1"/>
  <c r="V237" i="27" s="1"/>
  <c r="V238" i="27" s="1"/>
  <c r="V239" i="27" s="1"/>
  <c r="V240" i="27" s="1"/>
  <c r="V241" i="27" s="1"/>
  <c r="V242" i="27" s="1"/>
  <c r="V243" i="27" s="1"/>
  <c r="V244" i="27" s="1"/>
  <c r="V245" i="27" s="1"/>
  <c r="V246" i="27" s="1"/>
  <c r="V247" i="27" s="1"/>
  <c r="V248" i="27" s="1"/>
  <c r="V249" i="27" s="1"/>
  <c r="V250" i="27" s="1"/>
  <c r="V251" i="27" s="1"/>
  <c r="V252" i="27" s="1"/>
  <c r="V253" i="27" s="1"/>
  <c r="V254" i="27" s="1"/>
  <c r="V255" i="27" s="1"/>
  <c r="V256" i="27" s="1"/>
  <c r="V257" i="27" s="1"/>
  <c r="V258" i="27" s="1"/>
  <c r="V259" i="27" s="1"/>
  <c r="V260" i="27" s="1"/>
  <c r="V261" i="27" s="1"/>
  <c r="V262" i="27" s="1"/>
  <c r="V263" i="27" s="1"/>
  <c r="V264" i="27" s="1"/>
  <c r="V265" i="27" s="1"/>
  <c r="V266" i="27" s="1"/>
  <c r="V267" i="27" s="1"/>
  <c r="V268" i="27" s="1"/>
  <c r="V269" i="27" s="1"/>
  <c r="V270" i="27" s="1"/>
  <c r="V271" i="27" s="1"/>
  <c r="V272" i="27" s="1"/>
  <c r="V273" i="27" s="1"/>
  <c r="V274" i="27" s="1"/>
  <c r="V275" i="27" s="1"/>
  <c r="V276" i="27" s="1"/>
  <c r="V277" i="27" s="1"/>
  <c r="V278" i="27" s="1"/>
  <c r="V279" i="27" s="1"/>
  <c r="V280" i="27" s="1"/>
  <c r="V281" i="27" s="1"/>
  <c r="V282" i="27" s="1"/>
  <c r="V283" i="27" s="1"/>
  <c r="V284" i="27" s="1"/>
  <c r="V285" i="27" s="1"/>
  <c r="V286" i="27" s="1"/>
  <c r="V287" i="27" s="1"/>
  <c r="V288" i="27" s="1"/>
  <c r="V289" i="27" s="1"/>
  <c r="V290" i="27" s="1"/>
  <c r="V291" i="27" s="1"/>
  <c r="V292" i="27" s="1"/>
  <c r="V293" i="27" s="1"/>
  <c r="V294" i="27" s="1"/>
  <c r="V295" i="27" s="1"/>
  <c r="V296" i="27" s="1"/>
  <c r="V297" i="27" s="1"/>
  <c r="V298" i="27" s="1"/>
  <c r="V299" i="27" s="1"/>
  <c r="V300" i="27" s="1"/>
  <c r="V301" i="27" s="1"/>
  <c r="V302" i="27" s="1"/>
  <c r="V303" i="27" s="1"/>
  <c r="V304" i="27" s="1"/>
  <c r="V305" i="27" s="1"/>
  <c r="V306" i="27" s="1"/>
  <c r="V307" i="27" s="1"/>
  <c r="V308" i="27" s="1"/>
  <c r="V309" i="27" s="1"/>
  <c r="O55" i="27"/>
  <c r="O56" i="27" s="1"/>
  <c r="O57" i="27" s="1"/>
  <c r="O58" i="27" s="1"/>
  <c r="O59" i="27" s="1"/>
  <c r="O60" i="27" s="1"/>
  <c r="O61" i="27" s="1"/>
  <c r="O62" i="27" s="1"/>
  <c r="O63" i="27" s="1"/>
  <c r="O64" i="27" s="1"/>
  <c r="O65" i="27" s="1"/>
  <c r="O66" i="27" s="1"/>
  <c r="O67" i="27" s="1"/>
  <c r="O68" i="27" s="1"/>
  <c r="O69" i="27" s="1"/>
  <c r="O70" i="27" s="1"/>
  <c r="O71" i="27" s="1"/>
  <c r="O72" i="27" s="1"/>
  <c r="O73" i="27" s="1"/>
  <c r="O74" i="27" s="1"/>
  <c r="O75" i="27" s="1"/>
  <c r="O76" i="27" s="1"/>
  <c r="O77" i="27" s="1"/>
  <c r="O78" i="27" s="1"/>
  <c r="O79" i="27" s="1"/>
  <c r="O80" i="27" s="1"/>
  <c r="O81" i="27" s="1"/>
  <c r="O82" i="27" s="1"/>
  <c r="O83" i="27" s="1"/>
  <c r="O84" i="27" s="1"/>
  <c r="O85" i="27" s="1"/>
  <c r="O86" i="27" s="1"/>
  <c r="O87" i="27" s="1"/>
  <c r="O88" i="27" s="1"/>
  <c r="O89" i="27" s="1"/>
  <c r="O90" i="27" s="1"/>
  <c r="O91" i="27" s="1"/>
  <c r="O92" i="27" s="1"/>
  <c r="O93" i="27" s="1"/>
  <c r="O94" i="27" s="1"/>
  <c r="O95" i="27" s="1"/>
  <c r="O96" i="27" s="1"/>
  <c r="O97" i="27" s="1"/>
  <c r="O98" i="27" s="1"/>
  <c r="O99" i="27" s="1"/>
  <c r="O100" i="27" s="1"/>
  <c r="O101" i="27" s="1"/>
  <c r="O102" i="27" s="1"/>
  <c r="O103" i="27" s="1"/>
  <c r="O104" i="27" s="1"/>
  <c r="O105" i="27" s="1"/>
  <c r="O106" i="27" s="1"/>
  <c r="O107" i="27" s="1"/>
  <c r="O108" i="27" s="1"/>
  <c r="O109" i="27" s="1"/>
  <c r="O110" i="27" s="1"/>
  <c r="O111" i="27" s="1"/>
  <c r="O112" i="27" s="1"/>
  <c r="O113" i="27" s="1"/>
  <c r="O114" i="27" s="1"/>
  <c r="O115" i="27" s="1"/>
  <c r="O116" i="27" s="1"/>
  <c r="O117" i="27" s="1"/>
  <c r="O118" i="27" s="1"/>
  <c r="O119" i="27" s="1"/>
  <c r="O120" i="27" s="1"/>
  <c r="O121" i="27" s="1"/>
  <c r="O122" i="27" s="1"/>
  <c r="O123" i="27" s="1"/>
  <c r="O124" i="27" s="1"/>
  <c r="O125" i="27" s="1"/>
  <c r="O126" i="27" s="1"/>
  <c r="O127" i="27" s="1"/>
  <c r="O128" i="27" s="1"/>
  <c r="O129" i="27" s="1"/>
  <c r="O130" i="27" s="1"/>
  <c r="O131" i="27" s="1"/>
  <c r="O132" i="27" s="1"/>
  <c r="O133" i="27" s="1"/>
  <c r="O134" i="27" s="1"/>
  <c r="O135" i="27" s="1"/>
  <c r="O136" i="27" s="1"/>
  <c r="O137" i="27" s="1"/>
  <c r="O138" i="27" s="1"/>
  <c r="O139" i="27" s="1"/>
  <c r="O140" i="27" s="1"/>
  <c r="O141" i="27" s="1"/>
  <c r="O142" i="27" s="1"/>
  <c r="O143" i="27" s="1"/>
  <c r="O144" i="27" s="1"/>
  <c r="O145" i="27" s="1"/>
  <c r="O146" i="27" s="1"/>
  <c r="O147" i="27" s="1"/>
  <c r="O148" i="27" s="1"/>
  <c r="O149" i="27" s="1"/>
  <c r="O150" i="27" s="1"/>
  <c r="O151" i="27" s="1"/>
  <c r="O152" i="27" s="1"/>
  <c r="O153" i="27" s="1"/>
  <c r="O154" i="27" s="1"/>
  <c r="O155" i="27" s="1"/>
  <c r="O156" i="27" s="1"/>
  <c r="O157" i="27" s="1"/>
  <c r="O158" i="27" s="1"/>
  <c r="O159" i="27" s="1"/>
  <c r="O160" i="27" s="1"/>
  <c r="O161" i="27" s="1"/>
  <c r="O162" i="27" s="1"/>
  <c r="O163" i="27" s="1"/>
  <c r="O164" i="27" s="1"/>
  <c r="O165" i="27" s="1"/>
  <c r="O166" i="27" s="1"/>
  <c r="O167" i="27" s="1"/>
  <c r="O168" i="27" s="1"/>
  <c r="O169" i="27" s="1"/>
  <c r="O170" i="27" s="1"/>
  <c r="O171" i="27" s="1"/>
  <c r="O172" i="27" s="1"/>
  <c r="O173" i="27" s="1"/>
  <c r="O174" i="27" s="1"/>
  <c r="O175" i="27" s="1"/>
  <c r="O176" i="27" s="1"/>
  <c r="O177" i="27" s="1"/>
  <c r="O178" i="27" s="1"/>
  <c r="O179" i="27" s="1"/>
  <c r="O180" i="27" s="1"/>
  <c r="O181" i="27" s="1"/>
  <c r="O182" i="27" s="1"/>
  <c r="O183" i="27" s="1"/>
  <c r="O184" i="27" s="1"/>
  <c r="O185" i="27" s="1"/>
  <c r="O186" i="27" s="1"/>
  <c r="O187" i="27" s="1"/>
  <c r="O188" i="27" s="1"/>
  <c r="O189" i="27" s="1"/>
  <c r="O190" i="27" s="1"/>
  <c r="O191" i="27" s="1"/>
  <c r="O192" i="27" s="1"/>
  <c r="O193" i="27" s="1"/>
  <c r="O194" i="27" s="1"/>
  <c r="O195" i="27" s="1"/>
  <c r="O196" i="27" s="1"/>
  <c r="O197" i="27" s="1"/>
  <c r="O198" i="27" s="1"/>
  <c r="O199" i="27" s="1"/>
  <c r="O200" i="27" s="1"/>
  <c r="O201" i="27" s="1"/>
  <c r="O202" i="27" s="1"/>
  <c r="O203" i="27" s="1"/>
  <c r="O204" i="27" s="1"/>
  <c r="O205" i="27" s="1"/>
  <c r="O206" i="27" s="1"/>
  <c r="O207" i="27" s="1"/>
  <c r="O208" i="27" s="1"/>
  <c r="O209" i="27" s="1"/>
  <c r="O210" i="27" s="1"/>
  <c r="O211" i="27" s="1"/>
  <c r="O212" i="27" s="1"/>
  <c r="O213" i="27" s="1"/>
  <c r="O214" i="27" s="1"/>
  <c r="O215" i="27" s="1"/>
  <c r="O216" i="27" s="1"/>
  <c r="O217" i="27" s="1"/>
  <c r="O218" i="27" s="1"/>
  <c r="O219" i="27" s="1"/>
  <c r="O220" i="27" s="1"/>
  <c r="O221" i="27" s="1"/>
  <c r="O222" i="27" s="1"/>
  <c r="O223" i="27" s="1"/>
  <c r="O224" i="27" s="1"/>
  <c r="O225" i="27" s="1"/>
  <c r="O226" i="27" s="1"/>
  <c r="O227" i="27" s="1"/>
  <c r="O228" i="27" s="1"/>
  <c r="O229" i="27" s="1"/>
  <c r="O230" i="27" s="1"/>
  <c r="O231" i="27" s="1"/>
  <c r="O232" i="27" s="1"/>
  <c r="O233" i="27" s="1"/>
  <c r="O234" i="27" s="1"/>
  <c r="O235" i="27" s="1"/>
  <c r="O236" i="27" s="1"/>
  <c r="O237" i="27" s="1"/>
  <c r="O238" i="27" s="1"/>
  <c r="O239" i="27" s="1"/>
  <c r="O240" i="27" s="1"/>
  <c r="O241" i="27" s="1"/>
  <c r="O242" i="27" s="1"/>
  <c r="O243" i="27" s="1"/>
  <c r="O244" i="27" s="1"/>
  <c r="O245" i="27" s="1"/>
  <c r="O246" i="27" s="1"/>
  <c r="O247" i="27" s="1"/>
  <c r="O248" i="27" s="1"/>
  <c r="O249" i="27" s="1"/>
  <c r="O250" i="27" s="1"/>
  <c r="O251" i="27" s="1"/>
  <c r="O252" i="27" s="1"/>
  <c r="O253" i="27" s="1"/>
  <c r="O254" i="27" s="1"/>
  <c r="O255" i="27" s="1"/>
  <c r="O256" i="27" s="1"/>
  <c r="O257" i="27" s="1"/>
  <c r="O258" i="27" s="1"/>
  <c r="O259" i="27" s="1"/>
  <c r="O260" i="27" s="1"/>
  <c r="O261" i="27" s="1"/>
  <c r="O262" i="27" s="1"/>
  <c r="O263" i="27" s="1"/>
  <c r="O264" i="27" s="1"/>
  <c r="O265" i="27" s="1"/>
  <c r="O266" i="27" s="1"/>
  <c r="O267" i="27" s="1"/>
  <c r="O268" i="27" s="1"/>
  <c r="O269" i="27" s="1"/>
  <c r="O270" i="27" s="1"/>
  <c r="O271" i="27" s="1"/>
  <c r="O272" i="27" s="1"/>
  <c r="O273" i="27" s="1"/>
  <c r="O274" i="27" s="1"/>
  <c r="O275" i="27" s="1"/>
  <c r="O276" i="27" s="1"/>
  <c r="O277" i="27" s="1"/>
  <c r="O278" i="27" s="1"/>
  <c r="O279" i="27" s="1"/>
  <c r="O280" i="27" s="1"/>
  <c r="O281" i="27" s="1"/>
  <c r="O282" i="27" s="1"/>
  <c r="O283" i="27" s="1"/>
  <c r="O284" i="27" s="1"/>
  <c r="O285" i="27" s="1"/>
  <c r="O286" i="27" s="1"/>
  <c r="O287" i="27" s="1"/>
  <c r="O288" i="27" s="1"/>
  <c r="O289" i="27" s="1"/>
  <c r="O290" i="27" s="1"/>
  <c r="O291" i="27" s="1"/>
  <c r="O292" i="27" s="1"/>
  <c r="O293" i="27" s="1"/>
  <c r="O294" i="27" s="1"/>
  <c r="O295" i="27" s="1"/>
  <c r="O296" i="27" s="1"/>
  <c r="O297" i="27" s="1"/>
  <c r="O298" i="27" s="1"/>
  <c r="O299" i="27" s="1"/>
  <c r="O300" i="27" s="1"/>
  <c r="O301" i="27" s="1"/>
  <c r="O302" i="27" s="1"/>
  <c r="O303" i="27" s="1"/>
  <c r="O304" i="27" s="1"/>
  <c r="O305" i="27" s="1"/>
  <c r="O306" i="27" s="1"/>
  <c r="O307" i="27" s="1"/>
  <c r="O308" i="27" s="1"/>
  <c r="O309" i="27" s="1"/>
  <c r="K55" i="27"/>
  <c r="L55" i="27"/>
  <c r="K56" i="27"/>
  <c r="K57" i="27" s="1"/>
  <c r="K58" i="27" s="1"/>
  <c r="K59" i="27" s="1"/>
  <c r="K60" i="27" s="1"/>
  <c r="K61" i="27" s="1"/>
  <c r="K62" i="27" s="1"/>
  <c r="K63" i="27" s="1"/>
  <c r="K64" i="27" s="1"/>
  <c r="K65" i="27" s="1"/>
  <c r="K66" i="27" s="1"/>
  <c r="K67" i="27" s="1"/>
  <c r="K68" i="27" s="1"/>
  <c r="K69" i="27" s="1"/>
  <c r="K70" i="27" s="1"/>
  <c r="K71" i="27" s="1"/>
  <c r="K72" i="27" s="1"/>
  <c r="K73" i="27" s="1"/>
  <c r="K74" i="27" s="1"/>
  <c r="K75" i="27" s="1"/>
  <c r="K76" i="27" s="1"/>
  <c r="K77" i="27" s="1"/>
  <c r="K78" i="27" s="1"/>
  <c r="K79" i="27" s="1"/>
  <c r="K80" i="27" s="1"/>
  <c r="K81" i="27" s="1"/>
  <c r="K82" i="27" s="1"/>
  <c r="K83" i="27" s="1"/>
  <c r="K84" i="27" s="1"/>
  <c r="K85" i="27" s="1"/>
  <c r="K86" i="27" s="1"/>
  <c r="K87" i="27" s="1"/>
  <c r="K88" i="27" s="1"/>
  <c r="K89" i="27" s="1"/>
  <c r="K90" i="27" s="1"/>
  <c r="K91" i="27" s="1"/>
  <c r="K92" i="27" s="1"/>
  <c r="K93" i="27" s="1"/>
  <c r="K94" i="27" s="1"/>
  <c r="K95" i="27" s="1"/>
  <c r="K96" i="27" s="1"/>
  <c r="K97" i="27" s="1"/>
  <c r="K98" i="27" s="1"/>
  <c r="K99" i="27" s="1"/>
  <c r="K100" i="27" s="1"/>
  <c r="K101" i="27" s="1"/>
  <c r="K102" i="27" s="1"/>
  <c r="K103" i="27" s="1"/>
  <c r="K104" i="27" s="1"/>
  <c r="K105" i="27" s="1"/>
  <c r="K106" i="27" s="1"/>
  <c r="K107" i="27" s="1"/>
  <c r="K108" i="27" s="1"/>
  <c r="K109" i="27" s="1"/>
  <c r="K110" i="27" s="1"/>
  <c r="K111" i="27" s="1"/>
  <c r="K112" i="27" s="1"/>
  <c r="K113" i="27" s="1"/>
  <c r="K114" i="27" s="1"/>
  <c r="K115" i="27" s="1"/>
  <c r="K116" i="27" s="1"/>
  <c r="K117" i="27" s="1"/>
  <c r="K118" i="27" s="1"/>
  <c r="K119" i="27" s="1"/>
  <c r="K120" i="27" s="1"/>
  <c r="K121" i="27" s="1"/>
  <c r="K122" i="27" s="1"/>
  <c r="K123" i="27" s="1"/>
  <c r="K124" i="27" s="1"/>
  <c r="K125" i="27" s="1"/>
  <c r="K126" i="27" s="1"/>
  <c r="K127" i="27" s="1"/>
  <c r="K128" i="27" s="1"/>
  <c r="K129" i="27" s="1"/>
  <c r="K130" i="27" s="1"/>
  <c r="K131" i="27" s="1"/>
  <c r="K132" i="27" s="1"/>
  <c r="K133" i="27" s="1"/>
  <c r="K134" i="27" s="1"/>
  <c r="K135" i="27" s="1"/>
  <c r="K136" i="27" s="1"/>
  <c r="K137" i="27" s="1"/>
  <c r="K138" i="27" s="1"/>
  <c r="K139" i="27" s="1"/>
  <c r="K140" i="27" s="1"/>
  <c r="K141" i="27" s="1"/>
  <c r="K142" i="27" s="1"/>
  <c r="K143" i="27" s="1"/>
  <c r="K144" i="27" s="1"/>
  <c r="K145" i="27" s="1"/>
  <c r="K146" i="27" s="1"/>
  <c r="K147" i="27" s="1"/>
  <c r="K148" i="27" s="1"/>
  <c r="K149" i="27" s="1"/>
  <c r="K150" i="27" s="1"/>
  <c r="K151" i="27" s="1"/>
  <c r="K152" i="27" s="1"/>
  <c r="K153" i="27" s="1"/>
  <c r="K154" i="27" s="1"/>
  <c r="K155" i="27" s="1"/>
  <c r="K156" i="27" s="1"/>
  <c r="K157" i="27" s="1"/>
  <c r="K158" i="27" s="1"/>
  <c r="K159" i="27" s="1"/>
  <c r="K160" i="27" s="1"/>
  <c r="K161" i="27" s="1"/>
  <c r="K162" i="27" s="1"/>
  <c r="K163" i="27" s="1"/>
  <c r="K164" i="27" s="1"/>
  <c r="K165" i="27" s="1"/>
  <c r="K166" i="27" s="1"/>
  <c r="K167" i="27" s="1"/>
  <c r="K168" i="27" s="1"/>
  <c r="K169" i="27" s="1"/>
  <c r="K170" i="27" s="1"/>
  <c r="K171" i="27" s="1"/>
  <c r="K172" i="27" s="1"/>
  <c r="K173" i="27" s="1"/>
  <c r="K174" i="27" s="1"/>
  <c r="K175" i="27" s="1"/>
  <c r="K176" i="27" s="1"/>
  <c r="K177" i="27" s="1"/>
  <c r="K178" i="27" s="1"/>
  <c r="K179" i="27" s="1"/>
  <c r="K180" i="27" s="1"/>
  <c r="K181" i="27" s="1"/>
  <c r="K182" i="27" s="1"/>
  <c r="K183" i="27" s="1"/>
  <c r="K184" i="27" s="1"/>
  <c r="K185" i="27" s="1"/>
  <c r="K186" i="27" s="1"/>
  <c r="K187" i="27" s="1"/>
  <c r="K188" i="27" s="1"/>
  <c r="K189" i="27" s="1"/>
  <c r="K190" i="27" s="1"/>
  <c r="K191" i="27" s="1"/>
  <c r="K192" i="27" s="1"/>
  <c r="K193" i="27" s="1"/>
  <c r="K194" i="27" s="1"/>
  <c r="K195" i="27" s="1"/>
  <c r="K196" i="27" s="1"/>
  <c r="K197" i="27" s="1"/>
  <c r="K198" i="27" s="1"/>
  <c r="K199" i="27" s="1"/>
  <c r="K200" i="27" s="1"/>
  <c r="K201" i="27" s="1"/>
  <c r="K202" i="27" s="1"/>
  <c r="K203" i="27" s="1"/>
  <c r="K204" i="27" s="1"/>
  <c r="K205" i="27" s="1"/>
  <c r="K206" i="27" s="1"/>
  <c r="K207" i="27" s="1"/>
  <c r="K208" i="27" s="1"/>
  <c r="K209" i="27" s="1"/>
  <c r="K210" i="27" s="1"/>
  <c r="K211" i="27" s="1"/>
  <c r="K212" i="27" s="1"/>
  <c r="K213" i="27" s="1"/>
  <c r="K214" i="27" s="1"/>
  <c r="K215" i="27" s="1"/>
  <c r="K216" i="27" s="1"/>
  <c r="K217" i="27" s="1"/>
  <c r="K218" i="27" s="1"/>
  <c r="K219" i="27" s="1"/>
  <c r="K220" i="27" s="1"/>
  <c r="K221" i="27" s="1"/>
  <c r="K222" i="27" s="1"/>
  <c r="K223" i="27" s="1"/>
  <c r="K224" i="27" s="1"/>
  <c r="K225" i="27" s="1"/>
  <c r="K226" i="27" s="1"/>
  <c r="K227" i="27" s="1"/>
  <c r="K228" i="27" s="1"/>
  <c r="K229" i="27" s="1"/>
  <c r="K230" i="27" s="1"/>
  <c r="K231" i="27" s="1"/>
  <c r="K232" i="27" s="1"/>
  <c r="K233" i="27" s="1"/>
  <c r="K234" i="27" s="1"/>
  <c r="K235" i="27" s="1"/>
  <c r="K236" i="27" s="1"/>
  <c r="K237" i="27" s="1"/>
  <c r="K238" i="27" s="1"/>
  <c r="K239" i="27" s="1"/>
  <c r="K240" i="27" s="1"/>
  <c r="K241" i="27" s="1"/>
  <c r="K242" i="27" s="1"/>
  <c r="K243" i="27" s="1"/>
  <c r="K244" i="27" s="1"/>
  <c r="K245" i="27" s="1"/>
  <c r="K246" i="27" s="1"/>
  <c r="K247" i="27" s="1"/>
  <c r="K248" i="27" s="1"/>
  <c r="K249" i="27" s="1"/>
  <c r="K250" i="27" s="1"/>
  <c r="K251" i="27" s="1"/>
  <c r="K252" i="27" s="1"/>
  <c r="K253" i="27" s="1"/>
  <c r="K254" i="27" s="1"/>
  <c r="K255" i="27" s="1"/>
  <c r="K256" i="27" s="1"/>
  <c r="K257" i="27" s="1"/>
  <c r="K258" i="27" s="1"/>
  <c r="K259" i="27" s="1"/>
  <c r="K260" i="27" s="1"/>
  <c r="K261" i="27" s="1"/>
  <c r="K262" i="27" s="1"/>
  <c r="K263" i="27" s="1"/>
  <c r="K264" i="27" s="1"/>
  <c r="K265" i="27" s="1"/>
  <c r="K266" i="27" s="1"/>
  <c r="K267" i="27" s="1"/>
  <c r="K268" i="27" s="1"/>
  <c r="K269" i="27" s="1"/>
  <c r="K270" i="27" s="1"/>
  <c r="K271" i="27" s="1"/>
  <c r="K272" i="27" s="1"/>
  <c r="K273" i="27" s="1"/>
  <c r="K274" i="27" s="1"/>
  <c r="K275" i="27" s="1"/>
  <c r="K276" i="27" s="1"/>
  <c r="K277" i="27" s="1"/>
  <c r="K278" i="27" s="1"/>
  <c r="K279" i="27" s="1"/>
  <c r="K280" i="27" s="1"/>
  <c r="K281" i="27" s="1"/>
  <c r="K282" i="27" s="1"/>
  <c r="K283" i="27" s="1"/>
  <c r="K284" i="27" s="1"/>
  <c r="K285" i="27" s="1"/>
  <c r="K286" i="27" s="1"/>
  <c r="K287" i="27" s="1"/>
  <c r="K288" i="27" s="1"/>
  <c r="K289" i="27" s="1"/>
  <c r="K290" i="27" s="1"/>
  <c r="K291" i="27" s="1"/>
  <c r="K292" i="27" s="1"/>
  <c r="K293" i="27" s="1"/>
  <c r="K294" i="27" s="1"/>
  <c r="K295" i="27" s="1"/>
  <c r="K296" i="27" s="1"/>
  <c r="K297" i="27" s="1"/>
  <c r="K298" i="27" s="1"/>
  <c r="K299" i="27" s="1"/>
  <c r="K300" i="27" s="1"/>
  <c r="K301" i="27" s="1"/>
  <c r="K302" i="27" s="1"/>
  <c r="K303" i="27" s="1"/>
  <c r="K304" i="27" s="1"/>
  <c r="K305" i="27" s="1"/>
  <c r="K306" i="27" s="1"/>
  <c r="K307" i="27" s="1"/>
  <c r="K308" i="27" s="1"/>
  <c r="K309" i="27" s="1"/>
  <c r="L56" i="27"/>
  <c r="L57" i="27" s="1"/>
  <c r="L58" i="27" s="1"/>
  <c r="L59" i="27" s="1"/>
  <c r="L60" i="27" s="1"/>
  <c r="L61" i="27" s="1"/>
  <c r="L62" i="27" s="1"/>
  <c r="L63" i="27" s="1"/>
  <c r="L64" i="27" s="1"/>
  <c r="L65" i="27" s="1"/>
  <c r="L66" i="27" s="1"/>
  <c r="L67" i="27" s="1"/>
  <c r="L68" i="27" s="1"/>
  <c r="L69" i="27" s="1"/>
  <c r="L70" i="27" s="1"/>
  <c r="L71" i="27" s="1"/>
  <c r="L72" i="27" s="1"/>
  <c r="L73" i="27" s="1"/>
  <c r="L74" i="27" s="1"/>
  <c r="L75" i="27" s="1"/>
  <c r="L76" i="27" s="1"/>
  <c r="L77" i="27" s="1"/>
  <c r="L78" i="27" s="1"/>
  <c r="L79" i="27" s="1"/>
  <c r="L80" i="27" s="1"/>
  <c r="L81" i="27" s="1"/>
  <c r="L82" i="27" s="1"/>
  <c r="L83" i="27" s="1"/>
  <c r="L84" i="27" s="1"/>
  <c r="L85" i="27" s="1"/>
  <c r="L86" i="27" s="1"/>
  <c r="L87" i="27" s="1"/>
  <c r="L88" i="27" s="1"/>
  <c r="L89" i="27" s="1"/>
  <c r="L90" i="27" s="1"/>
  <c r="L91" i="27" s="1"/>
  <c r="L92" i="27" s="1"/>
  <c r="L93" i="27" s="1"/>
  <c r="L94" i="27" s="1"/>
  <c r="L95" i="27" s="1"/>
  <c r="L96" i="27" s="1"/>
  <c r="L97" i="27" s="1"/>
  <c r="L98" i="27" s="1"/>
  <c r="L99" i="27" s="1"/>
  <c r="L100" i="27" s="1"/>
  <c r="L101" i="27" s="1"/>
  <c r="L102" i="27" s="1"/>
  <c r="L103" i="27" s="1"/>
  <c r="L104" i="27" s="1"/>
  <c r="L105" i="27" s="1"/>
  <c r="L106" i="27" s="1"/>
  <c r="L107" i="27" s="1"/>
  <c r="L108" i="27" s="1"/>
  <c r="L109" i="27" s="1"/>
  <c r="L110" i="27" s="1"/>
  <c r="L111" i="27" s="1"/>
  <c r="L112" i="27" s="1"/>
  <c r="L113" i="27" s="1"/>
  <c r="L114" i="27" s="1"/>
  <c r="L115" i="27" s="1"/>
  <c r="L116" i="27" s="1"/>
  <c r="L117" i="27" s="1"/>
  <c r="L118" i="27" s="1"/>
  <c r="L119" i="27" s="1"/>
  <c r="L120" i="27" s="1"/>
  <c r="L121" i="27" s="1"/>
  <c r="L122" i="27" s="1"/>
  <c r="L123" i="27" s="1"/>
  <c r="L124" i="27" s="1"/>
  <c r="L125" i="27" s="1"/>
  <c r="L126" i="27" s="1"/>
  <c r="L127" i="27" s="1"/>
  <c r="L128" i="27" s="1"/>
  <c r="L129" i="27" s="1"/>
  <c r="L130" i="27" s="1"/>
  <c r="L131" i="27" s="1"/>
  <c r="L132" i="27" s="1"/>
  <c r="L133" i="27" s="1"/>
  <c r="L134" i="27" s="1"/>
  <c r="L135" i="27" s="1"/>
  <c r="L136" i="27" s="1"/>
  <c r="L137" i="27" s="1"/>
  <c r="L138" i="27" s="1"/>
  <c r="L139" i="27" s="1"/>
  <c r="L140" i="27" s="1"/>
  <c r="L141" i="27" s="1"/>
  <c r="L142" i="27" s="1"/>
  <c r="L143" i="27" s="1"/>
  <c r="L144" i="27" s="1"/>
  <c r="L145" i="27" s="1"/>
  <c r="L146" i="27" s="1"/>
  <c r="L147" i="27" s="1"/>
  <c r="L148" i="27" s="1"/>
  <c r="L149" i="27" s="1"/>
  <c r="L150" i="27" s="1"/>
  <c r="L151" i="27" s="1"/>
  <c r="L152" i="27" s="1"/>
  <c r="L153" i="27" s="1"/>
  <c r="L154" i="27" s="1"/>
  <c r="L155" i="27" s="1"/>
  <c r="L156" i="27" s="1"/>
  <c r="L157" i="27" s="1"/>
  <c r="L158" i="27" s="1"/>
  <c r="L159" i="27" s="1"/>
  <c r="L160" i="27" s="1"/>
  <c r="L161" i="27" s="1"/>
  <c r="L162" i="27" s="1"/>
  <c r="L163" i="27" s="1"/>
  <c r="L164" i="27" s="1"/>
  <c r="L165" i="27" s="1"/>
  <c r="L166" i="27" s="1"/>
  <c r="L167" i="27" s="1"/>
  <c r="L168" i="27" s="1"/>
  <c r="L169" i="27" s="1"/>
  <c r="L170" i="27" s="1"/>
  <c r="L171" i="27" s="1"/>
  <c r="L172" i="27" s="1"/>
  <c r="L173" i="27" s="1"/>
  <c r="L174" i="27" s="1"/>
  <c r="L175" i="27" s="1"/>
  <c r="L176" i="27" s="1"/>
  <c r="L177" i="27" s="1"/>
  <c r="L178" i="27" s="1"/>
  <c r="L179" i="27" s="1"/>
  <c r="L180" i="27" s="1"/>
  <c r="L181" i="27" s="1"/>
  <c r="L182" i="27" s="1"/>
  <c r="L183" i="27" s="1"/>
  <c r="L184" i="27" s="1"/>
  <c r="L185" i="27" s="1"/>
  <c r="L186" i="27" s="1"/>
  <c r="L187" i="27" s="1"/>
  <c r="L188" i="27" s="1"/>
  <c r="L189" i="27" s="1"/>
  <c r="L190" i="27" s="1"/>
  <c r="L191" i="27" s="1"/>
  <c r="L192" i="27" s="1"/>
  <c r="L193" i="27" s="1"/>
  <c r="L194" i="27" s="1"/>
  <c r="L195" i="27" s="1"/>
  <c r="L196" i="27" s="1"/>
  <c r="L197" i="27" s="1"/>
  <c r="L198" i="27" s="1"/>
  <c r="L199" i="27" s="1"/>
  <c r="L200" i="27" s="1"/>
  <c r="L201" i="27" s="1"/>
  <c r="L202" i="27" s="1"/>
  <c r="L203" i="27" s="1"/>
  <c r="L204" i="27" s="1"/>
  <c r="L205" i="27" s="1"/>
  <c r="L206" i="27" s="1"/>
  <c r="L207" i="27" s="1"/>
  <c r="L208" i="27" s="1"/>
  <c r="L209" i="27" s="1"/>
  <c r="L210" i="27" s="1"/>
  <c r="L211" i="27" s="1"/>
  <c r="L212" i="27" s="1"/>
  <c r="L213" i="27" s="1"/>
  <c r="L214" i="27" s="1"/>
  <c r="L215" i="27" s="1"/>
  <c r="L216" i="27" s="1"/>
  <c r="L217" i="27" s="1"/>
  <c r="L218" i="27" s="1"/>
  <c r="L219" i="27" s="1"/>
  <c r="L220" i="27" s="1"/>
  <c r="L221" i="27" s="1"/>
  <c r="L222" i="27" s="1"/>
  <c r="L223" i="27" s="1"/>
  <c r="L224" i="27" s="1"/>
  <c r="L225" i="27" s="1"/>
  <c r="L226" i="27" s="1"/>
  <c r="L227" i="27" s="1"/>
  <c r="L228" i="27" s="1"/>
  <c r="L229" i="27" s="1"/>
  <c r="L230" i="27" s="1"/>
  <c r="L231" i="27" s="1"/>
  <c r="L232" i="27" s="1"/>
  <c r="L233" i="27" s="1"/>
  <c r="L234" i="27" s="1"/>
  <c r="L235" i="27" s="1"/>
  <c r="L236" i="27" s="1"/>
  <c r="L237" i="27" s="1"/>
  <c r="L238" i="27" s="1"/>
  <c r="L239" i="27" s="1"/>
  <c r="L240" i="27" s="1"/>
  <c r="L241" i="27" s="1"/>
  <c r="L242" i="27" s="1"/>
  <c r="L243" i="27" s="1"/>
  <c r="L244" i="27" s="1"/>
  <c r="L245" i="27" s="1"/>
  <c r="L246" i="27" s="1"/>
  <c r="L247" i="27" s="1"/>
  <c r="L248" i="27" s="1"/>
  <c r="L249" i="27" s="1"/>
  <c r="L250" i="27" s="1"/>
  <c r="L251" i="27" s="1"/>
  <c r="L252" i="27" s="1"/>
  <c r="L253" i="27" s="1"/>
  <c r="L254" i="27" s="1"/>
  <c r="L255" i="27" s="1"/>
  <c r="L256" i="27" s="1"/>
  <c r="L257" i="27" s="1"/>
  <c r="L258" i="27" s="1"/>
  <c r="L259" i="27" s="1"/>
  <c r="L260" i="27" s="1"/>
  <c r="L261" i="27" s="1"/>
  <c r="L262" i="27" s="1"/>
  <c r="L263" i="27" s="1"/>
  <c r="L264" i="27" s="1"/>
  <c r="L265" i="27" s="1"/>
  <c r="L266" i="27" s="1"/>
  <c r="L267" i="27" s="1"/>
  <c r="L268" i="27" s="1"/>
  <c r="L269" i="27" s="1"/>
  <c r="L270" i="27" s="1"/>
  <c r="L271" i="27" s="1"/>
  <c r="L272" i="27" s="1"/>
  <c r="L273" i="27" s="1"/>
  <c r="L274" i="27" s="1"/>
  <c r="L275" i="27" s="1"/>
  <c r="L276" i="27" s="1"/>
  <c r="L277" i="27" s="1"/>
  <c r="L278" i="27" s="1"/>
  <c r="L279" i="27" s="1"/>
  <c r="L280" i="27" s="1"/>
  <c r="L281" i="27" s="1"/>
  <c r="L282" i="27" s="1"/>
  <c r="L283" i="27" s="1"/>
  <c r="L284" i="27" s="1"/>
  <c r="L285" i="27" s="1"/>
  <c r="L286" i="27" s="1"/>
  <c r="L287" i="27" s="1"/>
  <c r="L288" i="27" s="1"/>
  <c r="L289" i="27" s="1"/>
  <c r="L290" i="27" s="1"/>
  <c r="L291" i="27" s="1"/>
  <c r="L292" i="27" s="1"/>
  <c r="L293" i="27" s="1"/>
  <c r="L294" i="27" s="1"/>
  <c r="L295" i="27" s="1"/>
  <c r="L296" i="27" s="1"/>
  <c r="L297" i="27" s="1"/>
  <c r="L298" i="27" s="1"/>
  <c r="L299" i="27" s="1"/>
  <c r="L300" i="27" s="1"/>
  <c r="L301" i="27" s="1"/>
  <c r="L302" i="27" s="1"/>
  <c r="L303" i="27" s="1"/>
  <c r="L304" i="27" s="1"/>
  <c r="L305" i="27" s="1"/>
  <c r="L306" i="27" s="1"/>
  <c r="L307" i="27" s="1"/>
  <c r="L308" i="27" s="1"/>
  <c r="L309" i="27" s="1"/>
  <c r="E11" i="27"/>
  <c r="E12" i="27" s="1"/>
  <c r="E13" i="27" s="1"/>
  <c r="E14" i="27" s="1"/>
  <c r="E15" i="27" s="1"/>
  <c r="E16" i="27" s="1"/>
  <c r="E17" i="27" s="1"/>
  <c r="E18" i="27" s="1"/>
  <c r="E19" i="27"/>
  <c r="E20" i="27"/>
  <c r="E21" i="27"/>
  <c r="E22" i="27" s="1"/>
  <c r="E23" i="27" s="1"/>
  <c r="E24" i="27" s="1"/>
  <c r="E25" i="27" s="1"/>
  <c r="E26" i="27" s="1"/>
  <c r="E27" i="27" s="1"/>
  <c r="E28" i="27" s="1"/>
  <c r="E29" i="27" s="1"/>
  <c r="E30" i="27" s="1"/>
  <c r="E31" i="27" s="1"/>
  <c r="E32" i="27" s="1"/>
  <c r="E33" i="27" s="1"/>
  <c r="E34" i="27" s="1"/>
  <c r="E35" i="27" s="1"/>
  <c r="E36" i="27" s="1"/>
  <c r="E37" i="27" s="1"/>
  <c r="E38" i="27" s="1"/>
  <c r="E39" i="27" s="1"/>
  <c r="E40" i="27" s="1"/>
  <c r="E41" i="27" s="1"/>
  <c r="E42" i="27" s="1"/>
  <c r="E43" i="27" s="1"/>
  <c r="E44" i="27" s="1"/>
  <c r="E45" i="27" s="1"/>
  <c r="E46" i="27" s="1"/>
  <c r="E47" i="27" s="1"/>
  <c r="E48" i="27" s="1"/>
  <c r="E49" i="27" s="1"/>
  <c r="E50" i="27" s="1"/>
  <c r="E51" i="27" s="1"/>
  <c r="E52" i="27" s="1"/>
  <c r="E53" i="27" s="1"/>
  <c r="E54" i="27" s="1"/>
  <c r="E55" i="27" s="1"/>
  <c r="E56" i="27" s="1"/>
  <c r="E57" i="27" s="1"/>
  <c r="E58" i="27" s="1"/>
  <c r="E59" i="27" s="1"/>
  <c r="E60" i="27" s="1"/>
  <c r="E61" i="27" s="1"/>
  <c r="E62" i="27" s="1"/>
  <c r="E63" i="27" s="1"/>
  <c r="E64" i="27" s="1"/>
  <c r="E65" i="27" s="1"/>
  <c r="E66" i="27" s="1"/>
  <c r="E67" i="27" s="1"/>
  <c r="E68" i="27" s="1"/>
  <c r="E69" i="27" s="1"/>
  <c r="E70" i="27" s="1"/>
  <c r="E71" i="27" s="1"/>
  <c r="E72" i="27" s="1"/>
  <c r="E73" i="27" s="1"/>
  <c r="E74" i="27" s="1"/>
  <c r="E75" i="27" s="1"/>
  <c r="E76" i="27" s="1"/>
  <c r="E77" i="27" s="1"/>
  <c r="E78" i="27" s="1"/>
  <c r="E79" i="27" s="1"/>
  <c r="E80" i="27" s="1"/>
  <c r="E81" i="27" s="1"/>
  <c r="E82" i="27" s="1"/>
  <c r="E83" i="27" s="1"/>
  <c r="E84" i="27" s="1"/>
  <c r="E85" i="27" s="1"/>
  <c r="E86" i="27" s="1"/>
  <c r="E87" i="27" s="1"/>
  <c r="E88" i="27" s="1"/>
  <c r="E89" i="27" s="1"/>
  <c r="E90" i="27" s="1"/>
  <c r="E91" i="27" s="1"/>
  <c r="E92" i="27" s="1"/>
  <c r="E93" i="27" s="1"/>
  <c r="E94" i="27" s="1"/>
  <c r="E95" i="27" s="1"/>
  <c r="E96" i="27" s="1"/>
  <c r="E97" i="27" s="1"/>
  <c r="E98" i="27" s="1"/>
  <c r="E99" i="27" s="1"/>
  <c r="E100" i="27" s="1"/>
  <c r="E101" i="27" s="1"/>
  <c r="E102" i="27" s="1"/>
  <c r="E103" i="27" s="1"/>
  <c r="E104" i="27" s="1"/>
  <c r="E105" i="27" s="1"/>
  <c r="E106" i="27" s="1"/>
  <c r="E107" i="27" s="1"/>
  <c r="E108" i="27" s="1"/>
  <c r="E109" i="27" s="1"/>
  <c r="E110" i="27" s="1"/>
  <c r="E111" i="27" s="1"/>
  <c r="E112" i="27" s="1"/>
  <c r="E113" i="27" s="1"/>
  <c r="E114" i="27" s="1"/>
  <c r="E115" i="27" s="1"/>
  <c r="E116" i="27" s="1"/>
  <c r="E117" i="27" s="1"/>
  <c r="E118" i="27" s="1"/>
  <c r="E119" i="27" s="1"/>
  <c r="E120" i="27" s="1"/>
  <c r="E121" i="27" s="1"/>
  <c r="E122" i="27" s="1"/>
  <c r="E123" i="27" s="1"/>
  <c r="E124" i="27" s="1"/>
  <c r="E125" i="27" s="1"/>
  <c r="E126" i="27" s="1"/>
  <c r="E127" i="27" s="1"/>
  <c r="E128" i="27" s="1"/>
  <c r="E129" i="27" s="1"/>
  <c r="E130" i="27" s="1"/>
  <c r="E131" i="27" s="1"/>
  <c r="E132" i="27" s="1"/>
  <c r="E133" i="27" s="1"/>
  <c r="E134" i="27" s="1"/>
  <c r="E135" i="27" s="1"/>
  <c r="E136" i="27" s="1"/>
  <c r="E137" i="27" s="1"/>
  <c r="E138" i="27" s="1"/>
  <c r="E139" i="27" s="1"/>
  <c r="E140" i="27" s="1"/>
  <c r="E141" i="27" s="1"/>
  <c r="E142" i="27" s="1"/>
  <c r="E143" i="27" s="1"/>
  <c r="E144" i="27" s="1"/>
  <c r="E145" i="27" s="1"/>
  <c r="E146" i="27" s="1"/>
  <c r="E147" i="27" s="1"/>
  <c r="E148" i="27" s="1"/>
  <c r="E149" i="27" s="1"/>
  <c r="E150" i="27" s="1"/>
  <c r="E151" i="27" s="1"/>
  <c r="E152" i="27" s="1"/>
  <c r="E153" i="27" s="1"/>
  <c r="E154" i="27" s="1"/>
  <c r="E155" i="27" s="1"/>
  <c r="E156" i="27" s="1"/>
  <c r="E157" i="27" s="1"/>
  <c r="E158" i="27" s="1"/>
  <c r="E159" i="27" s="1"/>
  <c r="E160" i="27" s="1"/>
  <c r="E161" i="27" s="1"/>
  <c r="E162" i="27" s="1"/>
  <c r="E163" i="27" s="1"/>
  <c r="E164" i="27" s="1"/>
  <c r="E165" i="27" s="1"/>
  <c r="E166" i="27" s="1"/>
  <c r="E167" i="27" s="1"/>
  <c r="E168" i="27" s="1"/>
  <c r="E169" i="27" s="1"/>
  <c r="E170" i="27" s="1"/>
  <c r="E171" i="27" s="1"/>
  <c r="E172" i="27" s="1"/>
  <c r="E173" i="27" s="1"/>
  <c r="E174" i="27" s="1"/>
  <c r="E175" i="27" s="1"/>
  <c r="E176" i="27" s="1"/>
  <c r="E177" i="27" s="1"/>
  <c r="E178" i="27" s="1"/>
  <c r="E179" i="27" s="1"/>
  <c r="E180" i="27" s="1"/>
  <c r="E181" i="27" s="1"/>
  <c r="E182" i="27" s="1"/>
  <c r="E183" i="27" s="1"/>
  <c r="E184" i="27" s="1"/>
  <c r="E185" i="27" s="1"/>
  <c r="E186" i="27" s="1"/>
  <c r="E187" i="27" s="1"/>
  <c r="E188" i="27" s="1"/>
  <c r="E189" i="27" s="1"/>
  <c r="E190" i="27" s="1"/>
  <c r="E191" i="27" s="1"/>
  <c r="E192" i="27" s="1"/>
  <c r="E193" i="27" s="1"/>
  <c r="E194" i="27" s="1"/>
  <c r="E195" i="27" s="1"/>
  <c r="E196" i="27" s="1"/>
  <c r="E197" i="27" s="1"/>
  <c r="E198" i="27" s="1"/>
  <c r="E199" i="27" s="1"/>
  <c r="E200" i="27" s="1"/>
  <c r="E201" i="27" s="1"/>
  <c r="E202" i="27" s="1"/>
  <c r="E203" i="27" s="1"/>
  <c r="E204" i="27" s="1"/>
  <c r="E205" i="27" s="1"/>
  <c r="E206" i="27" s="1"/>
  <c r="E207" i="27" s="1"/>
  <c r="E208" i="27" s="1"/>
  <c r="E209" i="27" s="1"/>
  <c r="E210" i="27" s="1"/>
  <c r="E211" i="27" s="1"/>
  <c r="E212" i="27" s="1"/>
  <c r="E213" i="27" s="1"/>
  <c r="E214" i="27" s="1"/>
  <c r="E215" i="27" s="1"/>
  <c r="E216" i="27" s="1"/>
  <c r="E217" i="27" s="1"/>
  <c r="E218" i="27" s="1"/>
  <c r="E219" i="27" s="1"/>
  <c r="E220" i="27" s="1"/>
  <c r="E221" i="27" s="1"/>
  <c r="E222" i="27" s="1"/>
  <c r="E223" i="27" s="1"/>
  <c r="E224" i="27" s="1"/>
  <c r="E225" i="27" s="1"/>
  <c r="E226" i="27" s="1"/>
  <c r="E227" i="27" s="1"/>
  <c r="E228" i="27" s="1"/>
  <c r="E229" i="27" s="1"/>
  <c r="E230" i="27" s="1"/>
  <c r="E231" i="27" s="1"/>
  <c r="E232" i="27" s="1"/>
  <c r="E233" i="27" s="1"/>
  <c r="E234" i="27" s="1"/>
  <c r="E235" i="27" s="1"/>
  <c r="E236" i="27" s="1"/>
  <c r="E237" i="27" s="1"/>
  <c r="E238" i="27" s="1"/>
  <c r="E239" i="27" s="1"/>
  <c r="E240" i="27" s="1"/>
  <c r="E241" i="27" s="1"/>
  <c r="E242" i="27" s="1"/>
  <c r="E243" i="27" s="1"/>
  <c r="E244" i="27" s="1"/>
  <c r="E245" i="27" s="1"/>
  <c r="E246" i="27" s="1"/>
  <c r="E247" i="27" s="1"/>
  <c r="E248" i="27" s="1"/>
  <c r="E249" i="27" s="1"/>
  <c r="E250" i="27" s="1"/>
  <c r="E251" i="27" s="1"/>
  <c r="E252" i="27" s="1"/>
  <c r="E253" i="27" s="1"/>
  <c r="E254" i="27" s="1"/>
  <c r="E255" i="27" s="1"/>
  <c r="E256" i="27" s="1"/>
  <c r="E257" i="27" s="1"/>
  <c r="E258" i="27" s="1"/>
  <c r="E259" i="27" s="1"/>
  <c r="E260" i="27" s="1"/>
  <c r="E261" i="27" s="1"/>
  <c r="E262" i="27" s="1"/>
  <c r="E263" i="27" s="1"/>
  <c r="E264" i="27" s="1"/>
  <c r="E265" i="27" s="1"/>
  <c r="E266" i="27" s="1"/>
  <c r="E267" i="27" s="1"/>
  <c r="E268" i="27" s="1"/>
  <c r="E269" i="27" s="1"/>
  <c r="E270" i="27" s="1"/>
  <c r="E271" i="27" s="1"/>
  <c r="E272" i="27" s="1"/>
  <c r="E273" i="27" s="1"/>
  <c r="E274" i="27" s="1"/>
  <c r="E275" i="27" s="1"/>
  <c r="E276" i="27" s="1"/>
  <c r="E277" i="27" s="1"/>
  <c r="E278" i="27" s="1"/>
  <c r="E279" i="27" s="1"/>
  <c r="E280" i="27" s="1"/>
  <c r="E281" i="27" s="1"/>
  <c r="E282" i="27" s="1"/>
  <c r="E283" i="27" s="1"/>
  <c r="E284" i="27" s="1"/>
  <c r="E285" i="27" s="1"/>
  <c r="E286" i="27" s="1"/>
  <c r="E287" i="27" s="1"/>
  <c r="E288" i="27" s="1"/>
  <c r="E289" i="27" s="1"/>
  <c r="E290" i="27" s="1"/>
  <c r="E291" i="27" s="1"/>
  <c r="E292" i="27" s="1"/>
  <c r="E293" i="27" s="1"/>
  <c r="E294" i="27" s="1"/>
  <c r="E295" i="27" s="1"/>
  <c r="E296" i="27" s="1"/>
  <c r="E297" i="27" s="1"/>
  <c r="E298" i="27" s="1"/>
  <c r="E299" i="27" s="1"/>
  <c r="E300" i="27" s="1"/>
  <c r="E301" i="27" s="1"/>
  <c r="E302" i="27" s="1"/>
  <c r="E303" i="27" s="1"/>
  <c r="E304" i="27" s="1"/>
  <c r="E305" i="27" s="1"/>
  <c r="E306" i="27" s="1"/>
  <c r="E307" i="27" s="1"/>
  <c r="E308" i="27" s="1"/>
  <c r="E309" i="27" s="1"/>
  <c r="AA21" i="27"/>
  <c r="AA22" i="27"/>
  <c r="AA23" i="27"/>
  <c r="AA24" i="27"/>
  <c r="AA26" i="27"/>
  <c r="AA27" i="27" s="1"/>
  <c r="AA28" i="27" s="1"/>
  <c r="AA29" i="27" s="1"/>
  <c r="AA30" i="27" s="1"/>
  <c r="AA31" i="27" s="1"/>
  <c r="AA32" i="27" s="1"/>
  <c r="AA33" i="27" s="1"/>
  <c r="AA34" i="27" s="1"/>
  <c r="AA35" i="27" s="1"/>
  <c r="AA36" i="27" s="1"/>
  <c r="AA37" i="27" s="1"/>
  <c r="AA38" i="27" s="1"/>
  <c r="AA39" i="27" s="1"/>
  <c r="AA40" i="27" s="1"/>
  <c r="AA42" i="27" s="1"/>
  <c r="AA43" i="27" s="1"/>
  <c r="AA44" i="27" s="1"/>
  <c r="AA45" i="27" s="1"/>
  <c r="AA46" i="27" s="1"/>
  <c r="AA47" i="27" s="1"/>
  <c r="AA48" i="27" s="1"/>
  <c r="AA49" i="27" s="1"/>
  <c r="AA50" i="27" s="1"/>
  <c r="AA51" i="27" s="1"/>
  <c r="AA52" i="27" s="1"/>
  <c r="AA53" i="27" s="1"/>
  <c r="AA54" i="27" s="1"/>
  <c r="V21" i="27"/>
  <c r="V22" i="27" s="1"/>
  <c r="V23" i="27" s="1"/>
  <c r="V24" i="27" s="1"/>
  <c r="V26" i="27" s="1"/>
  <c r="V27" i="27" s="1"/>
  <c r="V28" i="27" s="1"/>
  <c r="V29" i="27" s="1"/>
  <c r="V30" i="27" s="1"/>
  <c r="V31" i="27" s="1"/>
  <c r="V32" i="27" s="1"/>
  <c r="V33" i="27" s="1"/>
  <c r="V34" i="27" s="1"/>
  <c r="V35" i="27" s="1"/>
  <c r="V36" i="27" s="1"/>
  <c r="V37" i="27" s="1"/>
  <c r="V38" i="27" s="1"/>
  <c r="V39" i="27" s="1"/>
  <c r="V40" i="27" s="1"/>
  <c r="V42" i="27" s="1"/>
  <c r="V43" i="27" s="1"/>
  <c r="V44" i="27" s="1"/>
  <c r="V45" i="27" s="1"/>
  <c r="V46" i="27" s="1"/>
  <c r="V47" i="27" s="1"/>
  <c r="V48" i="27" s="1"/>
  <c r="V49" i="27" s="1"/>
  <c r="V50" i="27" s="1"/>
  <c r="V51" i="27" s="1"/>
  <c r="V52" i="27" s="1"/>
  <c r="V53" i="27" s="1"/>
  <c r="V54" i="27" s="1"/>
  <c r="W21" i="27"/>
  <c r="X21" i="27"/>
  <c r="W22" i="27"/>
  <c r="X22" i="27"/>
  <c r="W23" i="27"/>
  <c r="X23" i="27"/>
  <c r="W24" i="27"/>
  <c r="X24" i="27"/>
  <c r="W26" i="27"/>
  <c r="X26" i="27"/>
  <c r="W27" i="27"/>
  <c r="X27" i="27"/>
  <c r="X28" i="27" s="1"/>
  <c r="X29" i="27" s="1"/>
  <c r="X30" i="27" s="1"/>
  <c r="X31" i="27" s="1"/>
  <c r="X32" i="27" s="1"/>
  <c r="X33" i="27" s="1"/>
  <c r="X34" i="27" s="1"/>
  <c r="X35" i="27" s="1"/>
  <c r="X36" i="27" s="1"/>
  <c r="X37" i="27" s="1"/>
  <c r="X38" i="27" s="1"/>
  <c r="X39" i="27" s="1"/>
  <c r="X40" i="27" s="1"/>
  <c r="X42" i="27" s="1"/>
  <c r="X43" i="27" s="1"/>
  <c r="X44" i="27" s="1"/>
  <c r="X45" i="27" s="1"/>
  <c r="X46" i="27" s="1"/>
  <c r="X47" i="27" s="1"/>
  <c r="X48" i="27" s="1"/>
  <c r="X49" i="27" s="1"/>
  <c r="X50" i="27" s="1"/>
  <c r="X51" i="27" s="1"/>
  <c r="X52" i="27" s="1"/>
  <c r="X53" i="27" s="1"/>
  <c r="X54" i="27" s="1"/>
  <c r="X55" i="27" s="1"/>
  <c r="X56" i="27" s="1"/>
  <c r="X57" i="27" s="1"/>
  <c r="X58" i="27" s="1"/>
  <c r="X59" i="27" s="1"/>
  <c r="X60" i="27" s="1"/>
  <c r="X61" i="27" s="1"/>
  <c r="X62" i="27" s="1"/>
  <c r="X63" i="27" s="1"/>
  <c r="X64" i="27" s="1"/>
  <c r="X65" i="27" s="1"/>
  <c r="X66" i="27" s="1"/>
  <c r="X67" i="27" s="1"/>
  <c r="X68" i="27" s="1"/>
  <c r="X69" i="27" s="1"/>
  <c r="X70" i="27" s="1"/>
  <c r="X71" i="27" s="1"/>
  <c r="X72" i="27" s="1"/>
  <c r="X73" i="27" s="1"/>
  <c r="X74" i="27" s="1"/>
  <c r="X75" i="27" s="1"/>
  <c r="X76" i="27" s="1"/>
  <c r="X77" i="27" s="1"/>
  <c r="X78" i="27" s="1"/>
  <c r="X79" i="27" s="1"/>
  <c r="X80" i="27" s="1"/>
  <c r="X81" i="27" s="1"/>
  <c r="X82" i="27" s="1"/>
  <c r="X83" i="27" s="1"/>
  <c r="X84" i="27" s="1"/>
  <c r="X85" i="27" s="1"/>
  <c r="X86" i="27" s="1"/>
  <c r="X87" i="27" s="1"/>
  <c r="X88" i="27" s="1"/>
  <c r="X89" i="27" s="1"/>
  <c r="X90" i="27" s="1"/>
  <c r="X91" i="27" s="1"/>
  <c r="X92" i="27" s="1"/>
  <c r="X93" i="27" s="1"/>
  <c r="X94" i="27" s="1"/>
  <c r="X95" i="27" s="1"/>
  <c r="X96" i="27" s="1"/>
  <c r="X97" i="27" s="1"/>
  <c r="X98" i="27" s="1"/>
  <c r="X99" i="27" s="1"/>
  <c r="X100" i="27" s="1"/>
  <c r="X101" i="27" s="1"/>
  <c r="X102" i="27" s="1"/>
  <c r="X103" i="27" s="1"/>
  <c r="X104" i="27" s="1"/>
  <c r="X105" i="27" s="1"/>
  <c r="X106" i="27" s="1"/>
  <c r="X107" i="27" s="1"/>
  <c r="X108" i="27" s="1"/>
  <c r="X109" i="27" s="1"/>
  <c r="X110" i="27" s="1"/>
  <c r="X111" i="27" s="1"/>
  <c r="X112" i="27" s="1"/>
  <c r="X113" i="27" s="1"/>
  <c r="X114" i="27" s="1"/>
  <c r="X115" i="27" s="1"/>
  <c r="X116" i="27" s="1"/>
  <c r="X117" i="27" s="1"/>
  <c r="X118" i="27" s="1"/>
  <c r="X119" i="27" s="1"/>
  <c r="X120" i="27" s="1"/>
  <c r="X121" i="27" s="1"/>
  <c r="X122" i="27" s="1"/>
  <c r="X123" i="27" s="1"/>
  <c r="X124" i="27" s="1"/>
  <c r="X125" i="27" s="1"/>
  <c r="X126" i="27" s="1"/>
  <c r="X127" i="27" s="1"/>
  <c r="X128" i="27" s="1"/>
  <c r="X129" i="27" s="1"/>
  <c r="X130" i="27" s="1"/>
  <c r="X131" i="27" s="1"/>
  <c r="X132" i="27" s="1"/>
  <c r="X133" i="27" s="1"/>
  <c r="X134" i="27" s="1"/>
  <c r="X135" i="27" s="1"/>
  <c r="X136" i="27" s="1"/>
  <c r="X137" i="27" s="1"/>
  <c r="X138" i="27" s="1"/>
  <c r="X139" i="27" s="1"/>
  <c r="X140" i="27" s="1"/>
  <c r="X141" i="27" s="1"/>
  <c r="X142" i="27" s="1"/>
  <c r="X143" i="27" s="1"/>
  <c r="X144" i="27" s="1"/>
  <c r="X145" i="27" s="1"/>
  <c r="X146" i="27" s="1"/>
  <c r="X147" i="27" s="1"/>
  <c r="X148" i="27" s="1"/>
  <c r="X149" i="27" s="1"/>
  <c r="X150" i="27" s="1"/>
  <c r="X151" i="27" s="1"/>
  <c r="X152" i="27" s="1"/>
  <c r="X153" i="27" s="1"/>
  <c r="X154" i="27" s="1"/>
  <c r="X155" i="27" s="1"/>
  <c r="X156" i="27" s="1"/>
  <c r="X157" i="27" s="1"/>
  <c r="X158" i="27" s="1"/>
  <c r="X159" i="27" s="1"/>
  <c r="X160" i="27" s="1"/>
  <c r="X161" i="27" s="1"/>
  <c r="X162" i="27" s="1"/>
  <c r="X163" i="27" s="1"/>
  <c r="X164" i="27" s="1"/>
  <c r="X165" i="27" s="1"/>
  <c r="X166" i="27" s="1"/>
  <c r="X167" i="27" s="1"/>
  <c r="X168" i="27" s="1"/>
  <c r="X169" i="27" s="1"/>
  <c r="X170" i="27" s="1"/>
  <c r="X171" i="27" s="1"/>
  <c r="X172" i="27" s="1"/>
  <c r="X173" i="27" s="1"/>
  <c r="X174" i="27" s="1"/>
  <c r="X175" i="27" s="1"/>
  <c r="X176" i="27" s="1"/>
  <c r="X177" i="27" s="1"/>
  <c r="X178" i="27" s="1"/>
  <c r="X179" i="27" s="1"/>
  <c r="X180" i="27" s="1"/>
  <c r="X181" i="27" s="1"/>
  <c r="X182" i="27" s="1"/>
  <c r="X183" i="27" s="1"/>
  <c r="X184" i="27" s="1"/>
  <c r="X185" i="27" s="1"/>
  <c r="X186" i="27" s="1"/>
  <c r="X187" i="27" s="1"/>
  <c r="X188" i="27" s="1"/>
  <c r="X189" i="27" s="1"/>
  <c r="X190" i="27" s="1"/>
  <c r="X191" i="27" s="1"/>
  <c r="X192" i="27" s="1"/>
  <c r="X193" i="27" s="1"/>
  <c r="X194" i="27" s="1"/>
  <c r="X195" i="27" s="1"/>
  <c r="X196" i="27" s="1"/>
  <c r="X197" i="27" s="1"/>
  <c r="X198" i="27" s="1"/>
  <c r="X199" i="27" s="1"/>
  <c r="X200" i="27" s="1"/>
  <c r="X201" i="27" s="1"/>
  <c r="X202" i="27" s="1"/>
  <c r="X203" i="27" s="1"/>
  <c r="X204" i="27" s="1"/>
  <c r="X205" i="27" s="1"/>
  <c r="X206" i="27" s="1"/>
  <c r="X207" i="27" s="1"/>
  <c r="X208" i="27" s="1"/>
  <c r="X209" i="27" s="1"/>
  <c r="X210" i="27" s="1"/>
  <c r="X211" i="27" s="1"/>
  <c r="X212" i="27" s="1"/>
  <c r="X213" i="27" s="1"/>
  <c r="X214" i="27" s="1"/>
  <c r="X215" i="27" s="1"/>
  <c r="X216" i="27" s="1"/>
  <c r="X217" i="27" s="1"/>
  <c r="X218" i="27" s="1"/>
  <c r="X219" i="27" s="1"/>
  <c r="X220" i="27" s="1"/>
  <c r="X221" i="27" s="1"/>
  <c r="X222" i="27" s="1"/>
  <c r="X223" i="27" s="1"/>
  <c r="X224" i="27" s="1"/>
  <c r="X225" i="27" s="1"/>
  <c r="X226" i="27" s="1"/>
  <c r="X227" i="27" s="1"/>
  <c r="X228" i="27" s="1"/>
  <c r="X229" i="27" s="1"/>
  <c r="X230" i="27" s="1"/>
  <c r="X231" i="27" s="1"/>
  <c r="X232" i="27" s="1"/>
  <c r="X233" i="27" s="1"/>
  <c r="X234" i="27" s="1"/>
  <c r="X235" i="27" s="1"/>
  <c r="X236" i="27" s="1"/>
  <c r="X237" i="27" s="1"/>
  <c r="X238" i="27" s="1"/>
  <c r="X239" i="27" s="1"/>
  <c r="X240" i="27" s="1"/>
  <c r="X241" i="27" s="1"/>
  <c r="X242" i="27" s="1"/>
  <c r="X243" i="27" s="1"/>
  <c r="X244" i="27" s="1"/>
  <c r="X245" i="27" s="1"/>
  <c r="X246" i="27" s="1"/>
  <c r="X247" i="27" s="1"/>
  <c r="X248" i="27" s="1"/>
  <c r="X249" i="27" s="1"/>
  <c r="X250" i="27" s="1"/>
  <c r="X251" i="27" s="1"/>
  <c r="X252" i="27" s="1"/>
  <c r="X253" i="27" s="1"/>
  <c r="X254" i="27" s="1"/>
  <c r="X255" i="27" s="1"/>
  <c r="X256" i="27" s="1"/>
  <c r="X257" i="27" s="1"/>
  <c r="X258" i="27" s="1"/>
  <c r="X259" i="27" s="1"/>
  <c r="X260" i="27" s="1"/>
  <c r="X261" i="27" s="1"/>
  <c r="X262" i="27" s="1"/>
  <c r="X263" i="27" s="1"/>
  <c r="X264" i="27" s="1"/>
  <c r="X265" i="27" s="1"/>
  <c r="X266" i="27" s="1"/>
  <c r="X267" i="27" s="1"/>
  <c r="X268" i="27" s="1"/>
  <c r="X269" i="27" s="1"/>
  <c r="X270" i="27" s="1"/>
  <c r="X271" i="27" s="1"/>
  <c r="X272" i="27" s="1"/>
  <c r="X273" i="27" s="1"/>
  <c r="X274" i="27" s="1"/>
  <c r="X275" i="27" s="1"/>
  <c r="X276" i="27" s="1"/>
  <c r="X277" i="27" s="1"/>
  <c r="X278" i="27" s="1"/>
  <c r="X279" i="27" s="1"/>
  <c r="X280" i="27" s="1"/>
  <c r="X281" i="27" s="1"/>
  <c r="X282" i="27" s="1"/>
  <c r="X283" i="27" s="1"/>
  <c r="X284" i="27" s="1"/>
  <c r="X285" i="27" s="1"/>
  <c r="X286" i="27" s="1"/>
  <c r="X287" i="27" s="1"/>
  <c r="X288" i="27" s="1"/>
  <c r="X289" i="27" s="1"/>
  <c r="X290" i="27" s="1"/>
  <c r="X291" i="27" s="1"/>
  <c r="X292" i="27" s="1"/>
  <c r="X293" i="27" s="1"/>
  <c r="X294" i="27" s="1"/>
  <c r="X295" i="27" s="1"/>
  <c r="X296" i="27" s="1"/>
  <c r="X297" i="27" s="1"/>
  <c r="X298" i="27" s="1"/>
  <c r="X299" i="27" s="1"/>
  <c r="X300" i="27" s="1"/>
  <c r="X301" i="27" s="1"/>
  <c r="X302" i="27" s="1"/>
  <c r="X303" i="27" s="1"/>
  <c r="X304" i="27" s="1"/>
  <c r="X305" i="27" s="1"/>
  <c r="X306" i="27" s="1"/>
  <c r="X307" i="27" s="1"/>
  <c r="X308" i="27" s="1"/>
  <c r="X309" i="27" s="1"/>
  <c r="W28" i="27"/>
  <c r="W29" i="27" s="1"/>
  <c r="W30" i="27" s="1"/>
  <c r="W31" i="27" s="1"/>
  <c r="W32" i="27" s="1"/>
  <c r="W33" i="27" s="1"/>
  <c r="W34" i="27" s="1"/>
  <c r="W35" i="27" s="1"/>
  <c r="W36" i="27" s="1"/>
  <c r="W37" i="27" s="1"/>
  <c r="W38" i="27" s="1"/>
  <c r="W39" i="27" s="1"/>
  <c r="W40" i="27" s="1"/>
  <c r="W42" i="27" s="1"/>
  <c r="W43" i="27" s="1"/>
  <c r="W44" i="27" s="1"/>
  <c r="W45" i="27" s="1"/>
  <c r="W46" i="27" s="1"/>
  <c r="W47" i="27" s="1"/>
  <c r="W48" i="27" s="1"/>
  <c r="W49" i="27" s="1"/>
  <c r="W50" i="27" s="1"/>
  <c r="W51" i="27" s="1"/>
  <c r="W52" i="27" s="1"/>
  <c r="W53" i="27" s="1"/>
  <c r="W54" i="27" s="1"/>
  <c r="W55" i="27" s="1"/>
  <c r="W56" i="27" s="1"/>
  <c r="W57" i="27" s="1"/>
  <c r="W58" i="27" s="1"/>
  <c r="W59" i="27" s="1"/>
  <c r="W60" i="27" s="1"/>
  <c r="W61" i="27" s="1"/>
  <c r="W62" i="27" s="1"/>
  <c r="W63" i="27" s="1"/>
  <c r="W64" i="27" s="1"/>
  <c r="W65" i="27" s="1"/>
  <c r="W66" i="27" s="1"/>
  <c r="W67" i="27" s="1"/>
  <c r="W68" i="27" s="1"/>
  <c r="W69" i="27" s="1"/>
  <c r="W70" i="27" s="1"/>
  <c r="W71" i="27" s="1"/>
  <c r="W72" i="27" s="1"/>
  <c r="W73" i="27" s="1"/>
  <c r="W74" i="27" s="1"/>
  <c r="W75" i="27" s="1"/>
  <c r="W76" i="27" s="1"/>
  <c r="W77" i="27" s="1"/>
  <c r="W78" i="27" s="1"/>
  <c r="W79" i="27" s="1"/>
  <c r="W80" i="27" s="1"/>
  <c r="W81" i="27" s="1"/>
  <c r="W82" i="27" s="1"/>
  <c r="W83" i="27" s="1"/>
  <c r="W84" i="27" s="1"/>
  <c r="W85" i="27" s="1"/>
  <c r="W86" i="27" s="1"/>
  <c r="W87" i="27" s="1"/>
  <c r="W88" i="27" s="1"/>
  <c r="W89" i="27" s="1"/>
  <c r="W90" i="27" s="1"/>
  <c r="W91" i="27" s="1"/>
  <c r="W92" i="27" s="1"/>
  <c r="W93" i="27" s="1"/>
  <c r="W94" i="27" s="1"/>
  <c r="W95" i="27" s="1"/>
  <c r="W96" i="27" s="1"/>
  <c r="W97" i="27" s="1"/>
  <c r="W98" i="27" s="1"/>
  <c r="W99" i="27" s="1"/>
  <c r="W100" i="27" s="1"/>
  <c r="W101" i="27" s="1"/>
  <c r="W102" i="27" s="1"/>
  <c r="W103" i="27" s="1"/>
  <c r="W104" i="27" s="1"/>
  <c r="W105" i="27" s="1"/>
  <c r="W106" i="27" s="1"/>
  <c r="W107" i="27" s="1"/>
  <c r="W108" i="27" s="1"/>
  <c r="W109" i="27" s="1"/>
  <c r="W110" i="27" s="1"/>
  <c r="W111" i="27" s="1"/>
  <c r="W112" i="27" s="1"/>
  <c r="W113" i="27" s="1"/>
  <c r="W114" i="27" s="1"/>
  <c r="W115" i="27" s="1"/>
  <c r="W116" i="27" s="1"/>
  <c r="W117" i="27" s="1"/>
  <c r="W118" i="27" s="1"/>
  <c r="W119" i="27" s="1"/>
  <c r="W120" i="27" s="1"/>
  <c r="W121" i="27" s="1"/>
  <c r="W122" i="27" s="1"/>
  <c r="W123" i="27" s="1"/>
  <c r="W124" i="27" s="1"/>
  <c r="W125" i="27" s="1"/>
  <c r="W126" i="27" s="1"/>
  <c r="W127" i="27" s="1"/>
  <c r="W128" i="27" s="1"/>
  <c r="W129" i="27" s="1"/>
  <c r="W130" i="27" s="1"/>
  <c r="W131" i="27" s="1"/>
  <c r="W132" i="27" s="1"/>
  <c r="W133" i="27" s="1"/>
  <c r="W134" i="27" s="1"/>
  <c r="W135" i="27" s="1"/>
  <c r="W136" i="27" s="1"/>
  <c r="W137" i="27" s="1"/>
  <c r="W138" i="27" s="1"/>
  <c r="W139" i="27" s="1"/>
  <c r="W140" i="27" s="1"/>
  <c r="W141" i="27" s="1"/>
  <c r="W142" i="27" s="1"/>
  <c r="W143" i="27" s="1"/>
  <c r="W144" i="27" s="1"/>
  <c r="W145" i="27" s="1"/>
  <c r="W146" i="27" s="1"/>
  <c r="W147" i="27" s="1"/>
  <c r="W148" i="27" s="1"/>
  <c r="W149" i="27" s="1"/>
  <c r="W150" i="27" s="1"/>
  <c r="W151" i="27" s="1"/>
  <c r="W152" i="27" s="1"/>
  <c r="W153" i="27" s="1"/>
  <c r="W154" i="27" s="1"/>
  <c r="W155" i="27" s="1"/>
  <c r="W156" i="27" s="1"/>
  <c r="W157" i="27" s="1"/>
  <c r="W158" i="27" s="1"/>
  <c r="W159" i="27" s="1"/>
  <c r="W160" i="27" s="1"/>
  <c r="W161" i="27" s="1"/>
  <c r="W162" i="27" s="1"/>
  <c r="W163" i="27" s="1"/>
  <c r="W164" i="27" s="1"/>
  <c r="W165" i="27" s="1"/>
  <c r="W166" i="27" s="1"/>
  <c r="W167" i="27" s="1"/>
  <c r="W168" i="27" s="1"/>
  <c r="W169" i="27" s="1"/>
  <c r="W170" i="27" s="1"/>
  <c r="W171" i="27" s="1"/>
  <c r="W172" i="27" s="1"/>
  <c r="W173" i="27" s="1"/>
  <c r="W174" i="27" s="1"/>
  <c r="W175" i="27" s="1"/>
  <c r="W176" i="27" s="1"/>
  <c r="W177" i="27" s="1"/>
  <c r="W178" i="27" s="1"/>
  <c r="W179" i="27" s="1"/>
  <c r="W180" i="27" s="1"/>
  <c r="W181" i="27" s="1"/>
  <c r="W182" i="27" s="1"/>
  <c r="W183" i="27" s="1"/>
  <c r="W184" i="27" s="1"/>
  <c r="W185" i="27" s="1"/>
  <c r="W186" i="27" s="1"/>
  <c r="W187" i="27" s="1"/>
  <c r="W188" i="27" s="1"/>
  <c r="W189" i="27" s="1"/>
  <c r="W190" i="27" s="1"/>
  <c r="W191" i="27" s="1"/>
  <c r="W192" i="27" s="1"/>
  <c r="W193" i="27" s="1"/>
  <c r="W194" i="27" s="1"/>
  <c r="W195" i="27" s="1"/>
  <c r="W196" i="27" s="1"/>
  <c r="W197" i="27" s="1"/>
  <c r="W198" i="27" s="1"/>
  <c r="W199" i="27" s="1"/>
  <c r="W200" i="27" s="1"/>
  <c r="W201" i="27" s="1"/>
  <c r="W202" i="27" s="1"/>
  <c r="W203" i="27" s="1"/>
  <c r="W204" i="27" s="1"/>
  <c r="W205" i="27" s="1"/>
  <c r="W206" i="27" s="1"/>
  <c r="W207" i="27" s="1"/>
  <c r="W208" i="27" s="1"/>
  <c r="W209" i="27" s="1"/>
  <c r="W210" i="27" s="1"/>
  <c r="W211" i="27" s="1"/>
  <c r="W212" i="27" s="1"/>
  <c r="W213" i="27" s="1"/>
  <c r="W214" i="27" s="1"/>
  <c r="W215" i="27" s="1"/>
  <c r="W216" i="27" s="1"/>
  <c r="W217" i="27" s="1"/>
  <c r="W218" i="27" s="1"/>
  <c r="W219" i="27" s="1"/>
  <c r="W220" i="27" s="1"/>
  <c r="W221" i="27" s="1"/>
  <c r="W222" i="27" s="1"/>
  <c r="W223" i="27" s="1"/>
  <c r="W224" i="27" s="1"/>
  <c r="W225" i="27" s="1"/>
  <c r="W226" i="27" s="1"/>
  <c r="W227" i="27" s="1"/>
  <c r="W228" i="27" s="1"/>
  <c r="W229" i="27" s="1"/>
  <c r="W230" i="27" s="1"/>
  <c r="W231" i="27" s="1"/>
  <c r="W232" i="27" s="1"/>
  <c r="W233" i="27" s="1"/>
  <c r="W234" i="27" s="1"/>
  <c r="W235" i="27" s="1"/>
  <c r="W236" i="27" s="1"/>
  <c r="W237" i="27" s="1"/>
  <c r="W238" i="27" s="1"/>
  <c r="W239" i="27" s="1"/>
  <c r="W240" i="27" s="1"/>
  <c r="W241" i="27" s="1"/>
  <c r="W242" i="27" s="1"/>
  <c r="W243" i="27" s="1"/>
  <c r="W244" i="27" s="1"/>
  <c r="W245" i="27" s="1"/>
  <c r="W246" i="27" s="1"/>
  <c r="W247" i="27" s="1"/>
  <c r="W248" i="27" s="1"/>
  <c r="W249" i="27" s="1"/>
  <c r="W250" i="27" s="1"/>
  <c r="W251" i="27" s="1"/>
  <c r="W252" i="27" s="1"/>
  <c r="W253" i="27" s="1"/>
  <c r="W254" i="27" s="1"/>
  <c r="W255" i="27" s="1"/>
  <c r="W256" i="27" s="1"/>
  <c r="W257" i="27" s="1"/>
  <c r="W258" i="27" s="1"/>
  <c r="W259" i="27" s="1"/>
  <c r="W260" i="27" s="1"/>
  <c r="W261" i="27" s="1"/>
  <c r="W262" i="27" s="1"/>
  <c r="W263" i="27" s="1"/>
  <c r="W264" i="27" s="1"/>
  <c r="W265" i="27" s="1"/>
  <c r="W266" i="27" s="1"/>
  <c r="W267" i="27" s="1"/>
  <c r="W268" i="27" s="1"/>
  <c r="W269" i="27" s="1"/>
  <c r="W270" i="27" s="1"/>
  <c r="W271" i="27" s="1"/>
  <c r="W272" i="27" s="1"/>
  <c r="W273" i="27" s="1"/>
  <c r="W274" i="27" s="1"/>
  <c r="W275" i="27" s="1"/>
  <c r="W276" i="27" s="1"/>
  <c r="W277" i="27" s="1"/>
  <c r="W278" i="27" s="1"/>
  <c r="W279" i="27" s="1"/>
  <c r="W280" i="27" s="1"/>
  <c r="W281" i="27" s="1"/>
  <c r="W282" i="27" s="1"/>
  <c r="W283" i="27" s="1"/>
  <c r="W284" i="27" s="1"/>
  <c r="W285" i="27" s="1"/>
  <c r="W286" i="27" s="1"/>
  <c r="W287" i="27" s="1"/>
  <c r="W288" i="27" s="1"/>
  <c r="W289" i="27" s="1"/>
  <c r="W290" i="27" s="1"/>
  <c r="W291" i="27" s="1"/>
  <c r="W292" i="27" s="1"/>
  <c r="W293" i="27" s="1"/>
  <c r="W294" i="27" s="1"/>
  <c r="W295" i="27" s="1"/>
  <c r="W296" i="27" s="1"/>
  <c r="W297" i="27" s="1"/>
  <c r="W298" i="27" s="1"/>
  <c r="W299" i="27" s="1"/>
  <c r="W300" i="27" s="1"/>
  <c r="W301" i="27" s="1"/>
  <c r="W302" i="27" s="1"/>
  <c r="W303" i="27" s="1"/>
  <c r="W304" i="27" s="1"/>
  <c r="W305" i="27" s="1"/>
  <c r="W306" i="27" s="1"/>
  <c r="W307" i="27" s="1"/>
  <c r="W308" i="27" s="1"/>
  <c r="W309" i="27" s="1"/>
  <c r="J21" i="27"/>
  <c r="K21" i="27"/>
  <c r="L21" i="27"/>
  <c r="J22" i="27"/>
  <c r="K22" i="27"/>
  <c r="L22" i="27"/>
  <c r="L23" i="27" s="1"/>
  <c r="L24" i="27" s="1"/>
  <c r="L26" i="27" s="1"/>
  <c r="L27" i="27" s="1"/>
  <c r="L28" i="27" s="1"/>
  <c r="L29" i="27" s="1"/>
  <c r="L30" i="27" s="1"/>
  <c r="L31" i="27" s="1"/>
  <c r="L32" i="27" s="1"/>
  <c r="L33" i="27" s="1"/>
  <c r="L34" i="27" s="1"/>
  <c r="L35" i="27" s="1"/>
  <c r="L36" i="27" s="1"/>
  <c r="L37" i="27" s="1"/>
  <c r="L38" i="27" s="1"/>
  <c r="L39" i="27" s="1"/>
  <c r="L40" i="27" s="1"/>
  <c r="L42" i="27" s="1"/>
  <c r="L43" i="27" s="1"/>
  <c r="L44" i="27" s="1"/>
  <c r="L45" i="27" s="1"/>
  <c r="L46" i="27" s="1"/>
  <c r="L47" i="27" s="1"/>
  <c r="L48" i="27" s="1"/>
  <c r="L49" i="27" s="1"/>
  <c r="L50" i="27" s="1"/>
  <c r="L51" i="27" s="1"/>
  <c r="L52" i="27" s="1"/>
  <c r="L53" i="27" s="1"/>
  <c r="L54" i="27" s="1"/>
  <c r="J23" i="27"/>
  <c r="J24" i="27" s="1"/>
  <c r="J26" i="27" s="1"/>
  <c r="J27" i="27" s="1"/>
  <c r="J28" i="27" s="1"/>
  <c r="J29" i="27" s="1"/>
  <c r="J30" i="27" s="1"/>
  <c r="J31" i="27" s="1"/>
  <c r="J32" i="27" s="1"/>
  <c r="J33" i="27" s="1"/>
  <c r="J34" i="27" s="1"/>
  <c r="J35" i="27" s="1"/>
  <c r="J36" i="27" s="1"/>
  <c r="J37" i="27" s="1"/>
  <c r="J38" i="27" s="1"/>
  <c r="J39" i="27" s="1"/>
  <c r="J40" i="27" s="1"/>
  <c r="J42" i="27" s="1"/>
  <c r="J43" i="27" s="1"/>
  <c r="J44" i="27" s="1"/>
  <c r="J45" i="27" s="1"/>
  <c r="J46" i="27" s="1"/>
  <c r="J47" i="27" s="1"/>
  <c r="J48" i="27" s="1"/>
  <c r="J49" i="27" s="1"/>
  <c r="J50" i="27" s="1"/>
  <c r="J51" i="27" s="1"/>
  <c r="J52" i="27" s="1"/>
  <c r="J53" i="27" s="1"/>
  <c r="J54" i="27" s="1"/>
  <c r="J55" i="27" s="1"/>
  <c r="J56" i="27" s="1"/>
  <c r="J57" i="27" s="1"/>
  <c r="J58" i="27" s="1"/>
  <c r="J59" i="27" s="1"/>
  <c r="J60" i="27" s="1"/>
  <c r="J61" i="27" s="1"/>
  <c r="J62" i="27" s="1"/>
  <c r="J63" i="27" s="1"/>
  <c r="J64" i="27" s="1"/>
  <c r="J65" i="27" s="1"/>
  <c r="J66" i="27" s="1"/>
  <c r="J67" i="27" s="1"/>
  <c r="J68" i="27" s="1"/>
  <c r="J69" i="27" s="1"/>
  <c r="J70" i="27" s="1"/>
  <c r="J71" i="27" s="1"/>
  <c r="J72" i="27" s="1"/>
  <c r="J73" i="27" s="1"/>
  <c r="J74" i="27" s="1"/>
  <c r="J75" i="27" s="1"/>
  <c r="J76" i="27" s="1"/>
  <c r="J77" i="27" s="1"/>
  <c r="J78" i="27" s="1"/>
  <c r="J79" i="27" s="1"/>
  <c r="J80" i="27" s="1"/>
  <c r="J81" i="27" s="1"/>
  <c r="J82" i="27" s="1"/>
  <c r="J83" i="27" s="1"/>
  <c r="J84" i="27" s="1"/>
  <c r="J85" i="27" s="1"/>
  <c r="J86" i="27" s="1"/>
  <c r="J87" i="27" s="1"/>
  <c r="J88" i="27" s="1"/>
  <c r="J89" i="27" s="1"/>
  <c r="J90" i="27" s="1"/>
  <c r="J91" i="27" s="1"/>
  <c r="J92" i="27" s="1"/>
  <c r="J93" i="27" s="1"/>
  <c r="J94" i="27" s="1"/>
  <c r="J95" i="27" s="1"/>
  <c r="J96" i="27" s="1"/>
  <c r="J97" i="27" s="1"/>
  <c r="J98" i="27" s="1"/>
  <c r="J99" i="27" s="1"/>
  <c r="J100" i="27" s="1"/>
  <c r="J101" i="27" s="1"/>
  <c r="J102" i="27" s="1"/>
  <c r="J103" i="27" s="1"/>
  <c r="J104" i="27" s="1"/>
  <c r="J105" i="27" s="1"/>
  <c r="J106" i="27" s="1"/>
  <c r="J107" i="27" s="1"/>
  <c r="J108" i="27" s="1"/>
  <c r="J109" i="27" s="1"/>
  <c r="J110" i="27" s="1"/>
  <c r="J111" i="27" s="1"/>
  <c r="J112" i="27" s="1"/>
  <c r="J113" i="27" s="1"/>
  <c r="J114" i="27" s="1"/>
  <c r="J115" i="27" s="1"/>
  <c r="J116" i="27" s="1"/>
  <c r="J117" i="27" s="1"/>
  <c r="J118" i="27" s="1"/>
  <c r="J119" i="27" s="1"/>
  <c r="J120" i="27" s="1"/>
  <c r="J121" i="27" s="1"/>
  <c r="J122" i="27" s="1"/>
  <c r="J123" i="27" s="1"/>
  <c r="J124" i="27" s="1"/>
  <c r="J125" i="27" s="1"/>
  <c r="J126" i="27" s="1"/>
  <c r="J127" i="27" s="1"/>
  <c r="J128" i="27" s="1"/>
  <c r="J129" i="27" s="1"/>
  <c r="J130" i="27" s="1"/>
  <c r="J131" i="27" s="1"/>
  <c r="J132" i="27" s="1"/>
  <c r="J133" i="27" s="1"/>
  <c r="J134" i="27" s="1"/>
  <c r="J135" i="27" s="1"/>
  <c r="J136" i="27" s="1"/>
  <c r="J137" i="27" s="1"/>
  <c r="J138" i="27" s="1"/>
  <c r="J139" i="27" s="1"/>
  <c r="J140" i="27" s="1"/>
  <c r="J141" i="27" s="1"/>
  <c r="J142" i="27" s="1"/>
  <c r="J143" i="27" s="1"/>
  <c r="J144" i="27" s="1"/>
  <c r="J145" i="27" s="1"/>
  <c r="J146" i="27" s="1"/>
  <c r="J147" i="27" s="1"/>
  <c r="J148" i="27" s="1"/>
  <c r="J149" i="27" s="1"/>
  <c r="J150" i="27" s="1"/>
  <c r="J151" i="27" s="1"/>
  <c r="J152" i="27" s="1"/>
  <c r="J153" i="27" s="1"/>
  <c r="J154" i="27" s="1"/>
  <c r="J155" i="27" s="1"/>
  <c r="J156" i="27" s="1"/>
  <c r="J157" i="27" s="1"/>
  <c r="J158" i="27" s="1"/>
  <c r="J159" i="27" s="1"/>
  <c r="J160" i="27" s="1"/>
  <c r="J161" i="27" s="1"/>
  <c r="J162" i="27" s="1"/>
  <c r="J163" i="27" s="1"/>
  <c r="J164" i="27" s="1"/>
  <c r="J165" i="27" s="1"/>
  <c r="J166" i="27" s="1"/>
  <c r="J167" i="27" s="1"/>
  <c r="J168" i="27" s="1"/>
  <c r="J169" i="27" s="1"/>
  <c r="J170" i="27" s="1"/>
  <c r="J171" i="27" s="1"/>
  <c r="J172" i="27" s="1"/>
  <c r="J173" i="27" s="1"/>
  <c r="J174" i="27" s="1"/>
  <c r="J175" i="27" s="1"/>
  <c r="J176" i="27" s="1"/>
  <c r="J177" i="27" s="1"/>
  <c r="J178" i="27" s="1"/>
  <c r="J179" i="27" s="1"/>
  <c r="J180" i="27" s="1"/>
  <c r="J181" i="27" s="1"/>
  <c r="J182" i="27" s="1"/>
  <c r="J183" i="27" s="1"/>
  <c r="J184" i="27" s="1"/>
  <c r="J185" i="27" s="1"/>
  <c r="J186" i="27" s="1"/>
  <c r="J187" i="27" s="1"/>
  <c r="J188" i="27" s="1"/>
  <c r="J189" i="27" s="1"/>
  <c r="J190" i="27" s="1"/>
  <c r="J191" i="27" s="1"/>
  <c r="J192" i="27" s="1"/>
  <c r="J193" i="27" s="1"/>
  <c r="J194" i="27" s="1"/>
  <c r="J195" i="27" s="1"/>
  <c r="J196" i="27" s="1"/>
  <c r="J197" i="27" s="1"/>
  <c r="J198" i="27" s="1"/>
  <c r="J199" i="27" s="1"/>
  <c r="J200" i="27" s="1"/>
  <c r="J201" i="27" s="1"/>
  <c r="J202" i="27" s="1"/>
  <c r="J203" i="27" s="1"/>
  <c r="J204" i="27" s="1"/>
  <c r="J205" i="27" s="1"/>
  <c r="J206" i="27" s="1"/>
  <c r="J207" i="27" s="1"/>
  <c r="J208" i="27" s="1"/>
  <c r="J209" i="27" s="1"/>
  <c r="J210" i="27" s="1"/>
  <c r="J211" i="27" s="1"/>
  <c r="J212" i="27" s="1"/>
  <c r="J213" i="27" s="1"/>
  <c r="J214" i="27" s="1"/>
  <c r="J215" i="27" s="1"/>
  <c r="J216" i="27" s="1"/>
  <c r="J217" i="27" s="1"/>
  <c r="J218" i="27" s="1"/>
  <c r="J219" i="27" s="1"/>
  <c r="J220" i="27" s="1"/>
  <c r="J221" i="27" s="1"/>
  <c r="J222" i="27" s="1"/>
  <c r="J223" i="27" s="1"/>
  <c r="J224" i="27" s="1"/>
  <c r="J225" i="27" s="1"/>
  <c r="J226" i="27" s="1"/>
  <c r="J227" i="27" s="1"/>
  <c r="J228" i="27" s="1"/>
  <c r="J229" i="27" s="1"/>
  <c r="J230" i="27" s="1"/>
  <c r="J231" i="27" s="1"/>
  <c r="J232" i="27" s="1"/>
  <c r="J233" i="27" s="1"/>
  <c r="J234" i="27" s="1"/>
  <c r="J235" i="27" s="1"/>
  <c r="J236" i="27" s="1"/>
  <c r="J237" i="27" s="1"/>
  <c r="J238" i="27" s="1"/>
  <c r="J239" i="27" s="1"/>
  <c r="J240" i="27" s="1"/>
  <c r="J241" i="27" s="1"/>
  <c r="J242" i="27" s="1"/>
  <c r="J243" i="27" s="1"/>
  <c r="J244" i="27" s="1"/>
  <c r="J245" i="27" s="1"/>
  <c r="J246" i="27" s="1"/>
  <c r="J247" i="27" s="1"/>
  <c r="J248" i="27" s="1"/>
  <c r="J249" i="27" s="1"/>
  <c r="J250" i="27" s="1"/>
  <c r="J251" i="27" s="1"/>
  <c r="J252" i="27" s="1"/>
  <c r="J253" i="27" s="1"/>
  <c r="J254" i="27" s="1"/>
  <c r="J255" i="27" s="1"/>
  <c r="J256" i="27" s="1"/>
  <c r="J257" i="27" s="1"/>
  <c r="J258" i="27" s="1"/>
  <c r="J259" i="27" s="1"/>
  <c r="J260" i="27" s="1"/>
  <c r="J261" i="27" s="1"/>
  <c r="J262" i="27" s="1"/>
  <c r="J263" i="27" s="1"/>
  <c r="J264" i="27" s="1"/>
  <c r="J265" i="27" s="1"/>
  <c r="J266" i="27" s="1"/>
  <c r="J267" i="27" s="1"/>
  <c r="J268" i="27" s="1"/>
  <c r="J269" i="27" s="1"/>
  <c r="J270" i="27" s="1"/>
  <c r="J271" i="27" s="1"/>
  <c r="J272" i="27" s="1"/>
  <c r="J273" i="27" s="1"/>
  <c r="J274" i="27" s="1"/>
  <c r="J275" i="27" s="1"/>
  <c r="J276" i="27" s="1"/>
  <c r="J277" i="27" s="1"/>
  <c r="J278" i="27" s="1"/>
  <c r="J279" i="27" s="1"/>
  <c r="J280" i="27" s="1"/>
  <c r="J281" i="27" s="1"/>
  <c r="J282" i="27" s="1"/>
  <c r="J283" i="27" s="1"/>
  <c r="J284" i="27" s="1"/>
  <c r="J285" i="27" s="1"/>
  <c r="J286" i="27" s="1"/>
  <c r="J287" i="27" s="1"/>
  <c r="J288" i="27" s="1"/>
  <c r="J289" i="27" s="1"/>
  <c r="J290" i="27" s="1"/>
  <c r="J291" i="27" s="1"/>
  <c r="J292" i="27" s="1"/>
  <c r="J293" i="27" s="1"/>
  <c r="J294" i="27" s="1"/>
  <c r="J295" i="27" s="1"/>
  <c r="J296" i="27" s="1"/>
  <c r="J297" i="27" s="1"/>
  <c r="J298" i="27" s="1"/>
  <c r="J299" i="27" s="1"/>
  <c r="J300" i="27" s="1"/>
  <c r="J301" i="27" s="1"/>
  <c r="J302" i="27" s="1"/>
  <c r="J303" i="27" s="1"/>
  <c r="J304" i="27" s="1"/>
  <c r="J305" i="27" s="1"/>
  <c r="J306" i="27" s="1"/>
  <c r="J307" i="27" s="1"/>
  <c r="J308" i="27" s="1"/>
  <c r="J309" i="27" s="1"/>
  <c r="K23" i="27"/>
  <c r="K24" i="27" s="1"/>
  <c r="K26" i="27" s="1"/>
  <c r="K27" i="27" s="1"/>
  <c r="K28" i="27" s="1"/>
  <c r="K29" i="27" s="1"/>
  <c r="K30" i="27" s="1"/>
  <c r="K31" i="27" s="1"/>
  <c r="K32" i="27" s="1"/>
  <c r="K33" i="27" s="1"/>
  <c r="K34" i="27" s="1"/>
  <c r="K35" i="27" s="1"/>
  <c r="K36" i="27" s="1"/>
  <c r="K37" i="27" s="1"/>
  <c r="K38" i="27" s="1"/>
  <c r="K39" i="27" s="1"/>
  <c r="K40" i="27" s="1"/>
  <c r="K42" i="27" s="1"/>
  <c r="K43" i="27" s="1"/>
  <c r="K44" i="27" s="1"/>
  <c r="K45" i="27" s="1"/>
  <c r="K46" i="27" s="1"/>
  <c r="K47" i="27" s="1"/>
  <c r="K48" i="27" s="1"/>
  <c r="K49" i="27" s="1"/>
  <c r="K50" i="27" s="1"/>
  <c r="K51" i="27" s="1"/>
  <c r="K52" i="27" s="1"/>
  <c r="K53" i="27" s="1"/>
  <c r="K54" i="27" s="1"/>
  <c r="P20" i="27"/>
  <c r="P21" i="27"/>
  <c r="P22" i="27" s="1"/>
  <c r="P23" i="27" s="1"/>
  <c r="P24" i="27" s="1"/>
  <c r="P26" i="27" s="1"/>
  <c r="P27" i="27" s="1"/>
  <c r="P28" i="27" s="1"/>
  <c r="P29" i="27" s="1"/>
  <c r="P30" i="27" s="1"/>
  <c r="P31" i="27" s="1"/>
  <c r="P32" i="27" s="1"/>
  <c r="P33" i="27" s="1"/>
  <c r="P34" i="27" s="1"/>
  <c r="P35" i="27" s="1"/>
  <c r="P36" i="27" s="1"/>
  <c r="P37" i="27" s="1"/>
  <c r="P38" i="27" s="1"/>
  <c r="P39" i="27" s="1"/>
  <c r="P40" i="27" s="1"/>
  <c r="P42" i="27" s="1"/>
  <c r="P43" i="27" s="1"/>
  <c r="P44" i="27" s="1"/>
  <c r="P45" i="27" s="1"/>
  <c r="P46" i="27" s="1"/>
  <c r="P47" i="27" s="1"/>
  <c r="P48" i="27" s="1"/>
  <c r="P49" i="27" s="1"/>
  <c r="P50" i="27" s="1"/>
  <c r="P51" i="27" s="1"/>
  <c r="P52" i="27" s="1"/>
  <c r="P53" i="27" s="1"/>
  <c r="P54" i="27" s="1"/>
  <c r="P55" i="27" s="1"/>
  <c r="P56" i="27" s="1"/>
  <c r="P57" i="27" s="1"/>
  <c r="P58" i="27" s="1"/>
  <c r="P59" i="27" s="1"/>
  <c r="P60" i="27" s="1"/>
  <c r="P61" i="27" s="1"/>
  <c r="P62" i="27" s="1"/>
  <c r="P63" i="27" s="1"/>
  <c r="P64" i="27" s="1"/>
  <c r="P65" i="27" s="1"/>
  <c r="P66" i="27" s="1"/>
  <c r="P67" i="27" s="1"/>
  <c r="P68" i="27" s="1"/>
  <c r="P69" i="27" s="1"/>
  <c r="P70" i="27" s="1"/>
  <c r="P71" i="27" s="1"/>
  <c r="P72" i="27" s="1"/>
  <c r="P73" i="27" s="1"/>
  <c r="P74" i="27" s="1"/>
  <c r="P75" i="27" s="1"/>
  <c r="P76" i="27" s="1"/>
  <c r="P77" i="27" s="1"/>
  <c r="P78" i="27" s="1"/>
  <c r="P79" i="27" s="1"/>
  <c r="P80" i="27" s="1"/>
  <c r="P81" i="27" s="1"/>
  <c r="P82" i="27" s="1"/>
  <c r="P83" i="27" s="1"/>
  <c r="P84" i="27" s="1"/>
  <c r="P85" i="27" s="1"/>
  <c r="P86" i="27" s="1"/>
  <c r="P87" i="27" s="1"/>
  <c r="P88" i="27" s="1"/>
  <c r="P89" i="27" s="1"/>
  <c r="P90" i="27" s="1"/>
  <c r="P91" i="27" s="1"/>
  <c r="P92" i="27" s="1"/>
  <c r="P93" i="27" s="1"/>
  <c r="P94" i="27" s="1"/>
  <c r="P95" i="27" s="1"/>
  <c r="P96" i="27" s="1"/>
  <c r="P97" i="27" s="1"/>
  <c r="P98" i="27" s="1"/>
  <c r="P99" i="27" s="1"/>
  <c r="P100" i="27" s="1"/>
  <c r="P101" i="27" s="1"/>
  <c r="P102" i="27" s="1"/>
  <c r="P103" i="27" s="1"/>
  <c r="P104" i="27" s="1"/>
  <c r="P105" i="27" s="1"/>
  <c r="P106" i="27" s="1"/>
  <c r="P107" i="27" s="1"/>
  <c r="P108" i="27" s="1"/>
  <c r="P109" i="27" s="1"/>
  <c r="P110" i="27" s="1"/>
  <c r="P111" i="27" s="1"/>
  <c r="P112" i="27" s="1"/>
  <c r="P113" i="27" s="1"/>
  <c r="P114" i="27" s="1"/>
  <c r="P115" i="27" s="1"/>
  <c r="P116" i="27" s="1"/>
  <c r="P117" i="27" s="1"/>
  <c r="P118" i="27" s="1"/>
  <c r="P119" i="27" s="1"/>
  <c r="P120" i="27" s="1"/>
  <c r="P121" i="27" s="1"/>
  <c r="P122" i="27" s="1"/>
  <c r="P123" i="27" s="1"/>
  <c r="P124" i="27" s="1"/>
  <c r="P125" i="27" s="1"/>
  <c r="P126" i="27" s="1"/>
  <c r="P127" i="27" s="1"/>
  <c r="P128" i="27" s="1"/>
  <c r="P129" i="27" s="1"/>
  <c r="P130" i="27" s="1"/>
  <c r="P131" i="27" s="1"/>
  <c r="P132" i="27" s="1"/>
  <c r="P133" i="27" s="1"/>
  <c r="P134" i="27" s="1"/>
  <c r="P135" i="27" s="1"/>
  <c r="P136" i="27" s="1"/>
  <c r="P137" i="27" s="1"/>
  <c r="P138" i="27" s="1"/>
  <c r="P139" i="27" s="1"/>
  <c r="P140" i="27" s="1"/>
  <c r="P141" i="27" s="1"/>
  <c r="P142" i="27" s="1"/>
  <c r="P143" i="27" s="1"/>
  <c r="P144" i="27" s="1"/>
  <c r="P145" i="27" s="1"/>
  <c r="P146" i="27" s="1"/>
  <c r="P147" i="27" s="1"/>
  <c r="P148" i="27" s="1"/>
  <c r="P149" i="27" s="1"/>
  <c r="P150" i="27" s="1"/>
  <c r="P151" i="27" s="1"/>
  <c r="P152" i="27" s="1"/>
  <c r="P153" i="27" s="1"/>
  <c r="P154" i="27" s="1"/>
  <c r="P155" i="27" s="1"/>
  <c r="P156" i="27" s="1"/>
  <c r="P157" i="27" s="1"/>
  <c r="P158" i="27" s="1"/>
  <c r="P159" i="27" s="1"/>
  <c r="P160" i="27" s="1"/>
  <c r="P161" i="27" s="1"/>
  <c r="P162" i="27" s="1"/>
  <c r="P163" i="27" s="1"/>
  <c r="P164" i="27" s="1"/>
  <c r="P165" i="27" s="1"/>
  <c r="P166" i="27" s="1"/>
  <c r="P167" i="27" s="1"/>
  <c r="P168" i="27" s="1"/>
  <c r="P169" i="27" s="1"/>
  <c r="P170" i="27" s="1"/>
  <c r="P171" i="27" s="1"/>
  <c r="P172" i="27" s="1"/>
  <c r="P173" i="27" s="1"/>
  <c r="P174" i="27" s="1"/>
  <c r="P175" i="27" s="1"/>
  <c r="P176" i="27" s="1"/>
  <c r="P177" i="27" s="1"/>
  <c r="P178" i="27" s="1"/>
  <c r="P179" i="27" s="1"/>
  <c r="P180" i="27" s="1"/>
  <c r="P181" i="27" s="1"/>
  <c r="P182" i="27" s="1"/>
  <c r="P183" i="27" s="1"/>
  <c r="P184" i="27" s="1"/>
  <c r="P185" i="27" s="1"/>
  <c r="P186" i="27" s="1"/>
  <c r="P187" i="27" s="1"/>
  <c r="P188" i="27" s="1"/>
  <c r="P189" i="27" s="1"/>
  <c r="P190" i="27" s="1"/>
  <c r="P191" i="27" s="1"/>
  <c r="P192" i="27" s="1"/>
  <c r="P193" i="27" s="1"/>
  <c r="P194" i="27" s="1"/>
  <c r="P195" i="27" s="1"/>
  <c r="P196" i="27" s="1"/>
  <c r="P197" i="27" s="1"/>
  <c r="P198" i="27" s="1"/>
  <c r="P199" i="27" s="1"/>
  <c r="P200" i="27" s="1"/>
  <c r="P201" i="27" s="1"/>
  <c r="P202" i="27" s="1"/>
  <c r="P203" i="27" s="1"/>
  <c r="P204" i="27" s="1"/>
  <c r="P205" i="27" s="1"/>
  <c r="P206" i="27" s="1"/>
  <c r="P207" i="27" s="1"/>
  <c r="P208" i="27" s="1"/>
  <c r="P209" i="27" s="1"/>
  <c r="P210" i="27" s="1"/>
  <c r="P211" i="27" s="1"/>
  <c r="P212" i="27" s="1"/>
  <c r="P213" i="27" s="1"/>
  <c r="P214" i="27" s="1"/>
  <c r="P215" i="27" s="1"/>
  <c r="P216" i="27" s="1"/>
  <c r="P217" i="27" s="1"/>
  <c r="P218" i="27" s="1"/>
  <c r="P219" i="27" s="1"/>
  <c r="P220" i="27" s="1"/>
  <c r="P221" i="27" s="1"/>
  <c r="P222" i="27" s="1"/>
  <c r="P223" i="27" s="1"/>
  <c r="P224" i="27" s="1"/>
  <c r="P225" i="27" s="1"/>
  <c r="P226" i="27" s="1"/>
  <c r="P227" i="27" s="1"/>
  <c r="P228" i="27" s="1"/>
  <c r="P229" i="27" s="1"/>
  <c r="P230" i="27" s="1"/>
  <c r="P231" i="27" s="1"/>
  <c r="P232" i="27" s="1"/>
  <c r="P233" i="27" s="1"/>
  <c r="P234" i="27" s="1"/>
  <c r="P235" i="27" s="1"/>
  <c r="P236" i="27" s="1"/>
  <c r="P237" i="27" s="1"/>
  <c r="P238" i="27" s="1"/>
  <c r="P239" i="27" s="1"/>
  <c r="P240" i="27" s="1"/>
  <c r="P241" i="27" s="1"/>
  <c r="P242" i="27" s="1"/>
  <c r="P243" i="27" s="1"/>
  <c r="P244" i="27" s="1"/>
  <c r="P245" i="27" s="1"/>
  <c r="P246" i="27" s="1"/>
  <c r="P247" i="27" s="1"/>
  <c r="P248" i="27" s="1"/>
  <c r="P249" i="27" s="1"/>
  <c r="P250" i="27" s="1"/>
  <c r="P251" i="27" s="1"/>
  <c r="P252" i="27" s="1"/>
  <c r="P253" i="27" s="1"/>
  <c r="P254" i="27" s="1"/>
  <c r="P255" i="27" s="1"/>
  <c r="P256" i="27" s="1"/>
  <c r="P257" i="27" s="1"/>
  <c r="P258" i="27" s="1"/>
  <c r="P259" i="27" s="1"/>
  <c r="P260" i="27" s="1"/>
  <c r="P261" i="27" s="1"/>
  <c r="P262" i="27" s="1"/>
  <c r="P263" i="27" s="1"/>
  <c r="P264" i="27" s="1"/>
  <c r="P265" i="27" s="1"/>
  <c r="P266" i="27" s="1"/>
  <c r="P267" i="27" s="1"/>
  <c r="P268" i="27" s="1"/>
  <c r="P269" i="27" s="1"/>
  <c r="P270" i="27" s="1"/>
  <c r="P271" i="27" s="1"/>
  <c r="P272" i="27" s="1"/>
  <c r="P273" i="27" s="1"/>
  <c r="P274" i="27" s="1"/>
  <c r="P275" i="27" s="1"/>
  <c r="P276" i="27" s="1"/>
  <c r="P277" i="27" s="1"/>
  <c r="P278" i="27" s="1"/>
  <c r="P279" i="27" s="1"/>
  <c r="P280" i="27" s="1"/>
  <c r="P281" i="27" s="1"/>
  <c r="P282" i="27" s="1"/>
  <c r="P283" i="27" s="1"/>
  <c r="P284" i="27" s="1"/>
  <c r="P285" i="27" s="1"/>
  <c r="P286" i="27" s="1"/>
  <c r="P287" i="27" s="1"/>
  <c r="P288" i="27" s="1"/>
  <c r="P289" i="27" s="1"/>
  <c r="P290" i="27" s="1"/>
  <c r="P291" i="27" s="1"/>
  <c r="P292" i="27" s="1"/>
  <c r="P293" i="27" s="1"/>
  <c r="P294" i="27" s="1"/>
  <c r="P295" i="27" s="1"/>
  <c r="P296" i="27" s="1"/>
  <c r="P297" i="27" s="1"/>
  <c r="P298" i="27" s="1"/>
  <c r="P299" i="27" s="1"/>
  <c r="P300" i="27" s="1"/>
  <c r="P301" i="27" s="1"/>
  <c r="P302" i="27" s="1"/>
  <c r="P303" i="27" s="1"/>
  <c r="P304" i="27" s="1"/>
  <c r="P305" i="27" s="1"/>
  <c r="P306" i="27" s="1"/>
  <c r="P307" i="27" s="1"/>
  <c r="P308" i="27" s="1"/>
  <c r="P309" i="27" s="1"/>
  <c r="O21" i="27"/>
  <c r="O22" i="27"/>
  <c r="O23" i="27"/>
  <c r="O24" i="27"/>
  <c r="O26" i="27"/>
  <c r="O27" i="27"/>
  <c r="O28" i="27"/>
  <c r="O29" i="27"/>
  <c r="O30" i="27"/>
  <c r="O31" i="27"/>
  <c r="O32" i="27"/>
  <c r="O33" i="27"/>
  <c r="O34" i="27"/>
  <c r="O35" i="27"/>
  <c r="O36" i="27"/>
  <c r="O37" i="27"/>
  <c r="O38" i="27"/>
  <c r="O39" i="27"/>
  <c r="O40" i="27"/>
  <c r="O42" i="27" s="1"/>
  <c r="O43" i="27" s="1"/>
  <c r="O44" i="27" s="1"/>
  <c r="O45" i="27" s="1"/>
  <c r="O46" i="27" s="1"/>
  <c r="O47" i="27" s="1"/>
  <c r="O48" i="27" s="1"/>
  <c r="O49" i="27" s="1"/>
  <c r="O50" i="27" s="1"/>
  <c r="O51" i="27" s="1"/>
  <c r="O52" i="27" s="1"/>
  <c r="O53" i="27" s="1"/>
  <c r="O54" i="27" s="1"/>
  <c r="AK9" i="27" l="1"/>
  <c r="AK10" i="27"/>
  <c r="AK11" i="27"/>
  <c r="AK12" i="27"/>
  <c r="AK13" i="27"/>
  <c r="AK14" i="27"/>
  <c r="AK15" i="27"/>
  <c r="AK16" i="27"/>
  <c r="AK17" i="27"/>
  <c r="AK18" i="27"/>
  <c r="AK19" i="27"/>
  <c r="AK20" i="27"/>
  <c r="AK21" i="27"/>
  <c r="AK22" i="27"/>
  <c r="AK23" i="27"/>
  <c r="AK24" i="27"/>
  <c r="AK25" i="27"/>
  <c r="AK26" i="27"/>
  <c r="AK27" i="27"/>
  <c r="AK28" i="27"/>
  <c r="AK29" i="27"/>
  <c r="AK30" i="27"/>
  <c r="AK31" i="27"/>
  <c r="AK32" i="27"/>
  <c r="AK33" i="27"/>
  <c r="AK34" i="27"/>
  <c r="AK35" i="27"/>
  <c r="AK36" i="27"/>
  <c r="AK37" i="27"/>
  <c r="AK38" i="27"/>
  <c r="AK39" i="27"/>
  <c r="AK40" i="27"/>
  <c r="AK41" i="27"/>
  <c r="AK42" i="27"/>
  <c r="AK43" i="27"/>
  <c r="AK44" i="27"/>
  <c r="AK45" i="27"/>
  <c r="AK46" i="27"/>
  <c r="AK47" i="27"/>
  <c r="AK48" i="27"/>
  <c r="AK49" i="27"/>
  <c r="AK50" i="27"/>
  <c r="AK51" i="27"/>
  <c r="AK52" i="27"/>
  <c r="AK53" i="27"/>
  <c r="AK54" i="27"/>
  <c r="AK56" i="27"/>
  <c r="AK57" i="27"/>
  <c r="AK58" i="27"/>
  <c r="AK59" i="27"/>
  <c r="AK60" i="27"/>
  <c r="AK61" i="27"/>
  <c r="AK62" i="27"/>
  <c r="AK63" i="27"/>
  <c r="AK64" i="27"/>
  <c r="AK65" i="27"/>
  <c r="AK66" i="27"/>
  <c r="AK67" i="27"/>
  <c r="AK68" i="27"/>
  <c r="AK69" i="27"/>
  <c r="AK70" i="27"/>
  <c r="AK71" i="27"/>
  <c r="AK72" i="27"/>
  <c r="AK73" i="27"/>
  <c r="AK74" i="27"/>
  <c r="AK75" i="27"/>
  <c r="AK76" i="27"/>
  <c r="AK77" i="27"/>
  <c r="AK78" i="27"/>
  <c r="AK79" i="27"/>
  <c r="AK80" i="27"/>
  <c r="AK81" i="27"/>
  <c r="AK82" i="27"/>
  <c r="AK83" i="27"/>
  <c r="AK84" i="27"/>
  <c r="AK85" i="27"/>
  <c r="AK86" i="27"/>
  <c r="AK87" i="27"/>
  <c r="AK88" i="27"/>
  <c r="AK89" i="27"/>
  <c r="AK90" i="27"/>
  <c r="AK91" i="27"/>
  <c r="AK92" i="27"/>
  <c r="AK93" i="27"/>
  <c r="AK94" i="27"/>
  <c r="AK95" i="27"/>
  <c r="AK96" i="27"/>
  <c r="AK97" i="27"/>
  <c r="AK98" i="27"/>
  <c r="AK99" i="27"/>
  <c r="AK100" i="27"/>
  <c r="AK101" i="27"/>
  <c r="AK102" i="27"/>
  <c r="AK103" i="27"/>
  <c r="AK104" i="27"/>
  <c r="AK105" i="27"/>
  <c r="AK106" i="27"/>
  <c r="AK107" i="27"/>
  <c r="AK108" i="27"/>
  <c r="AK109" i="27"/>
  <c r="AK110" i="27"/>
  <c r="AK111" i="27"/>
  <c r="AK112" i="27"/>
  <c r="AK113" i="27"/>
  <c r="AK114" i="27"/>
  <c r="AK115" i="27"/>
  <c r="AK116" i="27"/>
  <c r="AK117" i="27"/>
  <c r="AK118" i="27"/>
  <c r="AK119" i="27"/>
  <c r="AK120" i="27"/>
  <c r="AK121" i="27"/>
  <c r="AK122" i="27"/>
  <c r="AK123" i="27"/>
  <c r="AK124" i="27"/>
  <c r="AK125" i="27"/>
  <c r="AK126" i="27"/>
  <c r="AK127" i="27"/>
  <c r="AK128" i="27"/>
  <c r="AK129" i="27"/>
  <c r="AK130" i="27"/>
  <c r="AK131" i="27"/>
  <c r="AK132" i="27"/>
  <c r="AK133" i="27"/>
  <c r="AK134" i="27"/>
  <c r="AK135" i="27"/>
  <c r="AK136" i="27"/>
  <c r="AK137" i="27"/>
  <c r="AK138" i="27"/>
  <c r="AK139" i="27"/>
  <c r="AK140" i="27"/>
  <c r="AK141" i="27"/>
  <c r="AK142" i="27"/>
  <c r="AK143" i="27"/>
  <c r="AK144" i="27"/>
  <c r="AK145" i="27"/>
  <c r="AK146" i="27"/>
  <c r="AK147" i="27"/>
  <c r="AK148" i="27"/>
  <c r="AK149" i="27"/>
  <c r="AK150" i="27"/>
  <c r="AK151" i="27"/>
  <c r="AK152" i="27"/>
  <c r="AK153" i="27"/>
  <c r="AK154" i="27"/>
  <c r="AK155" i="27"/>
  <c r="AK156" i="27"/>
  <c r="AK157" i="27"/>
  <c r="AK158" i="27"/>
  <c r="AK159" i="27"/>
  <c r="AK160" i="27"/>
  <c r="AK161" i="27"/>
  <c r="AK162" i="27"/>
  <c r="AK163" i="27"/>
  <c r="AK164" i="27"/>
  <c r="AK165" i="27"/>
  <c r="AK166" i="27"/>
  <c r="AK167" i="27"/>
  <c r="AK168" i="27"/>
  <c r="AK169" i="27"/>
  <c r="AK170" i="27"/>
  <c r="AK171" i="27"/>
  <c r="AK172" i="27"/>
  <c r="AK173" i="27"/>
  <c r="AK174" i="27"/>
  <c r="AK175" i="27"/>
  <c r="AK176" i="27"/>
  <c r="AK177" i="27"/>
  <c r="AK178" i="27"/>
  <c r="AK179" i="27"/>
  <c r="AK180" i="27"/>
  <c r="AK181" i="27"/>
  <c r="AK182" i="27"/>
  <c r="AK183" i="27"/>
  <c r="AK184" i="27"/>
  <c r="AK185" i="27"/>
  <c r="AK186" i="27"/>
  <c r="AK187" i="27"/>
  <c r="AK188" i="27"/>
  <c r="AK189" i="27"/>
  <c r="AK190" i="27"/>
  <c r="AK191" i="27"/>
  <c r="AK192" i="27"/>
  <c r="AK193" i="27"/>
  <c r="AK194" i="27"/>
  <c r="AK195" i="27"/>
  <c r="AK196" i="27"/>
  <c r="AK197" i="27"/>
  <c r="AK198" i="27"/>
  <c r="AK199" i="27"/>
  <c r="AK200" i="27"/>
  <c r="AK201" i="27"/>
  <c r="AK202" i="27"/>
  <c r="AK203" i="27"/>
  <c r="AK204" i="27"/>
  <c r="AK205" i="27"/>
  <c r="AK206" i="27"/>
  <c r="AK207" i="27"/>
  <c r="AK208" i="27"/>
  <c r="AK209" i="27"/>
  <c r="AK210" i="27"/>
  <c r="AK211" i="27"/>
  <c r="AK212" i="27"/>
  <c r="AK213" i="27"/>
  <c r="AK214" i="27"/>
  <c r="AK215" i="27"/>
  <c r="AK216" i="27"/>
  <c r="AK217" i="27"/>
  <c r="AK218" i="27"/>
  <c r="AK219" i="27"/>
  <c r="AK220" i="27"/>
  <c r="AK221" i="27"/>
  <c r="AK222" i="27"/>
  <c r="AK223" i="27"/>
  <c r="AK224" i="27"/>
  <c r="AK225" i="27"/>
  <c r="AK226" i="27"/>
  <c r="AK227" i="27"/>
  <c r="AK228" i="27"/>
  <c r="AK229" i="27"/>
  <c r="AK230" i="27"/>
  <c r="AK231" i="27"/>
  <c r="AK232" i="27"/>
  <c r="AK233" i="27"/>
  <c r="AK234" i="27"/>
  <c r="AK235" i="27"/>
  <c r="AK236" i="27"/>
  <c r="AK237" i="27"/>
  <c r="AK238" i="27"/>
  <c r="AK239" i="27"/>
  <c r="AK240" i="27"/>
  <c r="AK241" i="27"/>
  <c r="AK242" i="27"/>
  <c r="AK243" i="27"/>
  <c r="AK244" i="27"/>
  <c r="AK245" i="27"/>
  <c r="AK246" i="27"/>
  <c r="AK247" i="27"/>
  <c r="AK248" i="27"/>
  <c r="AK249" i="27"/>
  <c r="AK250" i="27"/>
  <c r="AK251" i="27"/>
  <c r="AK252" i="27"/>
  <c r="AK253" i="27"/>
  <c r="AK254" i="27"/>
  <c r="AK255" i="27"/>
  <c r="AK256" i="27"/>
  <c r="AK257" i="27"/>
  <c r="AK258" i="27"/>
  <c r="AK259" i="27"/>
  <c r="AK260" i="27"/>
  <c r="AK261" i="27"/>
  <c r="AK262" i="27"/>
  <c r="AK263" i="27"/>
  <c r="AK264" i="27"/>
  <c r="AK265" i="27"/>
  <c r="AK266" i="27"/>
  <c r="AK267" i="27"/>
  <c r="AK268" i="27"/>
  <c r="AK269" i="27"/>
  <c r="AK270" i="27"/>
  <c r="AK271" i="27"/>
  <c r="AK272" i="27"/>
  <c r="AK273" i="27"/>
  <c r="AK274" i="27"/>
  <c r="AK275" i="27"/>
  <c r="AK276" i="27"/>
  <c r="AK277" i="27"/>
  <c r="AK278" i="27"/>
  <c r="AK279" i="27"/>
  <c r="AK280" i="27"/>
  <c r="AK281" i="27"/>
  <c r="AK282" i="27"/>
  <c r="AK283" i="27"/>
  <c r="AK284" i="27"/>
  <c r="AK285" i="27"/>
  <c r="AK286" i="27"/>
  <c r="AK287" i="27"/>
  <c r="AK288" i="27"/>
  <c r="AK289" i="27"/>
  <c r="AK290" i="27"/>
  <c r="AK291" i="27"/>
  <c r="AK292" i="27"/>
  <c r="AK293" i="27"/>
  <c r="AJ10" i="27"/>
  <c r="AJ11" i="27" s="1"/>
  <c r="AJ12" i="27" s="1"/>
  <c r="AJ13" i="27" s="1"/>
  <c r="AJ14" i="27" s="1"/>
  <c r="AJ15" i="27" s="1"/>
  <c r="AJ16" i="27" s="1"/>
  <c r="AJ17" i="27" s="1"/>
  <c r="AJ18" i="27" s="1"/>
  <c r="AJ19" i="27" s="1"/>
  <c r="AJ20" i="27" s="1"/>
  <c r="AI10" i="27"/>
  <c r="AI11" i="27" s="1"/>
  <c r="AI12" i="27" s="1"/>
  <c r="AI13" i="27" s="1"/>
  <c r="AI14" i="27" s="1"/>
  <c r="AI15" i="27" s="1"/>
  <c r="AI16" i="27" s="1"/>
  <c r="AI17" i="27" s="1"/>
  <c r="AI18" i="27" s="1"/>
  <c r="AI19" i="27" s="1"/>
  <c r="AI20" i="27" s="1"/>
  <c r="C9" i="27"/>
  <c r="AA10" i="27"/>
  <c r="O10" i="27"/>
  <c r="I10" i="27"/>
  <c r="I11" i="27" s="1"/>
  <c r="I12" i="27" s="1"/>
  <c r="I13" i="27" s="1"/>
  <c r="I14" i="27" s="1"/>
  <c r="I15" i="27" s="1"/>
  <c r="I16" i="27" s="1"/>
  <c r="I17" i="27" s="1"/>
  <c r="I18" i="27" s="1"/>
  <c r="I19" i="27" s="1"/>
  <c r="I20" i="27" s="1"/>
  <c r="I21" i="27" s="1"/>
  <c r="I22" i="27" s="1"/>
  <c r="I23" i="27" s="1"/>
  <c r="I24" i="27" s="1"/>
  <c r="I25" i="27" s="1"/>
  <c r="I26" i="27" s="1"/>
  <c r="Q9" i="27"/>
  <c r="AB10" i="27"/>
  <c r="AJ21" i="27" l="1"/>
  <c r="AJ22" i="27" s="1"/>
  <c r="AJ23" i="27" s="1"/>
  <c r="AJ24" i="27" s="1"/>
  <c r="AJ26" i="27" s="1"/>
  <c r="AJ27" i="27" s="1"/>
  <c r="AJ28" i="27" s="1"/>
  <c r="AJ29" i="27" s="1"/>
  <c r="AJ30" i="27" s="1"/>
  <c r="AJ31" i="27" s="1"/>
  <c r="AJ32" i="27" s="1"/>
  <c r="AJ33" i="27" s="1"/>
  <c r="AJ34" i="27" s="1"/>
  <c r="AJ35" i="27" s="1"/>
  <c r="AJ36" i="27" s="1"/>
  <c r="AJ37" i="27" s="1"/>
  <c r="AJ38" i="27" s="1"/>
  <c r="AJ39" i="27" s="1"/>
  <c r="AJ40" i="27" s="1"/>
  <c r="AJ42" i="27" s="1"/>
  <c r="AJ43" i="27" s="1"/>
  <c r="AJ44" i="27" s="1"/>
  <c r="AJ45" i="27" s="1"/>
  <c r="AJ46" i="27" s="1"/>
  <c r="AJ47" i="27" s="1"/>
  <c r="AJ48" i="27" s="1"/>
  <c r="AJ49" i="27" s="1"/>
  <c r="AJ50" i="27" s="1"/>
  <c r="AJ51" i="27" s="1"/>
  <c r="AJ52" i="27" s="1"/>
  <c r="AJ53" i="27" s="1"/>
  <c r="AJ54" i="27" s="1"/>
  <c r="AJ56" i="27" s="1"/>
  <c r="AJ57" i="27" s="1"/>
  <c r="AJ59" i="27" s="1"/>
  <c r="AJ60" i="27" s="1"/>
  <c r="AJ61" i="27" s="1"/>
  <c r="AJ62" i="27" s="1"/>
  <c r="AJ63" i="27" s="1"/>
  <c r="AJ64" i="27" s="1"/>
  <c r="AJ65" i="27" s="1"/>
  <c r="AJ66" i="27" s="1"/>
  <c r="AJ67" i="27" s="1"/>
  <c r="AJ68" i="27" s="1"/>
  <c r="AJ69" i="27" s="1"/>
  <c r="AJ70" i="27" s="1"/>
  <c r="AJ71" i="27" s="1"/>
  <c r="AJ72" i="27" s="1"/>
  <c r="AJ73" i="27" s="1"/>
  <c r="AJ74" i="27" s="1"/>
  <c r="AJ75" i="27" s="1"/>
  <c r="AJ76" i="27" s="1"/>
  <c r="AJ77" i="27" s="1"/>
  <c r="AJ78" i="27" s="1"/>
  <c r="AJ79" i="27" s="1"/>
  <c r="AJ80" i="27" s="1"/>
  <c r="AJ81" i="27" s="1"/>
  <c r="AJ82" i="27" s="1"/>
  <c r="AJ83" i="27" s="1"/>
  <c r="AJ84" i="27" s="1"/>
  <c r="AJ85" i="27" s="1"/>
  <c r="AJ86" i="27" s="1"/>
  <c r="AJ87" i="27" s="1"/>
  <c r="AJ88" i="27" s="1"/>
  <c r="AJ89" i="27" s="1"/>
  <c r="AJ90" i="27" s="1"/>
  <c r="AJ91" i="27" s="1"/>
  <c r="AJ92" i="27" s="1"/>
  <c r="AJ93" i="27" s="1"/>
  <c r="AJ94" i="27" s="1"/>
  <c r="AJ95" i="27" s="1"/>
  <c r="AJ96" i="27" s="1"/>
  <c r="AJ97" i="27" s="1"/>
  <c r="AJ98" i="27" s="1"/>
  <c r="AJ99" i="27" s="1"/>
  <c r="AJ100" i="27" s="1"/>
  <c r="AJ101" i="27" s="1"/>
  <c r="AJ102" i="27" s="1"/>
  <c r="AJ103" i="27" s="1"/>
  <c r="AJ104" i="27" s="1"/>
  <c r="AJ105" i="27" s="1"/>
  <c r="AJ106" i="27" s="1"/>
  <c r="AJ107" i="27" s="1"/>
  <c r="AJ108" i="27" s="1"/>
  <c r="AJ109" i="27" s="1"/>
  <c r="AJ110" i="27" s="1"/>
  <c r="AJ111" i="27" s="1"/>
  <c r="AJ112" i="27" s="1"/>
  <c r="AJ113" i="27" s="1"/>
  <c r="AJ114" i="27" s="1"/>
  <c r="AJ115" i="27" s="1"/>
  <c r="AJ116" i="27" s="1"/>
  <c r="AJ117" i="27" s="1"/>
  <c r="AJ118" i="27" s="1"/>
  <c r="AJ119" i="27" s="1"/>
  <c r="AJ120" i="27" s="1"/>
  <c r="AJ121" i="27" s="1"/>
  <c r="AJ122" i="27" s="1"/>
  <c r="AJ123" i="27" s="1"/>
  <c r="AJ124" i="27" s="1"/>
  <c r="AJ125" i="27" s="1"/>
  <c r="AJ126" i="27" s="1"/>
  <c r="AJ127" i="27" s="1"/>
  <c r="AJ128" i="27" s="1"/>
  <c r="AJ129" i="27" s="1"/>
  <c r="AJ130" i="27" s="1"/>
  <c r="AJ131" i="27" s="1"/>
  <c r="AJ132" i="27" s="1"/>
  <c r="AJ133" i="27" s="1"/>
  <c r="AJ134" i="27" s="1"/>
  <c r="AJ135" i="27" s="1"/>
  <c r="AJ136" i="27" s="1"/>
  <c r="AJ137" i="27" s="1"/>
  <c r="AJ138" i="27" s="1"/>
  <c r="AJ139" i="27" s="1"/>
  <c r="AJ140" i="27" s="1"/>
  <c r="AJ141" i="27" s="1"/>
  <c r="AJ142" i="27" s="1"/>
  <c r="AJ143" i="27" s="1"/>
  <c r="AJ144" i="27" s="1"/>
  <c r="AJ145" i="27" s="1"/>
  <c r="AJ146" i="27" s="1"/>
  <c r="AJ147" i="27" s="1"/>
  <c r="AJ148" i="27" s="1"/>
  <c r="AJ149" i="27" s="1"/>
  <c r="AJ150" i="27" s="1"/>
  <c r="AJ151" i="27" s="1"/>
  <c r="AJ152" i="27" s="1"/>
  <c r="AJ153" i="27" s="1"/>
  <c r="AJ154" i="27" s="1"/>
  <c r="AJ155" i="27" s="1"/>
  <c r="AJ156" i="27" s="1"/>
  <c r="AJ157" i="27" s="1"/>
  <c r="AJ158" i="27" s="1"/>
  <c r="AJ159" i="27" s="1"/>
  <c r="AJ160" i="27" s="1"/>
  <c r="AJ161" i="27" s="1"/>
  <c r="AJ162" i="27" s="1"/>
  <c r="AJ163" i="27" s="1"/>
  <c r="AJ164" i="27" s="1"/>
  <c r="AJ165" i="27" s="1"/>
  <c r="AJ166" i="27" s="1"/>
  <c r="AJ167" i="27" s="1"/>
  <c r="AJ168" i="27" s="1"/>
  <c r="AJ169" i="27" s="1"/>
  <c r="AJ170" i="27" s="1"/>
  <c r="AJ171" i="27" s="1"/>
  <c r="AJ172" i="27" s="1"/>
  <c r="AJ173" i="27" s="1"/>
  <c r="AJ174" i="27" s="1"/>
  <c r="AJ175" i="27" s="1"/>
  <c r="AJ176" i="27" s="1"/>
  <c r="AJ177" i="27" s="1"/>
  <c r="AJ178" i="27" s="1"/>
  <c r="AJ179" i="27" s="1"/>
  <c r="AJ180" i="27" s="1"/>
  <c r="AJ181" i="27" s="1"/>
  <c r="AJ182" i="27" s="1"/>
  <c r="AJ183" i="27" s="1"/>
  <c r="AJ184" i="27" s="1"/>
  <c r="AJ185" i="27" s="1"/>
  <c r="AJ186" i="27" s="1"/>
  <c r="AJ187" i="27" s="1"/>
  <c r="AJ188" i="27" s="1"/>
  <c r="AJ189" i="27" s="1"/>
  <c r="AJ190" i="27" s="1"/>
  <c r="AJ191" i="27" s="1"/>
  <c r="AJ192" i="27" s="1"/>
  <c r="AJ193" i="27" s="1"/>
  <c r="AJ194" i="27" s="1"/>
  <c r="AJ195" i="27" s="1"/>
  <c r="AJ196" i="27" s="1"/>
  <c r="AJ197" i="27" s="1"/>
  <c r="AJ198" i="27" s="1"/>
  <c r="AJ199" i="27" s="1"/>
  <c r="AJ200" i="27" s="1"/>
  <c r="AJ201" i="27" s="1"/>
  <c r="AJ202" i="27" s="1"/>
  <c r="AJ203" i="27" s="1"/>
  <c r="AJ204" i="27" s="1"/>
  <c r="AJ205" i="27" s="1"/>
  <c r="AJ206" i="27" s="1"/>
  <c r="AJ207" i="27" s="1"/>
  <c r="AJ208" i="27" s="1"/>
  <c r="AJ209" i="27" s="1"/>
  <c r="AJ210" i="27" s="1"/>
  <c r="AJ211" i="27" s="1"/>
  <c r="AJ212" i="27" s="1"/>
  <c r="AJ213" i="27" s="1"/>
  <c r="AJ214" i="27" s="1"/>
  <c r="AJ215" i="27" s="1"/>
  <c r="AJ216" i="27" s="1"/>
  <c r="AJ217" i="27" s="1"/>
  <c r="AJ218" i="27" s="1"/>
  <c r="AJ219" i="27" s="1"/>
  <c r="AJ220" i="27" s="1"/>
  <c r="AJ221" i="27" s="1"/>
  <c r="AJ222" i="27" s="1"/>
  <c r="AJ223" i="27" s="1"/>
  <c r="AJ224" i="27" s="1"/>
  <c r="AJ225" i="27" s="1"/>
  <c r="AJ226" i="27" s="1"/>
  <c r="AJ227" i="27" s="1"/>
  <c r="AJ228" i="27" s="1"/>
  <c r="AJ229" i="27" s="1"/>
  <c r="AJ230" i="27" s="1"/>
  <c r="AJ231" i="27" s="1"/>
  <c r="AJ232" i="27" s="1"/>
  <c r="AJ233" i="27" s="1"/>
  <c r="AJ234" i="27" s="1"/>
  <c r="AJ235" i="27" s="1"/>
  <c r="AJ236" i="27" s="1"/>
  <c r="AJ237" i="27" s="1"/>
  <c r="AJ238" i="27" s="1"/>
  <c r="AJ239" i="27" s="1"/>
  <c r="AJ240" i="27" s="1"/>
  <c r="AJ241" i="27" s="1"/>
  <c r="AJ242" i="27" s="1"/>
  <c r="AJ243" i="27" s="1"/>
  <c r="AJ244" i="27" s="1"/>
  <c r="AJ245" i="27" s="1"/>
  <c r="AJ246" i="27" s="1"/>
  <c r="AJ247" i="27" s="1"/>
  <c r="AJ248" i="27" s="1"/>
  <c r="AJ249" i="27" s="1"/>
  <c r="AJ250" i="27" s="1"/>
  <c r="AJ251" i="27" s="1"/>
  <c r="AJ252" i="27" s="1"/>
  <c r="AJ253" i="27" s="1"/>
  <c r="AJ254" i="27" s="1"/>
  <c r="AJ255" i="27" s="1"/>
  <c r="AJ256" i="27" s="1"/>
  <c r="AJ257" i="27" s="1"/>
  <c r="AJ258" i="27" s="1"/>
  <c r="AJ259" i="27" s="1"/>
  <c r="AJ260" i="27" s="1"/>
  <c r="AJ261" i="27" s="1"/>
  <c r="AJ262" i="27" s="1"/>
  <c r="AJ263" i="27" s="1"/>
  <c r="AJ264" i="27" s="1"/>
  <c r="AJ265" i="27" s="1"/>
  <c r="AJ266" i="27" s="1"/>
  <c r="AJ267" i="27" s="1"/>
  <c r="AJ268" i="27" s="1"/>
  <c r="AJ269" i="27" s="1"/>
  <c r="AJ270" i="27" s="1"/>
  <c r="AJ271" i="27" s="1"/>
  <c r="AJ272" i="27" s="1"/>
  <c r="AJ273" i="27" s="1"/>
  <c r="AJ274" i="27" s="1"/>
  <c r="AJ275" i="27" s="1"/>
  <c r="AJ276" i="27" s="1"/>
  <c r="AJ277" i="27" s="1"/>
  <c r="AJ278" i="27" s="1"/>
  <c r="AJ279" i="27" s="1"/>
  <c r="AJ280" i="27" s="1"/>
  <c r="AJ281" i="27" s="1"/>
  <c r="AJ282" i="27" s="1"/>
  <c r="AJ283" i="27" s="1"/>
  <c r="AJ284" i="27" s="1"/>
  <c r="AJ285" i="27" s="1"/>
  <c r="AJ286" i="27" s="1"/>
  <c r="AJ287" i="27" s="1"/>
  <c r="AJ288" i="27" s="1"/>
  <c r="AJ289" i="27" s="1"/>
  <c r="AJ290" i="27" s="1"/>
  <c r="AJ291" i="27" s="1"/>
  <c r="AJ292" i="27" s="1"/>
  <c r="AJ293" i="27" s="1"/>
  <c r="AJ294" i="27" s="1"/>
  <c r="AJ295" i="27" s="1"/>
  <c r="AJ296" i="27" s="1"/>
  <c r="AJ297" i="27" s="1"/>
  <c r="AJ298" i="27" s="1"/>
  <c r="AJ299" i="27" s="1"/>
  <c r="AJ300" i="27" s="1"/>
  <c r="AJ301" i="27" s="1"/>
  <c r="AJ302" i="27" s="1"/>
  <c r="AJ303" i="27" s="1"/>
  <c r="AJ304" i="27" s="1"/>
  <c r="AJ305" i="27" s="1"/>
  <c r="AJ306" i="27" s="1"/>
  <c r="AJ307" i="27" s="1"/>
  <c r="AJ308" i="27" s="1"/>
  <c r="AJ309" i="27" s="1"/>
  <c r="AI21" i="27"/>
  <c r="AI22" i="27" s="1"/>
  <c r="AI23" i="27" s="1"/>
  <c r="AI24" i="27" s="1"/>
  <c r="AI26" i="27" s="1"/>
  <c r="AI27" i="27" s="1"/>
  <c r="AI28" i="27" s="1"/>
  <c r="AI29" i="27" s="1"/>
  <c r="AI30" i="27" s="1"/>
  <c r="AI31" i="27" s="1"/>
  <c r="AI32" i="27" s="1"/>
  <c r="AI33" i="27" s="1"/>
  <c r="AI34" i="27" s="1"/>
  <c r="AI35" i="27" s="1"/>
  <c r="AI36" i="27" s="1"/>
  <c r="AI37" i="27" s="1"/>
  <c r="AI38" i="27" s="1"/>
  <c r="AI39" i="27" s="1"/>
  <c r="AI40" i="27" s="1"/>
  <c r="AI42" i="27" s="1"/>
  <c r="AI43" i="27" s="1"/>
  <c r="AI44" i="27" s="1"/>
  <c r="AI45" i="27" s="1"/>
  <c r="AI46" i="27" s="1"/>
  <c r="AI47" i="27" s="1"/>
  <c r="AI48" i="27" s="1"/>
  <c r="AI49" i="27" s="1"/>
  <c r="AI50" i="27" s="1"/>
  <c r="AI51" i="27" s="1"/>
  <c r="AI52" i="27" s="1"/>
  <c r="AI53" i="27" s="1"/>
  <c r="AI54" i="27" s="1"/>
  <c r="AI56" i="27" s="1"/>
  <c r="AI57" i="27" s="1"/>
  <c r="AI59" i="27" s="1"/>
  <c r="AI60" i="27" s="1"/>
  <c r="AI61" i="27" s="1"/>
  <c r="AI62" i="27" s="1"/>
  <c r="AI63" i="27" s="1"/>
  <c r="AI64" i="27" s="1"/>
  <c r="AI65" i="27" s="1"/>
  <c r="AI66" i="27" s="1"/>
  <c r="AI67" i="27" s="1"/>
  <c r="AI68" i="27" s="1"/>
  <c r="AI69" i="27" s="1"/>
  <c r="AI70" i="27" s="1"/>
  <c r="AI71" i="27" s="1"/>
  <c r="AI72" i="27" s="1"/>
  <c r="AI73" i="27" s="1"/>
  <c r="AI74" i="27" s="1"/>
  <c r="AI75" i="27" s="1"/>
  <c r="AI76" i="27" s="1"/>
  <c r="AI77" i="27" s="1"/>
  <c r="AI78" i="27" s="1"/>
  <c r="AI79" i="27" s="1"/>
  <c r="AI80" i="27" s="1"/>
  <c r="AI81" i="27" s="1"/>
  <c r="AI82" i="27" s="1"/>
  <c r="AI83" i="27" s="1"/>
  <c r="AI84" i="27" s="1"/>
  <c r="AI85" i="27" s="1"/>
  <c r="AI86" i="27" s="1"/>
  <c r="AI87" i="27" s="1"/>
  <c r="AI88" i="27" s="1"/>
  <c r="AI89" i="27" s="1"/>
  <c r="AI90" i="27" s="1"/>
  <c r="AI91" i="27" s="1"/>
  <c r="AI92" i="27" s="1"/>
  <c r="AI93" i="27" s="1"/>
  <c r="AI94" i="27" s="1"/>
  <c r="AI95" i="27" s="1"/>
  <c r="AI96" i="27" s="1"/>
  <c r="AI97" i="27" s="1"/>
  <c r="AI98" i="27" s="1"/>
  <c r="AI99" i="27" s="1"/>
  <c r="AI100" i="27" s="1"/>
  <c r="AI101" i="27" s="1"/>
  <c r="AI102" i="27" s="1"/>
  <c r="AI103" i="27" s="1"/>
  <c r="AI104" i="27" s="1"/>
  <c r="AI105" i="27" s="1"/>
  <c r="AI106" i="27" s="1"/>
  <c r="AI107" i="27" s="1"/>
  <c r="AI108" i="27" s="1"/>
  <c r="AI109" i="27" s="1"/>
  <c r="AI110" i="27" s="1"/>
  <c r="AI111" i="27" s="1"/>
  <c r="AI112" i="27" s="1"/>
  <c r="AI113" i="27" s="1"/>
  <c r="AI114" i="27" s="1"/>
  <c r="AI115" i="27" s="1"/>
  <c r="AI116" i="27" s="1"/>
  <c r="AI117" i="27" s="1"/>
  <c r="AI118" i="27" s="1"/>
  <c r="AI119" i="27" s="1"/>
  <c r="AI120" i="27" s="1"/>
  <c r="AI121" i="27" s="1"/>
  <c r="AI122" i="27" s="1"/>
  <c r="AI123" i="27" s="1"/>
  <c r="AI124" i="27" s="1"/>
  <c r="AI125" i="27" s="1"/>
  <c r="AI126" i="27" s="1"/>
  <c r="AI127" i="27" s="1"/>
  <c r="AI128" i="27" s="1"/>
  <c r="AI129" i="27" s="1"/>
  <c r="AI130" i="27" s="1"/>
  <c r="AI131" i="27" s="1"/>
  <c r="AI132" i="27" s="1"/>
  <c r="AI133" i="27" s="1"/>
  <c r="AI134" i="27" s="1"/>
  <c r="AI135" i="27" s="1"/>
  <c r="AI136" i="27" s="1"/>
  <c r="AI137" i="27" s="1"/>
  <c r="AI138" i="27" s="1"/>
  <c r="AI139" i="27" s="1"/>
  <c r="AI140" i="27" s="1"/>
  <c r="AI141" i="27" s="1"/>
  <c r="AI142" i="27" s="1"/>
  <c r="AI143" i="27" s="1"/>
  <c r="AI144" i="27" s="1"/>
  <c r="AI145" i="27" s="1"/>
  <c r="AI146" i="27" s="1"/>
  <c r="AI147" i="27" s="1"/>
  <c r="AI148" i="27" s="1"/>
  <c r="AI149" i="27" s="1"/>
  <c r="AI150" i="27" s="1"/>
  <c r="AI151" i="27" s="1"/>
  <c r="AI152" i="27" s="1"/>
  <c r="AI153" i="27" s="1"/>
  <c r="AI154" i="27" s="1"/>
  <c r="AI155" i="27" s="1"/>
  <c r="AI156" i="27" s="1"/>
  <c r="AI157" i="27" s="1"/>
  <c r="AI158" i="27" s="1"/>
  <c r="AI159" i="27" s="1"/>
  <c r="AI160" i="27" s="1"/>
  <c r="AI161" i="27" s="1"/>
  <c r="AI162" i="27" s="1"/>
  <c r="AI163" i="27" s="1"/>
  <c r="AI164" i="27" s="1"/>
  <c r="AI165" i="27" s="1"/>
  <c r="AI166" i="27" s="1"/>
  <c r="AI167" i="27" s="1"/>
  <c r="AI168" i="27" s="1"/>
  <c r="AI169" i="27" s="1"/>
  <c r="AI170" i="27" s="1"/>
  <c r="AI171" i="27" s="1"/>
  <c r="AI172" i="27" s="1"/>
  <c r="AI173" i="27" s="1"/>
  <c r="AI174" i="27" s="1"/>
  <c r="AI175" i="27" s="1"/>
  <c r="AI176" i="27" s="1"/>
  <c r="AI177" i="27" s="1"/>
  <c r="AI178" i="27" s="1"/>
  <c r="AI179" i="27" s="1"/>
  <c r="AI180" i="27" s="1"/>
  <c r="AI181" i="27" s="1"/>
  <c r="AI182" i="27" s="1"/>
  <c r="AI183" i="27" s="1"/>
  <c r="AI184" i="27" s="1"/>
  <c r="AI185" i="27" s="1"/>
  <c r="AI186" i="27" s="1"/>
  <c r="AI187" i="27" s="1"/>
  <c r="AI188" i="27" s="1"/>
  <c r="AI189" i="27" s="1"/>
  <c r="AI190" i="27" s="1"/>
  <c r="AI191" i="27" s="1"/>
  <c r="AI192" i="27" s="1"/>
  <c r="AI193" i="27" s="1"/>
  <c r="AI194" i="27" s="1"/>
  <c r="AI195" i="27" s="1"/>
  <c r="AI196" i="27" s="1"/>
  <c r="AI197" i="27" s="1"/>
  <c r="AI198" i="27" s="1"/>
  <c r="AI199" i="27" s="1"/>
  <c r="AI200" i="27" s="1"/>
  <c r="AI201" i="27" s="1"/>
  <c r="AI202" i="27" s="1"/>
  <c r="AI203" i="27" s="1"/>
  <c r="AI204" i="27" s="1"/>
  <c r="AI205" i="27" s="1"/>
  <c r="AI206" i="27" s="1"/>
  <c r="AI207" i="27" s="1"/>
  <c r="AI208" i="27" s="1"/>
  <c r="AI209" i="27" s="1"/>
  <c r="AI210" i="27" s="1"/>
  <c r="AI211" i="27" s="1"/>
  <c r="AI212" i="27" s="1"/>
  <c r="AI213" i="27" s="1"/>
  <c r="AI214" i="27" s="1"/>
  <c r="AI215" i="27" s="1"/>
  <c r="AI216" i="27" s="1"/>
  <c r="AI217" i="27" s="1"/>
  <c r="AI218" i="27" s="1"/>
  <c r="AI219" i="27" s="1"/>
  <c r="AI220" i="27" s="1"/>
  <c r="AI221" i="27" s="1"/>
  <c r="AI222" i="27" s="1"/>
  <c r="AI223" i="27" s="1"/>
  <c r="AI224" i="27" s="1"/>
  <c r="AI225" i="27" s="1"/>
  <c r="AI226" i="27" s="1"/>
  <c r="AI227" i="27" s="1"/>
  <c r="AI228" i="27" s="1"/>
  <c r="AI229" i="27" s="1"/>
  <c r="AI230" i="27" s="1"/>
  <c r="AI231" i="27" s="1"/>
  <c r="AI232" i="27" s="1"/>
  <c r="AI233" i="27" s="1"/>
  <c r="AI234" i="27" s="1"/>
  <c r="AI235" i="27" s="1"/>
  <c r="AI236" i="27" s="1"/>
  <c r="AI237" i="27" s="1"/>
  <c r="AI238" i="27" s="1"/>
  <c r="AI239" i="27" s="1"/>
  <c r="AI240" i="27" s="1"/>
  <c r="AI241" i="27" s="1"/>
  <c r="AI242" i="27" s="1"/>
  <c r="AI243" i="27" s="1"/>
  <c r="AI244" i="27" s="1"/>
  <c r="AI245" i="27" s="1"/>
  <c r="AI246" i="27" s="1"/>
  <c r="AI247" i="27" s="1"/>
  <c r="AI248" i="27" s="1"/>
  <c r="AI249" i="27" s="1"/>
  <c r="AI250" i="27" s="1"/>
  <c r="AI251" i="27" s="1"/>
  <c r="AI252" i="27" s="1"/>
  <c r="AI253" i="27" s="1"/>
  <c r="AI254" i="27" s="1"/>
  <c r="AI255" i="27" s="1"/>
  <c r="AI256" i="27" s="1"/>
  <c r="AI257" i="27" s="1"/>
  <c r="AI258" i="27" s="1"/>
  <c r="AI259" i="27" s="1"/>
  <c r="AI260" i="27" s="1"/>
  <c r="AI261" i="27" s="1"/>
  <c r="AI262" i="27" s="1"/>
  <c r="AI263" i="27" s="1"/>
  <c r="AI264" i="27" s="1"/>
  <c r="AI265" i="27" s="1"/>
  <c r="AI266" i="27" s="1"/>
  <c r="AI267" i="27" s="1"/>
  <c r="AI268" i="27" s="1"/>
  <c r="AI269" i="27" s="1"/>
  <c r="AI270" i="27" s="1"/>
  <c r="AI271" i="27" s="1"/>
  <c r="AI272" i="27" s="1"/>
  <c r="AI273" i="27" s="1"/>
  <c r="AI274" i="27" s="1"/>
  <c r="AI275" i="27" s="1"/>
  <c r="AI276" i="27" s="1"/>
  <c r="AI277" i="27" s="1"/>
  <c r="AI278" i="27" s="1"/>
  <c r="AI279" i="27" s="1"/>
  <c r="AI280" i="27" s="1"/>
  <c r="AI281" i="27" s="1"/>
  <c r="AI282" i="27" s="1"/>
  <c r="AI283" i="27" s="1"/>
  <c r="AI284" i="27" s="1"/>
  <c r="AI285" i="27" s="1"/>
  <c r="AI286" i="27" s="1"/>
  <c r="AI287" i="27" s="1"/>
  <c r="AI288" i="27" s="1"/>
  <c r="AI289" i="27" s="1"/>
  <c r="AI290" i="27" s="1"/>
  <c r="AI291" i="27" s="1"/>
  <c r="AI292" i="27" s="1"/>
  <c r="AI293" i="27" s="1"/>
  <c r="AI294" i="27" s="1"/>
  <c r="AI295" i="27" s="1"/>
  <c r="AI296" i="27" s="1"/>
  <c r="AI297" i="27" s="1"/>
  <c r="AI298" i="27" s="1"/>
  <c r="AI299" i="27" s="1"/>
  <c r="AI300" i="27" s="1"/>
  <c r="AI301" i="27" s="1"/>
  <c r="AI302" i="27" s="1"/>
  <c r="AI303" i="27" s="1"/>
  <c r="AI304" i="27" s="1"/>
  <c r="AI305" i="27" s="1"/>
  <c r="AI306" i="27" s="1"/>
  <c r="AI307" i="27" s="1"/>
  <c r="AI308" i="27" s="1"/>
  <c r="AI309" i="27" s="1"/>
  <c r="F1" i="29"/>
  <c r="F1" i="30"/>
  <c r="E1" i="30"/>
  <c r="F5" i="28"/>
  <c r="F6" i="28"/>
  <c r="H6" i="28" s="1"/>
  <c r="F7" i="28"/>
  <c r="H7" i="28" s="1"/>
  <c r="F8" i="28"/>
  <c r="H8" i="28" s="1"/>
  <c r="F9" i="28"/>
  <c r="H9" i="28" s="1"/>
  <c r="F10" i="28"/>
  <c r="F11" i="28"/>
  <c r="F12" i="28"/>
  <c r="H12" i="28" s="1"/>
  <c r="F13" i="28"/>
  <c r="H13" i="28" s="1"/>
  <c r="F14" i="28"/>
  <c r="H14" i="28" s="1"/>
  <c r="F15" i="28"/>
  <c r="H15" i="28" s="1"/>
  <c r="F16" i="28"/>
  <c r="H16" i="28" s="1"/>
  <c r="F17" i="28"/>
  <c r="F18" i="28"/>
  <c r="F19" i="28"/>
  <c r="F20" i="28"/>
  <c r="H20" i="28" s="1"/>
  <c r="F21" i="28"/>
  <c r="H21" i="28" s="1"/>
  <c r="F22" i="28"/>
  <c r="H22" i="28" s="1"/>
  <c r="F23" i="28"/>
  <c r="H23" i="28" s="1"/>
  <c r="F24" i="28"/>
  <c r="H24" i="28" s="1"/>
  <c r="F25" i="28"/>
  <c r="F26" i="28"/>
  <c r="F27" i="28"/>
  <c r="F28" i="28"/>
  <c r="F29" i="28"/>
  <c r="H29" i="28" s="1"/>
  <c r="F30" i="28"/>
  <c r="H30" i="28" s="1"/>
  <c r="F31" i="28"/>
  <c r="H31" i="28" s="1"/>
  <c r="F32" i="28"/>
  <c r="H32" i="28" s="1"/>
  <c r="F33" i="28"/>
  <c r="F34" i="28"/>
  <c r="F35" i="28"/>
  <c r="F36" i="28"/>
  <c r="H36" i="28" s="1"/>
  <c r="F37" i="28"/>
  <c r="H37" i="28" s="1"/>
  <c r="F38" i="28"/>
  <c r="H38" i="28" s="1"/>
  <c r="F39" i="28"/>
  <c r="H39" i="28" s="1"/>
  <c r="F40" i="28"/>
  <c r="H40" i="28" s="1"/>
  <c r="F41" i="28"/>
  <c r="F42" i="28"/>
  <c r="F43" i="28"/>
  <c r="F44" i="28"/>
  <c r="H44" i="28" s="1"/>
  <c r="F45" i="28"/>
  <c r="H45" i="28" s="1"/>
  <c r="F46" i="28"/>
  <c r="H46" i="28" s="1"/>
  <c r="F47" i="28"/>
  <c r="H47" i="28" s="1"/>
  <c r="F48" i="28"/>
  <c r="H48" i="28" s="1"/>
  <c r="F49" i="28"/>
  <c r="F50" i="28"/>
  <c r="F51" i="28"/>
  <c r="F52" i="28"/>
  <c r="H52" i="28" s="1"/>
  <c r="F53" i="28"/>
  <c r="H53" i="28" s="1"/>
  <c r="F54" i="28"/>
  <c r="H54" i="28" s="1"/>
  <c r="F55" i="28"/>
  <c r="H55" i="28" s="1"/>
  <c r="F56" i="28"/>
  <c r="H56" i="28" s="1"/>
  <c r="F57" i="28"/>
  <c r="F58" i="28"/>
  <c r="F59" i="28"/>
  <c r="F60" i="28"/>
  <c r="F61" i="28"/>
  <c r="H61" i="28" s="1"/>
  <c r="F62" i="28"/>
  <c r="H62" i="28" s="1"/>
  <c r="F63" i="28"/>
  <c r="H63" i="28" s="1"/>
  <c r="F64" i="28"/>
  <c r="H64" i="28" s="1"/>
  <c r="F65" i="28"/>
  <c r="F66" i="28"/>
  <c r="F67" i="28"/>
  <c r="F68" i="28"/>
  <c r="H68" i="28" s="1"/>
  <c r="F69" i="28"/>
  <c r="H69" i="28" s="1"/>
  <c r="F70" i="28"/>
  <c r="H70" i="28" s="1"/>
  <c r="F71" i="28"/>
  <c r="H71" i="28" s="1"/>
  <c r="F72" i="28"/>
  <c r="H72" i="28" s="1"/>
  <c r="F73" i="28"/>
  <c r="F74" i="28"/>
  <c r="F75" i="28"/>
  <c r="F76" i="28"/>
  <c r="H76" i="28" s="1"/>
  <c r="F77" i="28"/>
  <c r="H77" i="28" s="1"/>
  <c r="F78" i="28"/>
  <c r="H78" i="28" s="1"/>
  <c r="F79" i="28"/>
  <c r="H79" i="28" s="1"/>
  <c r="F80" i="28"/>
  <c r="H80" i="28" s="1"/>
  <c r="F81" i="28"/>
  <c r="F82" i="28"/>
  <c r="F83" i="28"/>
  <c r="F84" i="28"/>
  <c r="H84" i="28" s="1"/>
  <c r="F85" i="28"/>
  <c r="H85" i="28" s="1"/>
  <c r="F86" i="28"/>
  <c r="H86" i="28" s="1"/>
  <c r="F87" i="28"/>
  <c r="H87" i="28" s="1"/>
  <c r="F88" i="28"/>
  <c r="H88" i="28" s="1"/>
  <c r="F89" i="28"/>
  <c r="F90" i="28"/>
  <c r="F91" i="28"/>
  <c r="F92" i="28"/>
  <c r="H92" i="28" s="1"/>
  <c r="F93" i="28"/>
  <c r="H93" i="28" s="1"/>
  <c r="F94" i="28"/>
  <c r="H94" i="28" s="1"/>
  <c r="F95" i="28"/>
  <c r="H95" i="28" s="1"/>
  <c r="F96" i="28"/>
  <c r="H96" i="28" s="1"/>
  <c r="F97" i="28"/>
  <c r="F98" i="28"/>
  <c r="F99" i="28"/>
  <c r="F100" i="28"/>
  <c r="H100" i="28" s="1"/>
  <c r="F101" i="28"/>
  <c r="H101" i="28" s="1"/>
  <c r="F102" i="28"/>
  <c r="H102" i="28" s="1"/>
  <c r="F103" i="28"/>
  <c r="H103" i="28" s="1"/>
  <c r="F104" i="28"/>
  <c r="H104" i="28" s="1"/>
  <c r="F105" i="28"/>
  <c r="F106" i="28"/>
  <c r="F107" i="28"/>
  <c r="F108" i="28"/>
  <c r="H108" i="28" s="1"/>
  <c r="F109" i="28"/>
  <c r="H109" i="28" s="1"/>
  <c r="F110" i="28"/>
  <c r="H110" i="28" s="1"/>
  <c r="F111" i="28"/>
  <c r="H111" i="28" s="1"/>
  <c r="F112" i="28"/>
  <c r="H112" i="28" s="1"/>
  <c r="F113" i="28"/>
  <c r="F114" i="28"/>
  <c r="F115" i="28"/>
  <c r="F116" i="28"/>
  <c r="H116" i="28" s="1"/>
  <c r="F117" i="28"/>
  <c r="H117" i="28" s="1"/>
  <c r="F118" i="28"/>
  <c r="H118" i="28" s="1"/>
  <c r="F119" i="28"/>
  <c r="H119" i="28" s="1"/>
  <c r="F120" i="28"/>
  <c r="H120" i="28" s="1"/>
  <c r="F121" i="28"/>
  <c r="F122" i="28"/>
  <c r="F123" i="28"/>
  <c r="F124" i="28"/>
  <c r="F125" i="28"/>
  <c r="H125" i="28" s="1"/>
  <c r="F126" i="28"/>
  <c r="H126" i="28" s="1"/>
  <c r="F127" i="28"/>
  <c r="H127" i="28" s="1"/>
  <c r="F128" i="28"/>
  <c r="H128" i="28" s="1"/>
  <c r="F129" i="28"/>
  <c r="F130" i="28"/>
  <c r="F131" i="28"/>
  <c r="F132" i="28"/>
  <c r="H132" i="28" s="1"/>
  <c r="F133" i="28"/>
  <c r="H133" i="28" s="1"/>
  <c r="F134" i="28"/>
  <c r="H134" i="28" s="1"/>
  <c r="F135" i="28"/>
  <c r="H135" i="28" s="1"/>
  <c r="F136" i="28"/>
  <c r="H136" i="28" s="1"/>
  <c r="F137" i="28"/>
  <c r="F138" i="28"/>
  <c r="F139" i="28"/>
  <c r="F140" i="28"/>
  <c r="H140" i="28" s="1"/>
  <c r="F141" i="28"/>
  <c r="H141" i="28" s="1"/>
  <c r="F142" i="28"/>
  <c r="H142" i="28" s="1"/>
  <c r="F143" i="28"/>
  <c r="H143" i="28" s="1"/>
  <c r="F144" i="28"/>
  <c r="H144" i="28" s="1"/>
  <c r="F145" i="28"/>
  <c r="F146" i="28"/>
  <c r="F147" i="28"/>
  <c r="F148" i="28"/>
  <c r="F149" i="28"/>
  <c r="H149" i="28" s="1"/>
  <c r="F150" i="28"/>
  <c r="H150" i="28" s="1"/>
  <c r="F151" i="28"/>
  <c r="H151" i="28" s="1"/>
  <c r="F152" i="28"/>
  <c r="H152" i="28" s="1"/>
  <c r="F153" i="28"/>
  <c r="F154" i="28"/>
  <c r="F155" i="28"/>
  <c r="F156" i="28"/>
  <c r="H156" i="28" s="1"/>
  <c r="F157" i="28"/>
  <c r="H157" i="28" s="1"/>
  <c r="F158" i="28"/>
  <c r="H158" i="28" s="1"/>
  <c r="F159" i="28"/>
  <c r="H159" i="28" s="1"/>
  <c r="F160" i="28"/>
  <c r="H160" i="28" s="1"/>
  <c r="F161" i="28"/>
  <c r="F162" i="28"/>
  <c r="F163" i="28"/>
  <c r="F164" i="28"/>
  <c r="F165" i="28"/>
  <c r="H165" i="28" s="1"/>
  <c r="F166" i="28"/>
  <c r="H166" i="28" s="1"/>
  <c r="F167" i="28"/>
  <c r="H167" i="28" s="1"/>
  <c r="F168" i="28"/>
  <c r="H168" i="28" s="1"/>
  <c r="F169" i="28"/>
  <c r="H169" i="28" s="1"/>
  <c r="F170" i="28"/>
  <c r="F171" i="28"/>
  <c r="F172" i="28"/>
  <c r="H172" i="28" s="1"/>
  <c r="F173" i="28"/>
  <c r="H173" i="28" s="1"/>
  <c r="F174" i="28"/>
  <c r="H174" i="28" s="1"/>
  <c r="F175" i="28"/>
  <c r="H175" i="28" s="1"/>
  <c r="F176" i="28"/>
  <c r="H176" i="28" s="1"/>
  <c r="F177" i="28"/>
  <c r="H177" i="28" s="1"/>
  <c r="F178" i="28"/>
  <c r="F179" i="28"/>
  <c r="F180" i="28"/>
  <c r="F181" i="28"/>
  <c r="H181" i="28" s="1"/>
  <c r="F182" i="28"/>
  <c r="H182" i="28" s="1"/>
  <c r="F183" i="28"/>
  <c r="H183" i="28" s="1"/>
  <c r="F184" i="28"/>
  <c r="H184" i="28" s="1"/>
  <c r="F185" i="28"/>
  <c r="F186" i="28"/>
  <c r="F187" i="28"/>
  <c r="F188" i="28"/>
  <c r="H188" i="28" s="1"/>
  <c r="F189" i="28"/>
  <c r="H189" i="28" s="1"/>
  <c r="F190" i="28"/>
  <c r="H190" i="28" s="1"/>
  <c r="F191" i="28"/>
  <c r="H191" i="28" s="1"/>
  <c r="F192" i="28"/>
  <c r="H192" i="28" s="1"/>
  <c r="F193" i="28"/>
  <c r="H193" i="28" s="1"/>
  <c r="F194" i="28"/>
  <c r="F195" i="28"/>
  <c r="F196" i="28"/>
  <c r="F197" i="28"/>
  <c r="H197" i="28" s="1"/>
  <c r="F198" i="28"/>
  <c r="H198" i="28" s="1"/>
  <c r="F199" i="28"/>
  <c r="H199" i="28" s="1"/>
  <c r="F200" i="28"/>
  <c r="H200" i="28" s="1"/>
  <c r="F201" i="28"/>
  <c r="F202" i="28"/>
  <c r="F203" i="28"/>
  <c r="F204" i="28"/>
  <c r="H204" i="28" s="1"/>
  <c r="F205" i="28"/>
  <c r="H205" i="28" s="1"/>
  <c r="F206" i="28"/>
  <c r="H206" i="28" s="1"/>
  <c r="F207" i="28"/>
  <c r="H207" i="28" s="1"/>
  <c r="F208" i="28"/>
  <c r="H208" i="28" s="1"/>
  <c r="F209" i="28"/>
  <c r="H209" i="28" s="1"/>
  <c r="F210" i="28"/>
  <c r="F211" i="28"/>
  <c r="F212" i="28"/>
  <c r="H212" i="28" s="1"/>
  <c r="F213" i="28"/>
  <c r="H213" i="28" s="1"/>
  <c r="F214" i="28"/>
  <c r="H214" i="28" s="1"/>
  <c r="F215" i="28"/>
  <c r="H215" i="28" s="1"/>
  <c r="F216" i="28"/>
  <c r="H216" i="28" s="1"/>
  <c r="F217" i="28"/>
  <c r="F218" i="28"/>
  <c r="F219" i="28"/>
  <c r="F220" i="28"/>
  <c r="H220" i="28" s="1"/>
  <c r="F221" i="28"/>
  <c r="H221" i="28" s="1"/>
  <c r="F222" i="28"/>
  <c r="H222" i="28" s="1"/>
  <c r="F223" i="28"/>
  <c r="H223" i="28" s="1"/>
  <c r="F224" i="28"/>
  <c r="H224" i="28" s="1"/>
  <c r="F225" i="28"/>
  <c r="H225" i="28" s="1"/>
  <c r="F226" i="28"/>
  <c r="F227" i="28"/>
  <c r="F228" i="28"/>
  <c r="H228" i="28" s="1"/>
  <c r="F229" i="28"/>
  <c r="H229" i="28" s="1"/>
  <c r="F230" i="28"/>
  <c r="H230" i="28" s="1"/>
  <c r="F231" i="28"/>
  <c r="H231" i="28" s="1"/>
  <c r="F232" i="28"/>
  <c r="H232" i="28" s="1"/>
  <c r="F233" i="28"/>
  <c r="F234" i="28"/>
  <c r="F235" i="28"/>
  <c r="F236" i="28"/>
  <c r="H236" i="28" s="1"/>
  <c r="F237" i="28"/>
  <c r="H237" i="28" s="1"/>
  <c r="F238" i="28"/>
  <c r="H238" i="28" s="1"/>
  <c r="F239" i="28"/>
  <c r="H239" i="28" s="1"/>
  <c r="F240" i="28"/>
  <c r="H240" i="28" s="1"/>
  <c r="F241" i="28"/>
  <c r="F242" i="28"/>
  <c r="F243" i="28"/>
  <c r="F244" i="28"/>
  <c r="F245" i="28"/>
  <c r="H245" i="28" s="1"/>
  <c r="F246" i="28"/>
  <c r="H246" i="28" s="1"/>
  <c r="F247" i="28"/>
  <c r="H247" i="28" s="1"/>
  <c r="F248" i="28"/>
  <c r="H248" i="28" s="1"/>
  <c r="F249" i="28"/>
  <c r="F250" i="28"/>
  <c r="F251" i="28"/>
  <c r="F252" i="28"/>
  <c r="H252" i="28" s="1"/>
  <c r="F253" i="28"/>
  <c r="H253" i="28" s="1"/>
  <c r="F254" i="28"/>
  <c r="H254" i="28" s="1"/>
  <c r="F255" i="28"/>
  <c r="H255" i="28" s="1"/>
  <c r="F256" i="28"/>
  <c r="H256" i="28" s="1"/>
  <c r="F257" i="28"/>
  <c r="F258" i="28"/>
  <c r="F259" i="28"/>
  <c r="F260" i="28"/>
  <c r="F261" i="28"/>
  <c r="H261" i="28" s="1"/>
  <c r="F262" i="28"/>
  <c r="H262" i="28" s="1"/>
  <c r="F263" i="28"/>
  <c r="H263" i="28" s="1"/>
  <c r="F264" i="28"/>
  <c r="H264" i="28" s="1"/>
  <c r="F265" i="28"/>
  <c r="F266" i="28"/>
  <c r="F267" i="28"/>
  <c r="F268" i="28"/>
  <c r="H268" i="28" s="1"/>
  <c r="F269" i="28"/>
  <c r="H269" i="28" s="1"/>
  <c r="F270" i="28"/>
  <c r="H270" i="28" s="1"/>
  <c r="F271" i="28"/>
  <c r="H271" i="28" s="1"/>
  <c r="F272" i="28"/>
  <c r="H272" i="28" s="1"/>
  <c r="F273" i="28"/>
  <c r="H273" i="28" s="1"/>
  <c r="F274" i="28"/>
  <c r="F275" i="28"/>
  <c r="F276" i="28"/>
  <c r="H276" i="28" s="1"/>
  <c r="F277" i="28"/>
  <c r="H277" i="28" s="1"/>
  <c r="F278" i="28"/>
  <c r="H278" i="28" s="1"/>
  <c r="F279" i="28"/>
  <c r="H279" i="28" s="1"/>
  <c r="F280" i="28"/>
  <c r="H280" i="28" s="1"/>
  <c r="F281" i="28"/>
  <c r="F282" i="28"/>
  <c r="F283" i="28"/>
  <c r="F284" i="28"/>
  <c r="F285" i="28"/>
  <c r="H285" i="28" s="1"/>
  <c r="F286" i="28"/>
  <c r="H286" i="28" s="1"/>
  <c r="F287" i="28"/>
  <c r="H287" i="28" s="1"/>
  <c r="F288" i="28"/>
  <c r="H288" i="28" s="1"/>
  <c r="F289" i="28"/>
  <c r="H289" i="28" s="1"/>
  <c r="F290" i="28"/>
  <c r="F291" i="28"/>
  <c r="F292" i="28"/>
  <c r="H292" i="28" s="1"/>
  <c r="F293" i="28"/>
  <c r="H293" i="28" s="1"/>
  <c r="F294" i="28"/>
  <c r="H294" i="28" s="1"/>
  <c r="F295" i="28"/>
  <c r="H295" i="28" s="1"/>
  <c r="F296" i="28"/>
  <c r="H296" i="28" s="1"/>
  <c r="F297" i="28"/>
  <c r="F298" i="28"/>
  <c r="F299" i="28"/>
  <c r="F300" i="28"/>
  <c r="H300" i="28" s="1"/>
  <c r="F301" i="28"/>
  <c r="H301" i="28" s="1"/>
  <c r="F302" i="28"/>
  <c r="H302" i="28" s="1"/>
  <c r="F303" i="28"/>
  <c r="H303" i="28" s="1"/>
  <c r="F304" i="28"/>
  <c r="H304" i="28" s="1"/>
  <c r="F305" i="28"/>
  <c r="F306" i="28"/>
  <c r="F307" i="28"/>
  <c r="F308" i="28"/>
  <c r="H308" i="28" s="1"/>
  <c r="F309" i="28"/>
  <c r="H309" i="28" s="1"/>
  <c r="F310" i="28"/>
  <c r="H310" i="28" s="1"/>
  <c r="F311" i="28"/>
  <c r="H311" i="28" s="1"/>
  <c r="F312" i="28"/>
  <c r="H312" i="28" s="1"/>
  <c r="F313" i="28"/>
  <c r="H313" i="28" s="1"/>
  <c r="F314" i="28"/>
  <c r="F315" i="28"/>
  <c r="F316" i="28"/>
  <c r="F317" i="28"/>
  <c r="H317" i="28" s="1"/>
  <c r="F318" i="28"/>
  <c r="H318" i="28" s="1"/>
  <c r="F319" i="28"/>
  <c r="H319" i="28" s="1"/>
  <c r="F320" i="28"/>
  <c r="H320" i="28" s="1"/>
  <c r="F321" i="28"/>
  <c r="F322" i="28"/>
  <c r="F323" i="28"/>
  <c r="F324" i="28"/>
  <c r="H324" i="28" s="1"/>
  <c r="F325" i="28"/>
  <c r="H325" i="28" s="1"/>
  <c r="F326" i="28"/>
  <c r="H326" i="28" s="1"/>
  <c r="F327" i="28"/>
  <c r="H327" i="28" s="1"/>
  <c r="F328" i="28"/>
  <c r="H328" i="28" s="1"/>
  <c r="F329" i="28"/>
  <c r="H329" i="28" s="1"/>
  <c r="F330" i="28"/>
  <c r="F331" i="28"/>
  <c r="F332" i="28"/>
  <c r="H332" i="28" s="1"/>
  <c r="F333" i="28"/>
  <c r="H333" i="28" s="1"/>
  <c r="F334" i="28"/>
  <c r="H334" i="28" s="1"/>
  <c r="F335" i="28"/>
  <c r="H335" i="28" s="1"/>
  <c r="F336" i="28"/>
  <c r="H336" i="28" s="1"/>
  <c r="F337" i="28"/>
  <c r="F338" i="28"/>
  <c r="F339" i="28"/>
  <c r="F340" i="28"/>
  <c r="H340" i="28" s="1"/>
  <c r="F341" i="28"/>
  <c r="H341" i="28" s="1"/>
  <c r="F342" i="28"/>
  <c r="H342" i="28" s="1"/>
  <c r="F343" i="28"/>
  <c r="H343" i="28" s="1"/>
  <c r="F344" i="28"/>
  <c r="H344" i="28" s="1"/>
  <c r="F345" i="28"/>
  <c r="H345" i="28" s="1"/>
  <c r="F346" i="28"/>
  <c r="F347" i="28"/>
  <c r="F348" i="28"/>
  <c r="H348" i="28" s="1"/>
  <c r="F349" i="28"/>
  <c r="H349" i="28" s="1"/>
  <c r="F350" i="28"/>
  <c r="H350" i="28" s="1"/>
  <c r="F351" i="28"/>
  <c r="H351" i="28" s="1"/>
  <c r="F352" i="28"/>
  <c r="H352" i="28" s="1"/>
  <c r="F353" i="28"/>
  <c r="F354" i="28"/>
  <c r="F355" i="28"/>
  <c r="F356" i="28"/>
  <c r="H356" i="28" s="1"/>
  <c r="F357" i="28"/>
  <c r="H357" i="28" s="1"/>
  <c r="F358" i="28"/>
  <c r="H358" i="28" s="1"/>
  <c r="F359" i="28"/>
  <c r="H359" i="28" s="1"/>
  <c r="F360" i="28"/>
  <c r="H360" i="28" s="1"/>
  <c r="F361" i="28"/>
  <c r="H361" i="28" s="1"/>
  <c r="F362" i="28"/>
  <c r="F363" i="28"/>
  <c r="F364" i="28"/>
  <c r="H364" i="28" s="1"/>
  <c r="F365" i="28"/>
  <c r="H365" i="28" s="1"/>
  <c r="F366" i="28"/>
  <c r="H366" i="28" s="1"/>
  <c r="F367" i="28"/>
  <c r="H367" i="28" s="1"/>
  <c r="F368" i="28"/>
  <c r="H368" i="28" s="1"/>
  <c r="F369" i="28"/>
  <c r="H369" i="28" s="1"/>
  <c r="F370" i="28"/>
  <c r="F371" i="28"/>
  <c r="F372" i="28"/>
  <c r="H372" i="28" s="1"/>
  <c r="F373" i="28"/>
  <c r="H373" i="28" s="1"/>
  <c r="F374" i="28"/>
  <c r="H374" i="28" s="1"/>
  <c r="F375" i="28"/>
  <c r="H375" i="28" s="1"/>
  <c r="F376" i="28"/>
  <c r="H376" i="28" s="1"/>
  <c r="F377" i="28"/>
  <c r="F378" i="28"/>
  <c r="F379" i="28"/>
  <c r="F380" i="28"/>
  <c r="F381" i="28"/>
  <c r="H381" i="28" s="1"/>
  <c r="F382" i="28"/>
  <c r="H382" i="28" s="1"/>
  <c r="F383" i="28"/>
  <c r="H383" i="28" s="1"/>
  <c r="F384" i="28"/>
  <c r="H384" i="28" s="1"/>
  <c r="F385" i="28"/>
  <c r="H385" i="28" s="1"/>
  <c r="F386" i="28"/>
  <c r="F387" i="28"/>
  <c r="F388" i="28"/>
  <c r="H388" i="28" s="1"/>
  <c r="F389" i="28"/>
  <c r="H389" i="28" s="1"/>
  <c r="F390" i="28"/>
  <c r="H390" i="28" s="1"/>
  <c r="F391" i="28"/>
  <c r="H391" i="28" s="1"/>
  <c r="F392" i="28"/>
  <c r="H392" i="28" s="1"/>
  <c r="F393" i="28"/>
  <c r="H393" i="28" s="1"/>
  <c r="F394" i="28"/>
  <c r="F395" i="28"/>
  <c r="F396" i="28"/>
  <c r="H396" i="28" s="1"/>
  <c r="F397" i="28"/>
  <c r="H397" i="28" s="1"/>
  <c r="F398" i="28"/>
  <c r="H398" i="28" s="1"/>
  <c r="F399" i="28"/>
  <c r="H399" i="28" s="1"/>
  <c r="F400" i="28"/>
  <c r="H400" i="28" s="1"/>
  <c r="F401" i="28"/>
  <c r="H401" i="28" s="1"/>
  <c r="F402" i="28"/>
  <c r="F403" i="28"/>
  <c r="H403" i="28" s="1"/>
  <c r="F404" i="28"/>
  <c r="H404" i="28" s="1"/>
  <c r="F405" i="28"/>
  <c r="H405" i="28" s="1"/>
  <c r="F406" i="28"/>
  <c r="H406" i="28" s="1"/>
  <c r="F407" i="28"/>
  <c r="H407" i="28" s="1"/>
  <c r="F408" i="28"/>
  <c r="H408" i="28" s="1"/>
  <c r="F409" i="28"/>
  <c r="H409" i="28" s="1"/>
  <c r="F410" i="28"/>
  <c r="F411" i="28"/>
  <c r="F412" i="28"/>
  <c r="H412" i="28" s="1"/>
  <c r="F413" i="28"/>
  <c r="H413" i="28" s="1"/>
  <c r="F414" i="28"/>
  <c r="H414" i="28" s="1"/>
  <c r="F415" i="28"/>
  <c r="H415" i="28" s="1"/>
  <c r="F416" i="28"/>
  <c r="H416" i="28" s="1"/>
  <c r="F417" i="28"/>
  <c r="F418" i="28"/>
  <c r="F419" i="28"/>
  <c r="F420" i="28"/>
  <c r="H420" i="28" s="1"/>
  <c r="F421" i="28"/>
  <c r="H421" i="28" s="1"/>
  <c r="F422" i="28"/>
  <c r="H422" i="28" s="1"/>
  <c r="F423" i="28"/>
  <c r="H423" i="28" s="1"/>
  <c r="F424" i="28"/>
  <c r="H424" i="28" s="1"/>
  <c r="F425" i="28"/>
  <c r="F426" i="28"/>
  <c r="F427" i="28"/>
  <c r="F428" i="28"/>
  <c r="H428" i="28" s="1"/>
  <c r="F429" i="28"/>
  <c r="H429" i="28" s="1"/>
  <c r="F430" i="28"/>
  <c r="H430" i="28" s="1"/>
  <c r="F431" i="28"/>
  <c r="H431" i="28" s="1"/>
  <c r="F432" i="28"/>
  <c r="H432" i="28" s="1"/>
  <c r="F433" i="28"/>
  <c r="F434" i="28"/>
  <c r="H434" i="28" s="1"/>
  <c r="F435" i="28"/>
  <c r="H435" i="28" s="1"/>
  <c r="F436" i="28"/>
  <c r="H436" i="28" s="1"/>
  <c r="F437" i="28"/>
  <c r="H437" i="28" s="1"/>
  <c r="F438" i="28"/>
  <c r="H438" i="28" s="1"/>
  <c r="F439" i="28"/>
  <c r="H439" i="28" s="1"/>
  <c r="F440" i="28"/>
  <c r="H440" i="28" s="1"/>
  <c r="F441" i="28"/>
  <c r="F442" i="28"/>
  <c r="F443" i="28"/>
  <c r="F444" i="28"/>
  <c r="F445" i="28"/>
  <c r="H445" i="28" s="1"/>
  <c r="F446" i="28"/>
  <c r="H446" i="28" s="1"/>
  <c r="F447" i="28"/>
  <c r="H447" i="28" s="1"/>
  <c r="F448" i="28"/>
  <c r="H448" i="28" s="1"/>
  <c r="F449" i="28"/>
  <c r="H449" i="28" s="1"/>
  <c r="F450" i="28"/>
  <c r="H450" i="28" s="1"/>
  <c r="F451" i="28"/>
  <c r="H451" i="28" s="1"/>
  <c r="F452" i="28"/>
  <c r="H452" i="28" s="1"/>
  <c r="F453" i="28"/>
  <c r="H453" i="28" s="1"/>
  <c r="F454" i="28"/>
  <c r="H454" i="28" s="1"/>
  <c r="F455" i="28"/>
  <c r="H455" i="28" s="1"/>
  <c r="F456" i="28"/>
  <c r="H456" i="28" s="1"/>
  <c r="F457" i="28"/>
  <c r="F458" i="28"/>
  <c r="F459" i="28"/>
  <c r="F460" i="28"/>
  <c r="H460" i="28" s="1"/>
  <c r="F461" i="28"/>
  <c r="H461" i="28" s="1"/>
  <c r="F462" i="28"/>
  <c r="H462" i="28" s="1"/>
  <c r="F463" i="28"/>
  <c r="H463" i="28" s="1"/>
  <c r="F464" i="28"/>
  <c r="H464" i="28" s="1"/>
  <c r="F465" i="28"/>
  <c r="H465" i="28" s="1"/>
  <c r="F466" i="28"/>
  <c r="F467" i="28"/>
  <c r="F468" i="28"/>
  <c r="H468" i="28" s="1"/>
  <c r="F469" i="28"/>
  <c r="H469" i="28" s="1"/>
  <c r="F470" i="28"/>
  <c r="H470" i="28" s="1"/>
  <c r="F471" i="28"/>
  <c r="H471" i="28" s="1"/>
  <c r="F472" i="28"/>
  <c r="H472" i="28" s="1"/>
  <c r="F473" i="28"/>
  <c r="H473" i="28" s="1"/>
  <c r="F474" i="28"/>
  <c r="F475" i="28"/>
  <c r="H475" i="28" s="1"/>
  <c r="F476" i="28"/>
  <c r="F477" i="28"/>
  <c r="H477" i="28" s="1"/>
  <c r="F478" i="28"/>
  <c r="H478" i="28" s="1"/>
  <c r="F479" i="28"/>
  <c r="H479" i="28" s="1"/>
  <c r="F480" i="28"/>
  <c r="H480" i="28" s="1"/>
  <c r="F481" i="28"/>
  <c r="H481" i="28" s="1"/>
  <c r="F482" i="28"/>
  <c r="H482" i="28" s="1"/>
  <c r="F483" i="28"/>
  <c r="F484" i="28"/>
  <c r="H484" i="28" s="1"/>
  <c r="F485" i="28"/>
  <c r="H485" i="28" s="1"/>
  <c r="F486" i="28"/>
  <c r="H486" i="28" s="1"/>
  <c r="F487" i="28"/>
  <c r="H487" i="28" s="1"/>
  <c r="F488" i="28"/>
  <c r="H488" i="28" s="1"/>
  <c r="F489" i="28"/>
  <c r="H489" i="28" s="1"/>
  <c r="F490" i="28"/>
  <c r="F491" i="28"/>
  <c r="H491" i="28" s="1"/>
  <c r="F492" i="28"/>
  <c r="H492" i="28" s="1"/>
  <c r="F493" i="28"/>
  <c r="H493" i="28" s="1"/>
  <c r="F494" i="28"/>
  <c r="H494" i="28" s="1"/>
  <c r="F495" i="28"/>
  <c r="H495" i="28" s="1"/>
  <c r="F496" i="28"/>
  <c r="H496" i="28" s="1"/>
  <c r="F497" i="28"/>
  <c r="H497" i="28" s="1"/>
  <c r="F498" i="28"/>
  <c r="H498" i="28" s="1"/>
  <c r="F499" i="28"/>
  <c r="F500" i="28"/>
  <c r="H500" i="28" s="1"/>
  <c r="F501" i="28"/>
  <c r="H501" i="28" s="1"/>
  <c r="F502" i="28"/>
  <c r="H502" i="28" s="1"/>
  <c r="F503" i="28"/>
  <c r="H503" i="28" s="1"/>
  <c r="F504" i="28"/>
  <c r="H504" i="28" s="1"/>
  <c r="F505" i="28"/>
  <c r="H505" i="28" s="1"/>
  <c r="F506" i="28"/>
  <c r="H506" i="28" s="1"/>
  <c r="F507" i="28"/>
  <c r="F508" i="28"/>
  <c r="H508" i="28" s="1"/>
  <c r="F509" i="28"/>
  <c r="H509" i="28" s="1"/>
  <c r="F510" i="28"/>
  <c r="H510" i="28" s="1"/>
  <c r="F511" i="28"/>
  <c r="H511" i="28" s="1"/>
  <c r="F512" i="28"/>
  <c r="H512" i="28" s="1"/>
  <c r="F513" i="28"/>
  <c r="H513" i="28" s="1"/>
  <c r="F514" i="28"/>
  <c r="F515" i="28"/>
  <c r="H515" i="28" s="1"/>
  <c r="F516" i="28"/>
  <c r="H516" i="28" s="1"/>
  <c r="F517" i="28"/>
  <c r="H517" i="28" s="1"/>
  <c r="F518" i="28"/>
  <c r="H518" i="28" s="1"/>
  <c r="F519" i="28"/>
  <c r="H519" i="28" s="1"/>
  <c r="F520" i="28"/>
  <c r="H520" i="28" s="1"/>
  <c r="F521" i="28"/>
  <c r="F522" i="28"/>
  <c r="H522" i="28" s="1"/>
  <c r="F523" i="28"/>
  <c r="F524" i="28"/>
  <c r="H524" i="28" s="1"/>
  <c r="F525" i="28"/>
  <c r="H525" i="28" s="1"/>
  <c r="F526" i="28"/>
  <c r="H526" i="28" s="1"/>
  <c r="F527" i="28"/>
  <c r="H527" i="28" s="1"/>
  <c r="F528" i="28"/>
  <c r="H528" i="28" s="1"/>
  <c r="F529" i="28"/>
  <c r="F530" i="28"/>
  <c r="H530" i="28" s="1"/>
  <c r="F531" i="28"/>
  <c r="H531" i="28" s="1"/>
  <c r="F532" i="28"/>
  <c r="H532" i="28" s="1"/>
  <c r="F533" i="28"/>
  <c r="H533" i="28" s="1"/>
  <c r="F534" i="28"/>
  <c r="H534" i="28" s="1"/>
  <c r="F535" i="28"/>
  <c r="H535" i="28" s="1"/>
  <c r="F536" i="28"/>
  <c r="H536" i="28" s="1"/>
  <c r="F537" i="28"/>
  <c r="F538" i="28"/>
  <c r="H538" i="28" s="1"/>
  <c r="F539" i="28"/>
  <c r="F540" i="28"/>
  <c r="H540" i="28" s="1"/>
  <c r="F541" i="28"/>
  <c r="H541" i="28" s="1"/>
  <c r="F542" i="28"/>
  <c r="H542" i="28" s="1"/>
  <c r="F543" i="28"/>
  <c r="H543" i="28" s="1"/>
  <c r="F544" i="28"/>
  <c r="H544" i="28" s="1"/>
  <c r="F545" i="28"/>
  <c r="F546" i="28"/>
  <c r="F547" i="28"/>
  <c r="H547" i="28" s="1"/>
  <c r="F548" i="28"/>
  <c r="H548" i="28" s="1"/>
  <c r="F549" i="28"/>
  <c r="H549" i="28" s="1"/>
  <c r="F550" i="28"/>
  <c r="H550" i="28" s="1"/>
  <c r="F551" i="28"/>
  <c r="H551" i="28" s="1"/>
  <c r="F552" i="28"/>
  <c r="H552" i="28" s="1"/>
  <c r="F553" i="28"/>
  <c r="F554" i="28"/>
  <c r="F555" i="28"/>
  <c r="H555" i="28" s="1"/>
  <c r="F556" i="28"/>
  <c r="H556" i="28" s="1"/>
  <c r="F557" i="28"/>
  <c r="H557" i="28" s="1"/>
  <c r="F558" i="28"/>
  <c r="H558" i="28" s="1"/>
  <c r="F559" i="28"/>
  <c r="H559" i="28" s="1"/>
  <c r="F560" i="28"/>
  <c r="H560" i="28" s="1"/>
  <c r="F561" i="28"/>
  <c r="H561" i="28" s="1"/>
  <c r="F562" i="28"/>
  <c r="H562" i="28" s="1"/>
  <c r="F563" i="28"/>
  <c r="H563" i="28" s="1"/>
  <c r="F564" i="28"/>
  <c r="H564" i="28" s="1"/>
  <c r="F565" i="28"/>
  <c r="H565" i="28" s="1"/>
  <c r="F566" i="28"/>
  <c r="H566" i="28" s="1"/>
  <c r="F567" i="28"/>
  <c r="H567" i="28" s="1"/>
  <c r="F568" i="28"/>
  <c r="H568" i="28" s="1"/>
  <c r="F569" i="28"/>
  <c r="F570" i="28"/>
  <c r="H570" i="28" s="1"/>
  <c r="F571" i="28"/>
  <c r="F572" i="28"/>
  <c r="H572" i="28" s="1"/>
  <c r="F573" i="28"/>
  <c r="H573" i="28" s="1"/>
  <c r="F574" i="28"/>
  <c r="H574" i="28" s="1"/>
  <c r="F575" i="28"/>
  <c r="H575" i="28" s="1"/>
  <c r="F576" i="28"/>
  <c r="H576" i="28" s="1"/>
  <c r="F577" i="28"/>
  <c r="H577" i="28" s="1"/>
  <c r="F578" i="28"/>
  <c r="F579" i="28"/>
  <c r="H579" i="28" s="1"/>
  <c r="F580" i="28"/>
  <c r="H580" i="28" s="1"/>
  <c r="F581" i="28"/>
  <c r="H581" i="28" s="1"/>
  <c r="F582" i="28"/>
  <c r="H582" i="28" s="1"/>
  <c r="F583" i="28"/>
  <c r="H583" i="28" s="1"/>
  <c r="F584" i="28"/>
  <c r="H584" i="28" s="1"/>
  <c r="F585" i="28"/>
  <c r="H585" i="28" s="1"/>
  <c r="F586" i="28"/>
  <c r="H586" i="28" s="1"/>
  <c r="F587" i="28"/>
  <c r="H587" i="28" s="1"/>
  <c r="F588" i="28"/>
  <c r="H588" i="28" s="1"/>
  <c r="F589" i="28"/>
  <c r="H589" i="28" s="1"/>
  <c r="F590" i="28"/>
  <c r="H590" i="28" s="1"/>
  <c r="F591" i="28"/>
  <c r="H591" i="28" s="1"/>
  <c r="F592" i="28"/>
  <c r="H592" i="28" s="1"/>
  <c r="F593" i="28"/>
  <c r="H593" i="28" s="1"/>
  <c r="F594" i="28"/>
  <c r="F595" i="28"/>
  <c r="H595" i="28" s="1"/>
  <c r="F596" i="28"/>
  <c r="H596" i="28" s="1"/>
  <c r="F597" i="28"/>
  <c r="H597" i="28" s="1"/>
  <c r="F598" i="28"/>
  <c r="H598" i="28" s="1"/>
  <c r="F599" i="28"/>
  <c r="H599" i="28" s="1"/>
  <c r="F600" i="28"/>
  <c r="H600" i="28" s="1"/>
  <c r="F601" i="28"/>
  <c r="H601" i="28" s="1"/>
  <c r="F602" i="28"/>
  <c r="H602" i="28" s="1"/>
  <c r="F603" i="28"/>
  <c r="H603" i="28" s="1"/>
  <c r="F604" i="28"/>
  <c r="H604" i="28" s="1"/>
  <c r="F605" i="28"/>
  <c r="H605" i="28" s="1"/>
  <c r="F606" i="28"/>
  <c r="H606" i="28" s="1"/>
  <c r="F607" i="28"/>
  <c r="H607" i="28" s="1"/>
  <c r="F608" i="28"/>
  <c r="H608" i="28" s="1"/>
  <c r="F609" i="28"/>
  <c r="H609" i="28" s="1"/>
  <c r="F610" i="28"/>
  <c r="F611" i="28"/>
  <c r="H611" i="28" s="1"/>
  <c r="F612" i="28"/>
  <c r="H612" i="28" s="1"/>
  <c r="F613" i="28"/>
  <c r="H613" i="28" s="1"/>
  <c r="F614" i="28"/>
  <c r="H614" i="28" s="1"/>
  <c r="F615" i="28"/>
  <c r="H615" i="28" s="1"/>
  <c r="F616" i="28"/>
  <c r="H616" i="28" s="1"/>
  <c r="F617" i="28"/>
  <c r="H617" i="28" s="1"/>
  <c r="F618" i="28"/>
  <c r="H618" i="28" s="1"/>
  <c r="F619" i="28"/>
  <c r="H619" i="28" s="1"/>
  <c r="F620" i="28"/>
  <c r="H620" i="28" s="1"/>
  <c r="F621" i="28"/>
  <c r="H621" i="28" s="1"/>
  <c r="F622" i="28"/>
  <c r="H622" i="28" s="1"/>
  <c r="F623" i="28"/>
  <c r="H623" i="28" s="1"/>
  <c r="F624" i="28"/>
  <c r="H624" i="28" s="1"/>
  <c r="F625" i="28"/>
  <c r="H625" i="28" s="1"/>
  <c r="F626" i="28"/>
  <c r="F627" i="28"/>
  <c r="H627" i="28" s="1"/>
  <c r="F628" i="28"/>
  <c r="H628" i="28" s="1"/>
  <c r="F629" i="28"/>
  <c r="H629" i="28" s="1"/>
  <c r="F630" i="28"/>
  <c r="H630" i="28" s="1"/>
  <c r="F631" i="28"/>
  <c r="H631" i="28" s="1"/>
  <c r="F632" i="28"/>
  <c r="H632" i="28" s="1"/>
  <c r="F633" i="28"/>
  <c r="H633" i="28" s="1"/>
  <c r="F634" i="28"/>
  <c r="H634" i="28" s="1"/>
  <c r="F635" i="28"/>
  <c r="H635" i="28" s="1"/>
  <c r="F636" i="28"/>
  <c r="H636" i="28" s="1"/>
  <c r="F637" i="28"/>
  <c r="H637" i="28" s="1"/>
  <c r="F638" i="28"/>
  <c r="H638" i="28" s="1"/>
  <c r="F639" i="28"/>
  <c r="H639" i="28" s="1"/>
  <c r="F640" i="28"/>
  <c r="H640" i="28" s="1"/>
  <c r="F641" i="28"/>
  <c r="H641" i="28" s="1"/>
  <c r="F642" i="28"/>
  <c r="F643" i="28"/>
  <c r="H643" i="28" s="1"/>
  <c r="F644" i="28"/>
  <c r="H644" i="28" s="1"/>
  <c r="F645" i="28"/>
  <c r="H645" i="28" s="1"/>
  <c r="F646" i="28"/>
  <c r="H646" i="28" s="1"/>
  <c r="F647" i="28"/>
  <c r="H647" i="28" s="1"/>
  <c r="F648" i="28"/>
  <c r="H648" i="28" s="1"/>
  <c r="F649" i="28"/>
  <c r="H649" i="28" s="1"/>
  <c r="F650" i="28"/>
  <c r="H650" i="28" s="1"/>
  <c r="F651" i="28"/>
  <c r="H651" i="28" s="1"/>
  <c r="F652" i="28"/>
  <c r="H652" i="28" s="1"/>
  <c r="F653" i="28"/>
  <c r="H653" i="28" s="1"/>
  <c r="F654" i="28"/>
  <c r="H654" i="28" s="1"/>
  <c r="F655" i="28"/>
  <c r="H655" i="28" s="1"/>
  <c r="F656" i="28"/>
  <c r="H656" i="28" s="1"/>
  <c r="F657" i="28"/>
  <c r="H657" i="28" s="1"/>
  <c r="F658" i="28"/>
  <c r="F659" i="28"/>
  <c r="H659" i="28" s="1"/>
  <c r="F660" i="28"/>
  <c r="H660" i="28" s="1"/>
  <c r="F661" i="28"/>
  <c r="H661" i="28" s="1"/>
  <c r="F662" i="28"/>
  <c r="H662" i="28" s="1"/>
  <c r="F663" i="28"/>
  <c r="H663" i="28" s="1"/>
  <c r="F664" i="28"/>
  <c r="H664" i="28" s="1"/>
  <c r="F665" i="28"/>
  <c r="H665" i="28" s="1"/>
  <c r="F666" i="28"/>
  <c r="H666" i="28" s="1"/>
  <c r="F667" i="28"/>
  <c r="H667" i="28" s="1"/>
  <c r="F668" i="28"/>
  <c r="H668" i="28" s="1"/>
  <c r="F669" i="28"/>
  <c r="H669" i="28" s="1"/>
  <c r="F670" i="28"/>
  <c r="H670" i="28" s="1"/>
  <c r="F671" i="28"/>
  <c r="H671" i="28" s="1"/>
  <c r="F672" i="28"/>
  <c r="H672" i="28" s="1"/>
  <c r="F673" i="28"/>
  <c r="H673" i="28" s="1"/>
  <c r="F674" i="28"/>
  <c r="H674" i="28" s="1"/>
  <c r="F675" i="28"/>
  <c r="H675" i="28" s="1"/>
  <c r="F676" i="28"/>
  <c r="H676" i="28" s="1"/>
  <c r="F677" i="28"/>
  <c r="H677" i="28" s="1"/>
  <c r="F678" i="28"/>
  <c r="H678" i="28" s="1"/>
  <c r="F679" i="28"/>
  <c r="H679" i="28" s="1"/>
  <c r="F680" i="28"/>
  <c r="H680" i="28" s="1"/>
  <c r="F681" i="28"/>
  <c r="H681" i="28" s="1"/>
  <c r="F682" i="28"/>
  <c r="H682" i="28" s="1"/>
  <c r="F683" i="28"/>
  <c r="H683" i="28" s="1"/>
  <c r="F684" i="28"/>
  <c r="H684" i="28" s="1"/>
  <c r="F685" i="28"/>
  <c r="H685" i="28" s="1"/>
  <c r="F686" i="28"/>
  <c r="H686" i="28" s="1"/>
  <c r="F687" i="28"/>
  <c r="H687" i="28" s="1"/>
  <c r="F688" i="28"/>
  <c r="H688" i="28" s="1"/>
  <c r="F689" i="28"/>
  <c r="H689" i="28" s="1"/>
  <c r="F690" i="28"/>
  <c r="H690" i="28" s="1"/>
  <c r="F691" i="28"/>
  <c r="H691" i="28" s="1"/>
  <c r="F692" i="28"/>
  <c r="H692" i="28" s="1"/>
  <c r="F693" i="28"/>
  <c r="H693" i="28" s="1"/>
  <c r="F694" i="28"/>
  <c r="H694" i="28" s="1"/>
  <c r="F695" i="28"/>
  <c r="H695" i="28" s="1"/>
  <c r="F696" i="28"/>
  <c r="H696" i="28" s="1"/>
  <c r="F697" i="28"/>
  <c r="H697" i="28" s="1"/>
  <c r="F698" i="28"/>
  <c r="H698" i="28" s="1"/>
  <c r="F699" i="28"/>
  <c r="H699" i="28" s="1"/>
  <c r="F700" i="28"/>
  <c r="H700" i="28" s="1"/>
  <c r="F701" i="28"/>
  <c r="H701" i="28" s="1"/>
  <c r="F702" i="28"/>
  <c r="H702" i="28" s="1"/>
  <c r="F703" i="28"/>
  <c r="H703" i="28" s="1"/>
  <c r="F704" i="28"/>
  <c r="H704" i="28" s="1"/>
  <c r="F705" i="28"/>
  <c r="H705" i="28" s="1"/>
  <c r="F706" i="28"/>
  <c r="H706" i="28" s="1"/>
  <c r="F707" i="28"/>
  <c r="H707" i="28" s="1"/>
  <c r="F708" i="28"/>
  <c r="H708" i="28" s="1"/>
  <c r="F709" i="28"/>
  <c r="H709" i="28" s="1"/>
  <c r="F710" i="28"/>
  <c r="H710" i="28" s="1"/>
  <c r="F711" i="28"/>
  <c r="H711" i="28" s="1"/>
  <c r="F712" i="28"/>
  <c r="H712" i="28" s="1"/>
  <c r="F713" i="28"/>
  <c r="H713" i="28" s="1"/>
  <c r="F714" i="28"/>
  <c r="H714" i="28" s="1"/>
  <c r="F715" i="28"/>
  <c r="H715" i="28" s="1"/>
  <c r="F716" i="28"/>
  <c r="H716" i="28" s="1"/>
  <c r="F717" i="28"/>
  <c r="H717" i="28" s="1"/>
  <c r="F718" i="28"/>
  <c r="H718" i="28" s="1"/>
  <c r="F719" i="28"/>
  <c r="H719" i="28" s="1"/>
  <c r="F720" i="28"/>
  <c r="H720" i="28" s="1"/>
  <c r="F721" i="28"/>
  <c r="H721" i="28" s="1"/>
  <c r="F722" i="28"/>
  <c r="H722" i="28" s="1"/>
  <c r="F723" i="28"/>
  <c r="H723" i="28" s="1"/>
  <c r="F4" i="28"/>
  <c r="H4" i="28" s="1"/>
  <c r="H5" i="28"/>
  <c r="H10" i="28"/>
  <c r="H11" i="28"/>
  <c r="H17" i="28"/>
  <c r="H18" i="28"/>
  <c r="H19" i="28"/>
  <c r="H25" i="28"/>
  <c r="H26" i="28"/>
  <c r="H27" i="28"/>
  <c r="H28" i="28"/>
  <c r="H33" i="28"/>
  <c r="H34" i="28"/>
  <c r="H35" i="28"/>
  <c r="H41" i="28"/>
  <c r="H42" i="28"/>
  <c r="H43" i="28"/>
  <c r="H49" i="28"/>
  <c r="H50" i="28"/>
  <c r="H51" i="28"/>
  <c r="H57" i="28"/>
  <c r="H58" i="28"/>
  <c r="H59" i="28"/>
  <c r="H60" i="28"/>
  <c r="H65" i="28"/>
  <c r="H66" i="28"/>
  <c r="H67" i="28"/>
  <c r="H73" i="28"/>
  <c r="H74" i="28"/>
  <c r="H75" i="28"/>
  <c r="H81" i="28"/>
  <c r="H82" i="28"/>
  <c r="H83" i="28"/>
  <c r="H89" i="28"/>
  <c r="H90" i="28"/>
  <c r="H91" i="28"/>
  <c r="H97" i="28"/>
  <c r="H98" i="28"/>
  <c r="H99" i="28"/>
  <c r="H105" i="28"/>
  <c r="H106" i="28"/>
  <c r="H107" i="28"/>
  <c r="H113" i="28"/>
  <c r="H114" i="28"/>
  <c r="H115" i="28"/>
  <c r="H121" i="28"/>
  <c r="H122" i="28"/>
  <c r="H123" i="28"/>
  <c r="H124" i="28"/>
  <c r="H129" i="28"/>
  <c r="H130" i="28"/>
  <c r="H131" i="28"/>
  <c r="H137" i="28"/>
  <c r="H138" i="28"/>
  <c r="H139" i="28"/>
  <c r="H145" i="28"/>
  <c r="H146" i="28"/>
  <c r="H147" i="28"/>
  <c r="H148" i="28"/>
  <c r="H153" i="28"/>
  <c r="H154" i="28"/>
  <c r="H155" i="28"/>
  <c r="H161" i="28"/>
  <c r="H162" i="28"/>
  <c r="H163" i="28"/>
  <c r="H164" i="28"/>
  <c r="H170" i="28"/>
  <c r="H171" i="28"/>
  <c r="H178" i="28"/>
  <c r="H179" i="28"/>
  <c r="H180" i="28"/>
  <c r="H185" i="28"/>
  <c r="H186" i="28"/>
  <c r="H187" i="28"/>
  <c r="H194" i="28"/>
  <c r="H195" i="28"/>
  <c r="H196" i="28"/>
  <c r="H201" i="28"/>
  <c r="H202" i="28"/>
  <c r="H203" i="28"/>
  <c r="H210" i="28"/>
  <c r="H211" i="28"/>
  <c r="H217" i="28"/>
  <c r="H218" i="28"/>
  <c r="H219" i="28"/>
  <c r="H226" i="28"/>
  <c r="H227" i="28"/>
  <c r="H233" i="28"/>
  <c r="H234" i="28"/>
  <c r="H235" i="28"/>
  <c r="H241" i="28"/>
  <c r="H242" i="28"/>
  <c r="H243" i="28"/>
  <c r="H244" i="28"/>
  <c r="H249" i="28"/>
  <c r="H250" i="28"/>
  <c r="H251" i="28"/>
  <c r="H257" i="28"/>
  <c r="H258" i="28"/>
  <c r="H259" i="28"/>
  <c r="H260" i="28"/>
  <c r="H265" i="28"/>
  <c r="H266" i="28"/>
  <c r="H267" i="28"/>
  <c r="H274" i="28"/>
  <c r="H275" i="28"/>
  <c r="H281" i="28"/>
  <c r="H282" i="28"/>
  <c r="H283" i="28"/>
  <c r="H284" i="28"/>
  <c r="H290" i="28"/>
  <c r="H291" i="28"/>
  <c r="H297" i="28"/>
  <c r="H298" i="28"/>
  <c r="H299" i="28"/>
  <c r="H305" i="28"/>
  <c r="H306" i="28"/>
  <c r="H307" i="28"/>
  <c r="H314" i="28"/>
  <c r="H315" i="28"/>
  <c r="H316" i="28"/>
  <c r="H321" i="28"/>
  <c r="H322" i="28"/>
  <c r="H323" i="28"/>
  <c r="H330" i="28"/>
  <c r="H331" i="28"/>
  <c r="H337" i="28"/>
  <c r="H338" i="28"/>
  <c r="H339" i="28"/>
  <c r="H346" i="28"/>
  <c r="H347" i="28"/>
  <c r="H353" i="28"/>
  <c r="H354" i="28"/>
  <c r="H355" i="28"/>
  <c r="H362" i="28"/>
  <c r="H363" i="28"/>
  <c r="H370" i="28"/>
  <c r="H371" i="28"/>
  <c r="H377" i="28"/>
  <c r="H378" i="28"/>
  <c r="H379" i="28"/>
  <c r="H380" i="28"/>
  <c r="H386" i="28"/>
  <c r="H387" i="28"/>
  <c r="H394" i="28"/>
  <c r="H395" i="28"/>
  <c r="H402" i="28"/>
  <c r="H410" i="28"/>
  <c r="H411" i="28"/>
  <c r="H417" i="28"/>
  <c r="H418" i="28"/>
  <c r="H419" i="28"/>
  <c r="H425" i="28"/>
  <c r="H426" i="28"/>
  <c r="H427" i="28"/>
  <c r="H433" i="28"/>
  <c r="H441" i="28"/>
  <c r="H442" i="28"/>
  <c r="H443" i="28"/>
  <c r="H444" i="28"/>
  <c r="H457" i="28"/>
  <c r="H458" i="28"/>
  <c r="H459" i="28"/>
  <c r="H466" i="28"/>
  <c r="H467" i="28"/>
  <c r="H474" i="28"/>
  <c r="H476" i="28"/>
  <c r="H483" i="28"/>
  <c r="H490" i="28"/>
  <c r="H499" i="28"/>
  <c r="H507" i="28"/>
  <c r="H514" i="28"/>
  <c r="H521" i="28"/>
  <c r="H523" i="28"/>
  <c r="H529" i="28"/>
  <c r="H537" i="28"/>
  <c r="H539" i="28"/>
  <c r="H545" i="28"/>
  <c r="H546" i="28"/>
  <c r="H553" i="28"/>
  <c r="H554" i="28"/>
  <c r="H569" i="28"/>
  <c r="H571" i="28"/>
  <c r="H578" i="28"/>
  <c r="H594" i="28"/>
  <c r="H610" i="28"/>
  <c r="H626" i="28"/>
  <c r="H642" i="28"/>
  <c r="H658" i="28"/>
  <c r="AK294" i="27"/>
  <c r="AK295" i="27"/>
  <c r="AK296" i="27"/>
  <c r="AK297" i="27"/>
  <c r="AK298" i="27"/>
  <c r="AK299" i="27"/>
  <c r="AK300" i="27"/>
  <c r="AK301" i="27"/>
  <c r="AK302" i="27"/>
  <c r="AK303" i="27"/>
  <c r="AK304" i="27"/>
  <c r="AK305" i="27"/>
  <c r="AK306" i="27"/>
  <c r="AK307" i="27"/>
  <c r="AK308" i="27"/>
  <c r="AK309" i="27"/>
  <c r="A721" i="30"/>
  <c r="C721" i="30"/>
  <c r="A722" i="30"/>
  <c r="C722" i="30"/>
  <c r="A723" i="30"/>
  <c r="C723" i="30"/>
  <c r="A724" i="30"/>
  <c r="C724" i="30"/>
  <c r="A725" i="30"/>
  <c r="C725" i="30"/>
  <c r="A715" i="30"/>
  <c r="C715" i="30"/>
  <c r="A716" i="30"/>
  <c r="C716" i="30"/>
  <c r="A717" i="30"/>
  <c r="C717" i="30"/>
  <c r="A718" i="30"/>
  <c r="C718" i="30"/>
  <c r="A719" i="30"/>
  <c r="C719" i="30"/>
  <c r="A720" i="30"/>
  <c r="C720" i="30"/>
  <c r="A704" i="30"/>
  <c r="C704" i="30"/>
  <c r="A705" i="30"/>
  <c r="C705" i="30"/>
  <c r="A706" i="30"/>
  <c r="C706" i="30"/>
  <c r="A707" i="30"/>
  <c r="C707" i="30"/>
  <c r="A708" i="30"/>
  <c r="C708" i="30"/>
  <c r="A709" i="30"/>
  <c r="C709" i="30"/>
  <c r="A710" i="30"/>
  <c r="C710" i="30"/>
  <c r="A711" i="30"/>
  <c r="C711" i="30"/>
  <c r="A712" i="30"/>
  <c r="C712" i="30"/>
  <c r="A713" i="30"/>
  <c r="C713" i="30"/>
  <c r="A714" i="30"/>
  <c r="C714" i="30"/>
  <c r="A636" i="30"/>
  <c r="C636" i="30"/>
  <c r="A637" i="30"/>
  <c r="C637" i="30"/>
  <c r="A638" i="30"/>
  <c r="C638" i="30"/>
  <c r="A639" i="30"/>
  <c r="C639" i="30"/>
  <c r="A640" i="30"/>
  <c r="C640" i="30"/>
  <c r="A641" i="30"/>
  <c r="C641" i="30"/>
  <c r="A642" i="30"/>
  <c r="C642" i="30"/>
  <c r="A643" i="30"/>
  <c r="C643" i="30"/>
  <c r="A644" i="30"/>
  <c r="C644" i="30"/>
  <c r="A645" i="30"/>
  <c r="C645" i="30"/>
  <c r="A646" i="30"/>
  <c r="C646" i="30"/>
  <c r="A647" i="30"/>
  <c r="C647" i="30"/>
  <c r="A648" i="30"/>
  <c r="C648" i="30"/>
  <c r="A649" i="30"/>
  <c r="C649" i="30"/>
  <c r="A650" i="30"/>
  <c r="C650" i="30"/>
  <c r="A651" i="30"/>
  <c r="C651" i="30"/>
  <c r="A652" i="30"/>
  <c r="C652" i="30"/>
  <c r="A653" i="30"/>
  <c r="C653" i="30"/>
  <c r="A654" i="30"/>
  <c r="C654" i="30"/>
  <c r="A655" i="30"/>
  <c r="C655" i="30"/>
  <c r="A656" i="30"/>
  <c r="C656" i="30"/>
  <c r="A657" i="30"/>
  <c r="C657" i="30"/>
  <c r="A658" i="30"/>
  <c r="C658" i="30"/>
  <c r="A659" i="30"/>
  <c r="C659" i="30"/>
  <c r="A660" i="30"/>
  <c r="C660" i="30"/>
  <c r="A661" i="30"/>
  <c r="C661" i="30"/>
  <c r="A662" i="30"/>
  <c r="C662" i="30"/>
  <c r="A663" i="30"/>
  <c r="C663" i="30"/>
  <c r="A664" i="30"/>
  <c r="C664" i="30"/>
  <c r="A665" i="30"/>
  <c r="C665" i="30"/>
  <c r="A666" i="30"/>
  <c r="C666" i="30"/>
  <c r="A667" i="30"/>
  <c r="C667" i="30"/>
  <c r="A668" i="30"/>
  <c r="C668" i="30"/>
  <c r="A669" i="30"/>
  <c r="C669" i="30"/>
  <c r="A670" i="30"/>
  <c r="C670" i="30"/>
  <c r="A671" i="30"/>
  <c r="C671" i="30"/>
  <c r="A672" i="30"/>
  <c r="C672" i="30"/>
  <c r="A673" i="30"/>
  <c r="C673" i="30"/>
  <c r="A674" i="30"/>
  <c r="C674" i="30"/>
  <c r="A675" i="30"/>
  <c r="C675" i="30"/>
  <c r="A676" i="30"/>
  <c r="C676" i="30"/>
  <c r="A677" i="30"/>
  <c r="C677" i="30"/>
  <c r="A678" i="30"/>
  <c r="C678" i="30"/>
  <c r="A679" i="30"/>
  <c r="C679" i="30"/>
  <c r="A680" i="30"/>
  <c r="C680" i="30"/>
  <c r="A681" i="30"/>
  <c r="C681" i="30"/>
  <c r="A682" i="30"/>
  <c r="C682" i="30"/>
  <c r="A683" i="30"/>
  <c r="C683" i="30"/>
  <c r="A684" i="30"/>
  <c r="C684" i="30"/>
  <c r="A685" i="30"/>
  <c r="C685" i="30"/>
  <c r="A686" i="30"/>
  <c r="C686" i="30"/>
  <c r="A687" i="30"/>
  <c r="C687" i="30"/>
  <c r="A688" i="30"/>
  <c r="C688" i="30"/>
  <c r="A689" i="30"/>
  <c r="C689" i="30"/>
  <c r="A690" i="30"/>
  <c r="C690" i="30"/>
  <c r="A691" i="30"/>
  <c r="C691" i="30"/>
  <c r="A692" i="30"/>
  <c r="C692" i="30"/>
  <c r="A693" i="30"/>
  <c r="C693" i="30"/>
  <c r="A694" i="30"/>
  <c r="C694" i="30"/>
  <c r="A695" i="30"/>
  <c r="C695" i="30"/>
  <c r="A696" i="30"/>
  <c r="C696" i="30"/>
  <c r="A697" i="30"/>
  <c r="C697" i="30"/>
  <c r="A698" i="30"/>
  <c r="C698" i="30"/>
  <c r="A699" i="30"/>
  <c r="C699" i="30"/>
  <c r="A700" i="30"/>
  <c r="C700" i="30"/>
  <c r="A701" i="30"/>
  <c r="C701" i="30"/>
  <c r="A702" i="30"/>
  <c r="C702" i="30"/>
  <c r="A703" i="30"/>
  <c r="C703" i="30"/>
  <c r="D504" i="28"/>
  <c r="D505" i="28"/>
  <c r="D506" i="28"/>
  <c r="D507" i="28"/>
  <c r="D508" i="28"/>
  <c r="D509" i="28"/>
  <c r="D510" i="28"/>
  <c r="D511" i="28"/>
  <c r="D512" i="28"/>
  <c r="D513" i="28"/>
  <c r="D514" i="28"/>
  <c r="D515" i="28"/>
  <c r="D516" i="28"/>
  <c r="D517" i="28"/>
  <c r="D518" i="28"/>
  <c r="D519" i="28"/>
  <c r="D520" i="28"/>
  <c r="D521" i="28"/>
  <c r="D522" i="28"/>
  <c r="D523" i="28"/>
  <c r="D524" i="28"/>
  <c r="D525" i="28"/>
  <c r="D526" i="28"/>
  <c r="D527" i="28"/>
  <c r="D528" i="28"/>
  <c r="D529" i="28"/>
  <c r="D530" i="28"/>
  <c r="D531" i="28"/>
  <c r="D532" i="28"/>
  <c r="D533" i="28"/>
  <c r="D534" i="28"/>
  <c r="D535" i="28"/>
  <c r="D536" i="28"/>
  <c r="D537" i="28"/>
  <c r="D538" i="28"/>
  <c r="D539" i="28"/>
  <c r="D540" i="28"/>
  <c r="D541" i="28"/>
  <c r="D542" i="28"/>
  <c r="D543" i="28"/>
  <c r="D544" i="28"/>
  <c r="D545" i="28"/>
  <c r="D546" i="28"/>
  <c r="D547" i="28"/>
  <c r="D548" i="28"/>
  <c r="D549" i="28"/>
  <c r="D550" i="28"/>
  <c r="D551" i="28"/>
  <c r="D552" i="28"/>
  <c r="D553" i="28"/>
  <c r="D554" i="28"/>
  <c r="D555" i="28"/>
  <c r="D556" i="28"/>
  <c r="D557" i="28"/>
  <c r="D558" i="28"/>
  <c r="D559" i="28"/>
  <c r="D560" i="28"/>
  <c r="D561" i="28"/>
  <c r="D562" i="28"/>
  <c r="D563" i="28"/>
  <c r="D564" i="28"/>
  <c r="D565" i="28"/>
  <c r="D566" i="28"/>
  <c r="D567" i="28"/>
  <c r="D568" i="28"/>
  <c r="D569" i="28"/>
  <c r="D570" i="28"/>
  <c r="D571" i="28"/>
  <c r="D572" i="28"/>
  <c r="D573" i="28"/>
  <c r="D574" i="28"/>
  <c r="D575" i="28"/>
  <c r="D576" i="28"/>
  <c r="D577" i="28"/>
  <c r="D578" i="28"/>
  <c r="D579" i="28"/>
  <c r="D580" i="28"/>
  <c r="D581" i="28"/>
  <c r="D582" i="28"/>
  <c r="D583" i="28"/>
  <c r="D584" i="28"/>
  <c r="D585" i="28"/>
  <c r="D586" i="28"/>
  <c r="D587" i="28"/>
  <c r="D588" i="28"/>
  <c r="D589" i="28"/>
  <c r="D590" i="28"/>
  <c r="D591" i="28"/>
  <c r="D592" i="28"/>
  <c r="D593" i="28"/>
  <c r="D594" i="28"/>
  <c r="D595" i="28"/>
  <c r="D596" i="28"/>
  <c r="D597" i="28"/>
  <c r="D598" i="28"/>
  <c r="D599" i="28"/>
  <c r="D600" i="28"/>
  <c r="D601" i="28"/>
  <c r="D602" i="28"/>
  <c r="D603" i="28"/>
  <c r="D604" i="28"/>
  <c r="D605" i="28"/>
  <c r="D606" i="28"/>
  <c r="D607" i="28"/>
  <c r="D608" i="28"/>
  <c r="D609" i="28"/>
  <c r="D610" i="28"/>
  <c r="D611" i="28"/>
  <c r="D612" i="28"/>
  <c r="D613" i="28"/>
  <c r="D614" i="28"/>
  <c r="D615" i="28"/>
  <c r="D616" i="28"/>
  <c r="D617" i="28"/>
  <c r="D618" i="28"/>
  <c r="D619" i="28"/>
  <c r="D620" i="28"/>
  <c r="D621" i="28"/>
  <c r="D622" i="28"/>
  <c r="D623" i="28"/>
  <c r="D624" i="28"/>
  <c r="D625" i="28"/>
  <c r="D626" i="28"/>
  <c r="D627" i="28"/>
  <c r="D628" i="28"/>
  <c r="D629" i="28"/>
  <c r="D630" i="28"/>
  <c r="D631" i="28"/>
  <c r="D632" i="28"/>
  <c r="D633" i="28"/>
  <c r="D634" i="28"/>
  <c r="D635" i="28"/>
  <c r="D636" i="28"/>
  <c r="D637" i="28"/>
  <c r="D638" i="28"/>
  <c r="D639" i="28"/>
  <c r="D640" i="28"/>
  <c r="D641" i="28"/>
  <c r="D642" i="28"/>
  <c r="D643" i="28"/>
  <c r="D644" i="28"/>
  <c r="D645" i="28"/>
  <c r="D646" i="28"/>
  <c r="D647" i="28"/>
  <c r="D648" i="28"/>
  <c r="D649" i="28"/>
  <c r="D650" i="28"/>
  <c r="D651" i="28"/>
  <c r="D652" i="28"/>
  <c r="D653" i="28"/>
  <c r="D654" i="28"/>
  <c r="D655" i="28"/>
  <c r="D656" i="28"/>
  <c r="D657" i="28"/>
  <c r="D658" i="28"/>
  <c r="D659" i="28"/>
  <c r="D660" i="28"/>
  <c r="D661" i="28"/>
  <c r="D662" i="28"/>
  <c r="D663" i="28"/>
  <c r="D664" i="28"/>
  <c r="D665" i="28"/>
  <c r="D666" i="28"/>
  <c r="D667" i="28"/>
  <c r="D668" i="28"/>
  <c r="D669" i="28"/>
  <c r="D670" i="28"/>
  <c r="D671" i="28"/>
  <c r="D672" i="28"/>
  <c r="D673" i="28"/>
  <c r="D674" i="28"/>
  <c r="D675" i="28"/>
  <c r="D676" i="28"/>
  <c r="D677" i="28"/>
  <c r="D678" i="28"/>
  <c r="D679" i="28"/>
  <c r="D680" i="28"/>
  <c r="D681" i="28"/>
  <c r="D682" i="28"/>
  <c r="D683" i="28"/>
  <c r="D684" i="28"/>
  <c r="D685" i="28"/>
  <c r="D686" i="28"/>
  <c r="D687" i="28"/>
  <c r="D688" i="28"/>
  <c r="D689" i="28"/>
  <c r="D690" i="28"/>
  <c r="D691" i="28"/>
  <c r="D692" i="28"/>
  <c r="D693" i="28"/>
  <c r="D694" i="28"/>
  <c r="D695" i="28"/>
  <c r="D696" i="28"/>
  <c r="D697" i="28"/>
  <c r="D698" i="28"/>
  <c r="D699" i="28"/>
  <c r="D700" i="28"/>
  <c r="D701" i="28"/>
  <c r="D702" i="28"/>
  <c r="D703" i="28"/>
  <c r="D704" i="28"/>
  <c r="D705" i="28"/>
  <c r="D706" i="28"/>
  <c r="D707" i="28"/>
  <c r="D708" i="28"/>
  <c r="D709" i="28"/>
  <c r="D710" i="28"/>
  <c r="D711" i="28"/>
  <c r="D712" i="28"/>
  <c r="D713" i="28"/>
  <c r="D714" i="28"/>
  <c r="D715" i="28"/>
  <c r="D716" i="28"/>
  <c r="D717" i="28"/>
  <c r="D718" i="28"/>
  <c r="D719" i="28"/>
  <c r="D720" i="28"/>
  <c r="D721" i="28"/>
  <c r="D722" i="28"/>
  <c r="D723" i="28"/>
  <c r="AN10" i="27"/>
  <c r="AN11" i="27" s="1"/>
  <c r="AN12" i="27" s="1"/>
  <c r="AM10" i="27"/>
  <c r="AM11" i="27" s="1"/>
  <c r="AM12" i="27" s="1"/>
  <c r="AM13" i="27" s="1"/>
  <c r="AM14" i="27" s="1"/>
  <c r="AM15" i="27" s="1"/>
  <c r="AH10" i="27"/>
  <c r="AH11" i="27" s="1"/>
  <c r="AH12" i="27" s="1"/>
  <c r="AH13" i="27" s="1"/>
  <c r="AH14" i="27" s="1"/>
  <c r="AH15" i="27" s="1"/>
  <c r="AH16" i="27" s="1"/>
  <c r="AH17" i="27" s="1"/>
  <c r="AH18" i="27" s="1"/>
  <c r="AH19" i="27" s="1"/>
  <c r="AH20" i="27" s="1"/>
  <c r="AS9" i="27"/>
  <c r="AB11" i="27"/>
  <c r="AB12" i="27" s="1"/>
  <c r="AB13" i="27" s="1"/>
  <c r="AB14" i="27" s="1"/>
  <c r="AB15" i="27" s="1"/>
  <c r="AB16" i="27" s="1"/>
  <c r="AB17" i="27" s="1"/>
  <c r="AB18" i="27" s="1"/>
  <c r="AB19" i="27" s="1"/>
  <c r="AA11" i="27"/>
  <c r="AA12" i="27" s="1"/>
  <c r="X10" i="27"/>
  <c r="X11" i="27" s="1"/>
  <c r="X12" i="27" s="1"/>
  <c r="X13" i="27" s="1"/>
  <c r="X14" i="27" s="1"/>
  <c r="X15" i="27" s="1"/>
  <c r="X16" i="27" s="1"/>
  <c r="X17" i="27" s="1"/>
  <c r="X18" i="27" s="1"/>
  <c r="X19" i="27" s="1"/>
  <c r="X20" i="27" s="1"/>
  <c r="W10" i="27"/>
  <c r="W11" i="27" s="1"/>
  <c r="W12" i="27" s="1"/>
  <c r="W13" i="27" s="1"/>
  <c r="W14" i="27" s="1"/>
  <c r="W15" i="27" s="1"/>
  <c r="W16" i="27" s="1"/>
  <c r="W17" i="27" s="1"/>
  <c r="W18" i="27" s="1"/>
  <c r="W19" i="27" s="1"/>
  <c r="W20" i="27" s="1"/>
  <c r="V10" i="27"/>
  <c r="V11" i="27" s="1"/>
  <c r="V12" i="27" s="1"/>
  <c r="V13" i="27" s="1"/>
  <c r="V14" i="27" s="1"/>
  <c r="V15" i="27" s="1"/>
  <c r="V16" i="27" s="1"/>
  <c r="V17" i="27" s="1"/>
  <c r="V18" i="27" s="1"/>
  <c r="V19" i="27" s="1"/>
  <c r="V20" i="27" s="1"/>
  <c r="P10" i="27"/>
  <c r="P11" i="27" s="1"/>
  <c r="P12" i="27" s="1"/>
  <c r="P13" i="27" s="1"/>
  <c r="P14" i="27" s="1"/>
  <c r="P15" i="27" s="1"/>
  <c r="P16" i="27" s="1"/>
  <c r="P17" i="27" s="1"/>
  <c r="P18" i="27" s="1"/>
  <c r="P19" i="27" s="1"/>
  <c r="O11" i="27"/>
  <c r="O12" i="27" s="1"/>
  <c r="O13" i="27" s="1"/>
  <c r="O14" i="27" s="1"/>
  <c r="O15" i="27" s="1"/>
  <c r="O16" i="27" s="1"/>
  <c r="O17" i="27" s="1"/>
  <c r="O18" i="27" s="1"/>
  <c r="O19" i="27" s="1"/>
  <c r="L10" i="27"/>
  <c r="L11" i="27" s="1"/>
  <c r="L12" i="27" s="1"/>
  <c r="L13" i="27" s="1"/>
  <c r="L14" i="27" s="1"/>
  <c r="L15" i="27" s="1"/>
  <c r="L16" i="27" s="1"/>
  <c r="L17" i="27" s="1"/>
  <c r="L18" i="27" s="1"/>
  <c r="L19" i="27" s="1"/>
  <c r="L20" i="27" s="1"/>
  <c r="K10" i="27"/>
  <c r="K11" i="27" s="1"/>
  <c r="K12" i="27" s="1"/>
  <c r="K13" i="27" s="1"/>
  <c r="K14" i="27" s="1"/>
  <c r="K15" i="27" s="1"/>
  <c r="K16" i="27" s="1"/>
  <c r="K17" i="27" s="1"/>
  <c r="K18" i="27" s="1"/>
  <c r="K19" i="27" s="1"/>
  <c r="K20" i="27" s="1"/>
  <c r="J10" i="27"/>
  <c r="J11" i="27" s="1"/>
  <c r="J12" i="27" s="1"/>
  <c r="J13" i="27" s="1"/>
  <c r="J14" i="27" s="1"/>
  <c r="J15" i="27" s="1"/>
  <c r="J16" i="27" s="1"/>
  <c r="J17" i="27" s="1"/>
  <c r="J18" i="27" s="1"/>
  <c r="J19" i="27" s="1"/>
  <c r="J20" i="27" s="1"/>
  <c r="H10" i="27"/>
  <c r="H11" i="27" s="1"/>
  <c r="H12" i="27" s="1"/>
  <c r="H13" i="27" s="1"/>
  <c r="H14" i="27" s="1"/>
  <c r="H15" i="27" s="1"/>
  <c r="H16" i="27" s="1"/>
  <c r="H17" i="27" s="1"/>
  <c r="H18" i="27" s="1"/>
  <c r="H19" i="27" s="1"/>
  <c r="H20" i="27" s="1"/>
  <c r="H21" i="27" s="1"/>
  <c r="H22" i="27" s="1"/>
  <c r="H23" i="27" s="1"/>
  <c r="H24" i="27" s="1"/>
  <c r="H25" i="27" s="1"/>
  <c r="H26" i="27" s="1"/>
  <c r="H27" i="27" s="1"/>
  <c r="H28" i="27" s="1"/>
  <c r="H29" i="27" s="1"/>
  <c r="H30" i="27" s="1"/>
  <c r="H31" i="27" s="1"/>
  <c r="H32" i="27" s="1"/>
  <c r="H33" i="27" s="1"/>
  <c r="H34" i="27" s="1"/>
  <c r="H35" i="27" s="1"/>
  <c r="H36" i="27" s="1"/>
  <c r="H37" i="27" s="1"/>
  <c r="H38" i="27" s="1"/>
  <c r="H39" i="27" s="1"/>
  <c r="H40" i="27" s="1"/>
  <c r="H41" i="27" s="1"/>
  <c r="H42" i="27" s="1"/>
  <c r="H43" i="27" s="1"/>
  <c r="H44" i="27" s="1"/>
  <c r="H45" i="27" s="1"/>
  <c r="H46" i="27" s="1"/>
  <c r="H47" i="27" s="1"/>
  <c r="H48" i="27" s="1"/>
  <c r="H49" i="27" s="1"/>
  <c r="H50" i="27" s="1"/>
  <c r="H51" i="27" s="1"/>
  <c r="H52" i="27" s="1"/>
  <c r="H53" i="27" s="1"/>
  <c r="H54" i="27" s="1"/>
  <c r="H56" i="27" s="1"/>
  <c r="H57" i="27" s="1"/>
  <c r="H58" i="27" s="1"/>
  <c r="H59" i="27" s="1"/>
  <c r="H60" i="27" s="1"/>
  <c r="H61" i="27" s="1"/>
  <c r="H62" i="27" s="1"/>
  <c r="H63" i="27" s="1"/>
  <c r="H64" i="27" s="1"/>
  <c r="H65" i="27" s="1"/>
  <c r="H66" i="27" s="1"/>
  <c r="H67" i="27" s="1"/>
  <c r="H68" i="27" s="1"/>
  <c r="H69" i="27" s="1"/>
  <c r="H70" i="27" s="1"/>
  <c r="H71" i="27" s="1"/>
  <c r="H72" i="27" s="1"/>
  <c r="H73" i="27" s="1"/>
  <c r="H74" i="27" s="1"/>
  <c r="H75" i="27" s="1"/>
  <c r="H76" i="27" s="1"/>
  <c r="H77" i="27" s="1"/>
  <c r="H78" i="27" s="1"/>
  <c r="H79" i="27" s="1"/>
  <c r="H80" i="27" s="1"/>
  <c r="H81" i="27" s="1"/>
  <c r="H82" i="27" s="1"/>
  <c r="H83" i="27" s="1"/>
  <c r="H84" i="27" s="1"/>
  <c r="H85" i="27" s="1"/>
  <c r="H86" i="27" s="1"/>
  <c r="H87" i="27" s="1"/>
  <c r="H88" i="27" s="1"/>
  <c r="H89" i="27" s="1"/>
  <c r="H90" i="27" s="1"/>
  <c r="H91" i="27" s="1"/>
  <c r="H92" i="27" s="1"/>
  <c r="H93" i="27" s="1"/>
  <c r="H94" i="27" s="1"/>
  <c r="H95" i="27" s="1"/>
  <c r="H96" i="27" s="1"/>
  <c r="H97" i="27" s="1"/>
  <c r="H98" i="27" s="1"/>
  <c r="H99" i="27" s="1"/>
  <c r="H100" i="27" s="1"/>
  <c r="H101" i="27" s="1"/>
  <c r="H102" i="27" s="1"/>
  <c r="H103" i="27" s="1"/>
  <c r="H104" i="27" s="1"/>
  <c r="H105" i="27" s="1"/>
  <c r="H106" i="27" s="1"/>
  <c r="H107" i="27" s="1"/>
  <c r="H108" i="27" s="1"/>
  <c r="H109" i="27" s="1"/>
  <c r="H110" i="27" s="1"/>
  <c r="H111" i="27" s="1"/>
  <c r="H112" i="27" s="1"/>
  <c r="H113" i="27" s="1"/>
  <c r="H114" i="27" s="1"/>
  <c r="H115" i="27" s="1"/>
  <c r="H116" i="27" s="1"/>
  <c r="H117" i="27" s="1"/>
  <c r="H118" i="27" s="1"/>
  <c r="H119" i="27" s="1"/>
  <c r="H120" i="27" s="1"/>
  <c r="H121" i="27" s="1"/>
  <c r="H122" i="27" s="1"/>
  <c r="H123" i="27" s="1"/>
  <c r="H124" i="27" s="1"/>
  <c r="H125" i="27" s="1"/>
  <c r="H126" i="27" s="1"/>
  <c r="H127" i="27" s="1"/>
  <c r="H128" i="27" s="1"/>
  <c r="H129" i="27" s="1"/>
  <c r="H130" i="27" s="1"/>
  <c r="H131" i="27" s="1"/>
  <c r="H132" i="27" s="1"/>
  <c r="H133" i="27" s="1"/>
  <c r="H134" i="27" s="1"/>
  <c r="H135" i="27" s="1"/>
  <c r="H136" i="27" s="1"/>
  <c r="H137" i="27" s="1"/>
  <c r="H138" i="27" s="1"/>
  <c r="H139" i="27" s="1"/>
  <c r="H140" i="27" s="1"/>
  <c r="H141" i="27" s="1"/>
  <c r="H142" i="27" s="1"/>
  <c r="H143" i="27" s="1"/>
  <c r="H144" i="27" s="1"/>
  <c r="H145" i="27" s="1"/>
  <c r="H146" i="27" s="1"/>
  <c r="H147" i="27" s="1"/>
  <c r="H148" i="27" s="1"/>
  <c r="H149" i="27" s="1"/>
  <c r="H150" i="27" s="1"/>
  <c r="H151" i="27" s="1"/>
  <c r="H152" i="27" s="1"/>
  <c r="H153" i="27" s="1"/>
  <c r="H154" i="27" s="1"/>
  <c r="H155" i="27" s="1"/>
  <c r="H156" i="27" s="1"/>
  <c r="H157" i="27" s="1"/>
  <c r="H158" i="27" s="1"/>
  <c r="H159" i="27" s="1"/>
  <c r="H160" i="27" s="1"/>
  <c r="H161" i="27" s="1"/>
  <c r="H162" i="27" s="1"/>
  <c r="H163" i="27" s="1"/>
  <c r="H164" i="27" s="1"/>
  <c r="H165" i="27" s="1"/>
  <c r="H166" i="27" s="1"/>
  <c r="H167" i="27" s="1"/>
  <c r="H168" i="27" s="1"/>
  <c r="H169" i="27" s="1"/>
  <c r="H170" i="27" s="1"/>
  <c r="H171" i="27" s="1"/>
  <c r="H172" i="27" s="1"/>
  <c r="H173" i="27" s="1"/>
  <c r="H174" i="27" s="1"/>
  <c r="H175" i="27" s="1"/>
  <c r="H176" i="27" s="1"/>
  <c r="H177" i="27" s="1"/>
  <c r="H178" i="27" s="1"/>
  <c r="H179" i="27" s="1"/>
  <c r="H180" i="27" s="1"/>
  <c r="H181" i="27" s="1"/>
  <c r="H182" i="27" s="1"/>
  <c r="H183" i="27" s="1"/>
  <c r="H184" i="27" s="1"/>
  <c r="H185" i="27" s="1"/>
  <c r="H186" i="27" s="1"/>
  <c r="H187" i="27" s="1"/>
  <c r="H188" i="27" s="1"/>
  <c r="H189" i="27" s="1"/>
  <c r="H190" i="27" s="1"/>
  <c r="H191" i="27" s="1"/>
  <c r="H192" i="27" s="1"/>
  <c r="H193" i="27" s="1"/>
  <c r="H194" i="27" s="1"/>
  <c r="H195" i="27" s="1"/>
  <c r="H196" i="27" s="1"/>
  <c r="H197" i="27" s="1"/>
  <c r="H198" i="27" s="1"/>
  <c r="H199" i="27" s="1"/>
  <c r="H200" i="27" s="1"/>
  <c r="H201" i="27" s="1"/>
  <c r="H202" i="27" s="1"/>
  <c r="H203" i="27" s="1"/>
  <c r="H204" i="27" s="1"/>
  <c r="H205" i="27" s="1"/>
  <c r="H206" i="27" s="1"/>
  <c r="H207" i="27" s="1"/>
  <c r="H208" i="27" s="1"/>
  <c r="H209" i="27" s="1"/>
  <c r="H210" i="27" s="1"/>
  <c r="H211" i="27" s="1"/>
  <c r="H212" i="27" s="1"/>
  <c r="H213" i="27" s="1"/>
  <c r="H214" i="27" s="1"/>
  <c r="H215" i="27" s="1"/>
  <c r="H216" i="27" s="1"/>
  <c r="H217" i="27" s="1"/>
  <c r="H218" i="27" s="1"/>
  <c r="H219" i="27" s="1"/>
  <c r="H220" i="27" s="1"/>
  <c r="H221" i="27" s="1"/>
  <c r="H222" i="27" s="1"/>
  <c r="H223" i="27" s="1"/>
  <c r="H224" i="27" s="1"/>
  <c r="H225" i="27" s="1"/>
  <c r="H226" i="27" s="1"/>
  <c r="H227" i="27" s="1"/>
  <c r="H228" i="27" s="1"/>
  <c r="H229" i="27" s="1"/>
  <c r="H230" i="27" s="1"/>
  <c r="H231" i="27" s="1"/>
  <c r="H232" i="27" s="1"/>
  <c r="H233" i="27" s="1"/>
  <c r="H234" i="27" s="1"/>
  <c r="H235" i="27" s="1"/>
  <c r="H236" i="27" s="1"/>
  <c r="H237" i="27" s="1"/>
  <c r="H238" i="27" s="1"/>
  <c r="H239" i="27" s="1"/>
  <c r="H240" i="27" s="1"/>
  <c r="H241" i="27" s="1"/>
  <c r="H242" i="27" s="1"/>
  <c r="H243" i="27" s="1"/>
  <c r="H244" i="27" s="1"/>
  <c r="H245" i="27" s="1"/>
  <c r="H246" i="27" s="1"/>
  <c r="H247" i="27" s="1"/>
  <c r="H248" i="27" s="1"/>
  <c r="H249" i="27" s="1"/>
  <c r="H250" i="27" s="1"/>
  <c r="H251" i="27" s="1"/>
  <c r="H252" i="27" s="1"/>
  <c r="H253" i="27" s="1"/>
  <c r="H254" i="27" s="1"/>
  <c r="H255" i="27" s="1"/>
  <c r="H256" i="27" s="1"/>
  <c r="H257" i="27" s="1"/>
  <c r="H258" i="27" s="1"/>
  <c r="H259" i="27" s="1"/>
  <c r="H260" i="27" s="1"/>
  <c r="H261" i="27" s="1"/>
  <c r="H262" i="27" s="1"/>
  <c r="H263" i="27" s="1"/>
  <c r="H264" i="27" s="1"/>
  <c r="H265" i="27" s="1"/>
  <c r="H266" i="27" s="1"/>
  <c r="H267" i="27" s="1"/>
  <c r="H268" i="27" s="1"/>
  <c r="H269" i="27" s="1"/>
  <c r="H270" i="27" s="1"/>
  <c r="H271" i="27" s="1"/>
  <c r="H272" i="27" s="1"/>
  <c r="H273" i="27" s="1"/>
  <c r="H274" i="27" s="1"/>
  <c r="H275" i="27" s="1"/>
  <c r="H276" i="27" s="1"/>
  <c r="H277" i="27" s="1"/>
  <c r="H278" i="27" s="1"/>
  <c r="H279" i="27" s="1"/>
  <c r="H280" i="27" s="1"/>
  <c r="H281" i="27" s="1"/>
  <c r="H282" i="27" s="1"/>
  <c r="H283" i="27" s="1"/>
  <c r="H284" i="27" s="1"/>
  <c r="H285" i="27" s="1"/>
  <c r="H286" i="27" s="1"/>
  <c r="H287" i="27" s="1"/>
  <c r="H288" i="27" s="1"/>
  <c r="H289" i="27" s="1"/>
  <c r="H290" i="27" s="1"/>
  <c r="H291" i="27" s="1"/>
  <c r="H292" i="27" s="1"/>
  <c r="H293" i="27" s="1"/>
  <c r="H294" i="27" s="1"/>
  <c r="H295" i="27" s="1"/>
  <c r="H296" i="27" s="1"/>
  <c r="H297" i="27" s="1"/>
  <c r="H298" i="27" s="1"/>
  <c r="H299" i="27" s="1"/>
  <c r="H300" i="27" s="1"/>
  <c r="H301" i="27" s="1"/>
  <c r="H302" i="27" s="1"/>
  <c r="H303" i="27" s="1"/>
  <c r="H304" i="27" s="1"/>
  <c r="H305" i="27" s="1"/>
  <c r="H306" i="27" s="1"/>
  <c r="H307" i="27" s="1"/>
  <c r="H308" i="27" s="1"/>
  <c r="H309" i="27" s="1"/>
  <c r="E10" i="27"/>
  <c r="D10" i="27"/>
  <c r="D11" i="27" s="1"/>
  <c r="D12" i="27" s="1"/>
  <c r="D13" i="27" s="1"/>
  <c r="D14" i="27" s="1"/>
  <c r="D15" i="27" s="1"/>
  <c r="D16" i="27" s="1"/>
  <c r="D17" i="27" s="1"/>
  <c r="D18" i="27" s="1"/>
  <c r="D19" i="27" s="1"/>
  <c r="D20" i="27" s="1"/>
  <c r="D21" i="27" s="1"/>
  <c r="D22" i="27" s="1"/>
  <c r="D23" i="27" s="1"/>
  <c r="D24" i="27" s="1"/>
  <c r="D25" i="27" s="1"/>
  <c r="D26" i="27" s="1"/>
  <c r="D27" i="27" s="1"/>
  <c r="D28" i="27" s="1"/>
  <c r="D29" i="27" s="1"/>
  <c r="D30" i="27" s="1"/>
  <c r="D31" i="27" s="1"/>
  <c r="D32" i="27" s="1"/>
  <c r="D33" i="27" s="1"/>
  <c r="D34" i="27" s="1"/>
  <c r="D35" i="27" s="1"/>
  <c r="D36" i="27" s="1"/>
  <c r="D37" i="27" s="1"/>
  <c r="D38" i="27" s="1"/>
  <c r="D39" i="27" s="1"/>
  <c r="D40" i="27" s="1"/>
  <c r="D41" i="27" s="1"/>
  <c r="D42" i="27" s="1"/>
  <c r="D43" i="27" s="1"/>
  <c r="D44" i="27" s="1"/>
  <c r="D45" i="27" s="1"/>
  <c r="D46" i="27" s="1"/>
  <c r="D47" i="27" s="1"/>
  <c r="D48" i="27" s="1"/>
  <c r="D49" i="27" s="1"/>
  <c r="D50" i="27" s="1"/>
  <c r="D51" i="27" s="1"/>
  <c r="D52" i="27" s="1"/>
  <c r="D53" i="27" s="1"/>
  <c r="D54" i="27" s="1"/>
  <c r="D56" i="27" s="1"/>
  <c r="D57" i="27" s="1"/>
  <c r="D58" i="27" s="1"/>
  <c r="D59" i="27" s="1"/>
  <c r="D60" i="27" s="1"/>
  <c r="D61" i="27" s="1"/>
  <c r="D62" i="27" s="1"/>
  <c r="D63" i="27" s="1"/>
  <c r="D64" i="27" s="1"/>
  <c r="D65" i="27" s="1"/>
  <c r="D66" i="27" s="1"/>
  <c r="D67" i="27" s="1"/>
  <c r="D68" i="27" s="1"/>
  <c r="D69" i="27" s="1"/>
  <c r="D70" i="27" s="1"/>
  <c r="D71" i="27" s="1"/>
  <c r="D72" i="27" s="1"/>
  <c r="D73" i="27" s="1"/>
  <c r="D74" i="27" s="1"/>
  <c r="D75" i="27" s="1"/>
  <c r="D76" i="27" s="1"/>
  <c r="D77" i="27" s="1"/>
  <c r="D78" i="27" s="1"/>
  <c r="D79" i="27" s="1"/>
  <c r="D80" i="27" s="1"/>
  <c r="D81" i="27" s="1"/>
  <c r="D82" i="27" s="1"/>
  <c r="D83" i="27" s="1"/>
  <c r="D84" i="27" s="1"/>
  <c r="D85" i="27" s="1"/>
  <c r="D86" i="27" s="1"/>
  <c r="D87" i="27" s="1"/>
  <c r="D88" i="27" s="1"/>
  <c r="D89" i="27" s="1"/>
  <c r="D90" i="27" s="1"/>
  <c r="D91" i="27" s="1"/>
  <c r="D92" i="27" s="1"/>
  <c r="D93" i="27" s="1"/>
  <c r="D94" i="27" s="1"/>
  <c r="D95" i="27" s="1"/>
  <c r="D96" i="27" s="1"/>
  <c r="D97" i="27" s="1"/>
  <c r="D98" i="27" s="1"/>
  <c r="D99" i="27" s="1"/>
  <c r="D100" i="27" s="1"/>
  <c r="D101" i="27" s="1"/>
  <c r="D102" i="27" s="1"/>
  <c r="D103" i="27" s="1"/>
  <c r="D104" i="27" s="1"/>
  <c r="D105" i="27" s="1"/>
  <c r="D106" i="27" s="1"/>
  <c r="D107" i="27" s="1"/>
  <c r="D108" i="27" s="1"/>
  <c r="D109" i="27" s="1"/>
  <c r="D110" i="27" s="1"/>
  <c r="D111" i="27" s="1"/>
  <c r="D112" i="27" s="1"/>
  <c r="D113" i="27" s="1"/>
  <c r="D114" i="27" s="1"/>
  <c r="D115" i="27" s="1"/>
  <c r="D116" i="27" s="1"/>
  <c r="D117" i="27" s="1"/>
  <c r="D118" i="27" s="1"/>
  <c r="D119" i="27" s="1"/>
  <c r="D120" i="27" s="1"/>
  <c r="D121" i="27" s="1"/>
  <c r="D122" i="27" s="1"/>
  <c r="D123" i="27" s="1"/>
  <c r="D124" i="27" s="1"/>
  <c r="D125" i="27" s="1"/>
  <c r="D126" i="27" s="1"/>
  <c r="D127" i="27" s="1"/>
  <c r="D128" i="27" s="1"/>
  <c r="D129" i="27" s="1"/>
  <c r="D130" i="27" s="1"/>
  <c r="D131" i="27" s="1"/>
  <c r="D132" i="27" s="1"/>
  <c r="D133" i="27" s="1"/>
  <c r="D134" i="27" s="1"/>
  <c r="D135" i="27" s="1"/>
  <c r="D136" i="27" s="1"/>
  <c r="D137" i="27" s="1"/>
  <c r="D138" i="27" s="1"/>
  <c r="D139" i="27" s="1"/>
  <c r="D140" i="27" s="1"/>
  <c r="D141" i="27" s="1"/>
  <c r="D142" i="27" s="1"/>
  <c r="D143" i="27" s="1"/>
  <c r="D144" i="27" s="1"/>
  <c r="D145" i="27" s="1"/>
  <c r="D146" i="27" s="1"/>
  <c r="D147" i="27" s="1"/>
  <c r="D148" i="27" s="1"/>
  <c r="D149" i="27" s="1"/>
  <c r="D150" i="27" s="1"/>
  <c r="D151" i="27" s="1"/>
  <c r="D152" i="27" s="1"/>
  <c r="D153" i="27" s="1"/>
  <c r="D154" i="27" s="1"/>
  <c r="D155" i="27" s="1"/>
  <c r="D156" i="27" s="1"/>
  <c r="D157" i="27" s="1"/>
  <c r="D158" i="27" s="1"/>
  <c r="D159" i="27" s="1"/>
  <c r="D160" i="27" s="1"/>
  <c r="D161" i="27" s="1"/>
  <c r="D162" i="27" s="1"/>
  <c r="D163" i="27" s="1"/>
  <c r="D164" i="27" s="1"/>
  <c r="D165" i="27" s="1"/>
  <c r="D166" i="27" s="1"/>
  <c r="D167" i="27" s="1"/>
  <c r="D168" i="27" s="1"/>
  <c r="D169" i="27" s="1"/>
  <c r="D170" i="27" s="1"/>
  <c r="D171" i="27" s="1"/>
  <c r="D172" i="27" s="1"/>
  <c r="D173" i="27" s="1"/>
  <c r="D174" i="27" s="1"/>
  <c r="D175" i="27" s="1"/>
  <c r="D176" i="27" s="1"/>
  <c r="D177" i="27" s="1"/>
  <c r="D178" i="27" s="1"/>
  <c r="D179" i="27" s="1"/>
  <c r="D180" i="27" s="1"/>
  <c r="D181" i="27" s="1"/>
  <c r="D182" i="27" s="1"/>
  <c r="D183" i="27" s="1"/>
  <c r="D184" i="27" s="1"/>
  <c r="D185" i="27" s="1"/>
  <c r="D186" i="27" s="1"/>
  <c r="D187" i="27" s="1"/>
  <c r="D188" i="27" s="1"/>
  <c r="D189" i="27" s="1"/>
  <c r="D190" i="27" s="1"/>
  <c r="D191" i="27" s="1"/>
  <c r="D192" i="27" s="1"/>
  <c r="D193" i="27" s="1"/>
  <c r="D194" i="27" s="1"/>
  <c r="D195" i="27" s="1"/>
  <c r="D196" i="27" s="1"/>
  <c r="D197" i="27" s="1"/>
  <c r="D198" i="27" s="1"/>
  <c r="D199" i="27" s="1"/>
  <c r="D200" i="27" s="1"/>
  <c r="D201" i="27" s="1"/>
  <c r="D202" i="27" s="1"/>
  <c r="D203" i="27" s="1"/>
  <c r="D204" i="27" s="1"/>
  <c r="D205" i="27" s="1"/>
  <c r="D206" i="27" s="1"/>
  <c r="D207" i="27" s="1"/>
  <c r="D208" i="27" s="1"/>
  <c r="D209" i="27" s="1"/>
  <c r="D210" i="27" s="1"/>
  <c r="D211" i="27" s="1"/>
  <c r="D212" i="27" s="1"/>
  <c r="D213" i="27" s="1"/>
  <c r="D214" i="27" s="1"/>
  <c r="D215" i="27" s="1"/>
  <c r="D216" i="27" s="1"/>
  <c r="D217" i="27" s="1"/>
  <c r="D218" i="27" s="1"/>
  <c r="D219" i="27" s="1"/>
  <c r="D220" i="27" s="1"/>
  <c r="D221" i="27" s="1"/>
  <c r="D222" i="27" s="1"/>
  <c r="D223" i="27" s="1"/>
  <c r="D224" i="27" s="1"/>
  <c r="D225" i="27" s="1"/>
  <c r="D226" i="27" s="1"/>
  <c r="D227" i="27" s="1"/>
  <c r="D228" i="27" s="1"/>
  <c r="D229" i="27" s="1"/>
  <c r="D230" i="27" s="1"/>
  <c r="D231" i="27" s="1"/>
  <c r="D232" i="27" s="1"/>
  <c r="D233" i="27" s="1"/>
  <c r="D234" i="27" s="1"/>
  <c r="D235" i="27" s="1"/>
  <c r="D236" i="27" s="1"/>
  <c r="D237" i="27" s="1"/>
  <c r="D238" i="27" s="1"/>
  <c r="D239" i="27" s="1"/>
  <c r="D240" i="27" s="1"/>
  <c r="D241" i="27" s="1"/>
  <c r="D242" i="27" s="1"/>
  <c r="D243" i="27" s="1"/>
  <c r="D244" i="27" s="1"/>
  <c r="D245" i="27" s="1"/>
  <c r="D246" i="27" s="1"/>
  <c r="D247" i="27" s="1"/>
  <c r="D248" i="27" s="1"/>
  <c r="D249" i="27" s="1"/>
  <c r="D250" i="27" s="1"/>
  <c r="D251" i="27" s="1"/>
  <c r="D252" i="27" s="1"/>
  <c r="D253" i="27" s="1"/>
  <c r="D254" i="27" s="1"/>
  <c r="D255" i="27" s="1"/>
  <c r="D256" i="27" s="1"/>
  <c r="D257" i="27" s="1"/>
  <c r="D258" i="27" s="1"/>
  <c r="D259" i="27" s="1"/>
  <c r="D260" i="27" s="1"/>
  <c r="D261" i="27" s="1"/>
  <c r="D262" i="27" s="1"/>
  <c r="D263" i="27" s="1"/>
  <c r="D264" i="27" s="1"/>
  <c r="D265" i="27" s="1"/>
  <c r="D266" i="27" s="1"/>
  <c r="D267" i="27" s="1"/>
  <c r="D268" i="27" s="1"/>
  <c r="D269" i="27" s="1"/>
  <c r="D270" i="27" s="1"/>
  <c r="D271" i="27" s="1"/>
  <c r="D272" i="27" s="1"/>
  <c r="D273" i="27" s="1"/>
  <c r="D274" i="27" s="1"/>
  <c r="D275" i="27" s="1"/>
  <c r="D276" i="27" s="1"/>
  <c r="D277" i="27" s="1"/>
  <c r="D278" i="27" s="1"/>
  <c r="D279" i="27" s="1"/>
  <c r="D280" i="27" s="1"/>
  <c r="D281" i="27" s="1"/>
  <c r="D282" i="27" s="1"/>
  <c r="D283" i="27" s="1"/>
  <c r="D284" i="27" s="1"/>
  <c r="D285" i="27" s="1"/>
  <c r="D286" i="27" s="1"/>
  <c r="D287" i="27" s="1"/>
  <c r="D288" i="27" s="1"/>
  <c r="D289" i="27" s="1"/>
  <c r="D290" i="27" s="1"/>
  <c r="D291" i="27" s="1"/>
  <c r="D292" i="27" s="1"/>
  <c r="D293" i="27" s="1"/>
  <c r="D294" i="27" s="1"/>
  <c r="D295" i="27" s="1"/>
  <c r="D296" i="27" s="1"/>
  <c r="D297" i="27" s="1"/>
  <c r="D298" i="27" s="1"/>
  <c r="D299" i="27" s="1"/>
  <c r="D300" i="27" s="1"/>
  <c r="D301" i="27" s="1"/>
  <c r="D302" i="27" s="1"/>
  <c r="D303" i="27" s="1"/>
  <c r="D304" i="27" s="1"/>
  <c r="D305" i="27" s="1"/>
  <c r="D306" i="27" s="1"/>
  <c r="D307" i="27" s="1"/>
  <c r="D308" i="27" s="1"/>
  <c r="D309" i="27" s="1"/>
  <c r="C10" i="27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C34" i="27" s="1"/>
  <c r="C35" i="27" s="1"/>
  <c r="C36" i="27" s="1"/>
  <c r="C37" i="27" s="1"/>
  <c r="C38" i="27" s="1"/>
  <c r="C39" i="27" s="1"/>
  <c r="C40" i="27" s="1"/>
  <c r="C41" i="27" s="1"/>
  <c r="C42" i="27" s="1"/>
  <c r="C43" i="27" s="1"/>
  <c r="C44" i="27" s="1"/>
  <c r="C45" i="27" s="1"/>
  <c r="C46" i="27" s="1"/>
  <c r="C47" i="27" s="1"/>
  <c r="C48" i="27" s="1"/>
  <c r="C49" i="27" s="1"/>
  <c r="C50" i="27" s="1"/>
  <c r="C51" i="27" s="1"/>
  <c r="C52" i="27" s="1"/>
  <c r="C53" i="27" s="1"/>
  <c r="C54" i="27" s="1"/>
  <c r="C56" i="27" s="1"/>
  <c r="C57" i="27" s="1"/>
  <c r="C58" i="27" s="1"/>
  <c r="C59" i="27" s="1"/>
  <c r="C60" i="27" s="1"/>
  <c r="C61" i="27" s="1"/>
  <c r="C62" i="27" s="1"/>
  <c r="C63" i="27" s="1"/>
  <c r="C64" i="27" s="1"/>
  <c r="C65" i="27" s="1"/>
  <c r="C66" i="27" s="1"/>
  <c r="C67" i="27" s="1"/>
  <c r="C68" i="27" s="1"/>
  <c r="C69" i="27" s="1"/>
  <c r="C70" i="27" s="1"/>
  <c r="C71" i="27" s="1"/>
  <c r="C72" i="27" s="1"/>
  <c r="C73" i="27" s="1"/>
  <c r="C74" i="27" s="1"/>
  <c r="C75" i="27" s="1"/>
  <c r="C76" i="27" s="1"/>
  <c r="C77" i="27" s="1"/>
  <c r="C78" i="27" s="1"/>
  <c r="C79" i="27" s="1"/>
  <c r="C80" i="27" s="1"/>
  <c r="C81" i="27" s="1"/>
  <c r="C82" i="27" s="1"/>
  <c r="C83" i="27" s="1"/>
  <c r="C84" i="27" s="1"/>
  <c r="C85" i="27" s="1"/>
  <c r="C86" i="27" s="1"/>
  <c r="C87" i="27" s="1"/>
  <c r="C88" i="27" s="1"/>
  <c r="C89" i="27" s="1"/>
  <c r="C90" i="27" s="1"/>
  <c r="C91" i="27" s="1"/>
  <c r="C92" i="27" s="1"/>
  <c r="C93" i="27" s="1"/>
  <c r="C94" i="27" s="1"/>
  <c r="C95" i="27" s="1"/>
  <c r="C96" i="27" s="1"/>
  <c r="C97" i="27" s="1"/>
  <c r="C98" i="27" s="1"/>
  <c r="C99" i="27" s="1"/>
  <c r="C100" i="27" s="1"/>
  <c r="C101" i="27" s="1"/>
  <c r="C102" i="27" s="1"/>
  <c r="C103" i="27" s="1"/>
  <c r="C104" i="27" s="1"/>
  <c r="C105" i="27" s="1"/>
  <c r="C106" i="27" s="1"/>
  <c r="C107" i="27" s="1"/>
  <c r="C108" i="27" s="1"/>
  <c r="C109" i="27" s="1"/>
  <c r="C110" i="27" s="1"/>
  <c r="C111" i="27" s="1"/>
  <c r="C112" i="27" s="1"/>
  <c r="C113" i="27" s="1"/>
  <c r="C114" i="27" s="1"/>
  <c r="C115" i="27" s="1"/>
  <c r="C116" i="27" s="1"/>
  <c r="C117" i="27" s="1"/>
  <c r="C118" i="27" s="1"/>
  <c r="C119" i="27" s="1"/>
  <c r="C120" i="27" s="1"/>
  <c r="C121" i="27" s="1"/>
  <c r="C122" i="27" s="1"/>
  <c r="C123" i="27" s="1"/>
  <c r="C124" i="27" s="1"/>
  <c r="C125" i="27" s="1"/>
  <c r="C126" i="27" s="1"/>
  <c r="C127" i="27" s="1"/>
  <c r="C128" i="27" s="1"/>
  <c r="C129" i="27" s="1"/>
  <c r="C130" i="27" s="1"/>
  <c r="C131" i="27" s="1"/>
  <c r="C132" i="27" s="1"/>
  <c r="C133" i="27" s="1"/>
  <c r="C134" i="27" s="1"/>
  <c r="C135" i="27" s="1"/>
  <c r="C136" i="27" s="1"/>
  <c r="C137" i="27" s="1"/>
  <c r="C138" i="27" s="1"/>
  <c r="C139" i="27" s="1"/>
  <c r="C140" i="27" s="1"/>
  <c r="C141" i="27" s="1"/>
  <c r="C142" i="27" s="1"/>
  <c r="C143" i="27" s="1"/>
  <c r="C144" i="27" s="1"/>
  <c r="C145" i="27" s="1"/>
  <c r="C146" i="27" s="1"/>
  <c r="C147" i="27" s="1"/>
  <c r="C148" i="27" s="1"/>
  <c r="C149" i="27" s="1"/>
  <c r="C150" i="27" s="1"/>
  <c r="C151" i="27" s="1"/>
  <c r="C152" i="27" s="1"/>
  <c r="C153" i="27" s="1"/>
  <c r="C154" i="27" s="1"/>
  <c r="C155" i="27" s="1"/>
  <c r="C156" i="27" s="1"/>
  <c r="C157" i="27" s="1"/>
  <c r="C158" i="27" s="1"/>
  <c r="C159" i="27" s="1"/>
  <c r="C160" i="27" s="1"/>
  <c r="C161" i="27" s="1"/>
  <c r="C162" i="27" s="1"/>
  <c r="C163" i="27" s="1"/>
  <c r="C164" i="27" s="1"/>
  <c r="C165" i="27" s="1"/>
  <c r="C166" i="27" s="1"/>
  <c r="C167" i="27" s="1"/>
  <c r="C168" i="27" s="1"/>
  <c r="C169" i="27" s="1"/>
  <c r="C170" i="27" s="1"/>
  <c r="C171" i="27" s="1"/>
  <c r="C172" i="27" s="1"/>
  <c r="C173" i="27" s="1"/>
  <c r="C174" i="27" s="1"/>
  <c r="C175" i="27" s="1"/>
  <c r="C176" i="27" s="1"/>
  <c r="C177" i="27" s="1"/>
  <c r="C178" i="27" s="1"/>
  <c r="C179" i="27" s="1"/>
  <c r="C180" i="27" s="1"/>
  <c r="C181" i="27" s="1"/>
  <c r="C182" i="27" s="1"/>
  <c r="C183" i="27" s="1"/>
  <c r="C184" i="27" s="1"/>
  <c r="C185" i="27" s="1"/>
  <c r="C186" i="27" s="1"/>
  <c r="C187" i="27" s="1"/>
  <c r="C188" i="27" s="1"/>
  <c r="C189" i="27" s="1"/>
  <c r="C190" i="27" s="1"/>
  <c r="C191" i="27" s="1"/>
  <c r="C192" i="27" s="1"/>
  <c r="C193" i="27" s="1"/>
  <c r="C194" i="27" s="1"/>
  <c r="C195" i="27" s="1"/>
  <c r="C196" i="27" s="1"/>
  <c r="C197" i="27" s="1"/>
  <c r="C198" i="27" s="1"/>
  <c r="C199" i="27" s="1"/>
  <c r="C200" i="27" s="1"/>
  <c r="C201" i="27" s="1"/>
  <c r="C202" i="27" s="1"/>
  <c r="C203" i="27" s="1"/>
  <c r="C204" i="27" s="1"/>
  <c r="C205" i="27" s="1"/>
  <c r="C206" i="27" s="1"/>
  <c r="C207" i="27" s="1"/>
  <c r="C208" i="27" s="1"/>
  <c r="C209" i="27" s="1"/>
  <c r="C210" i="27" s="1"/>
  <c r="C211" i="27" s="1"/>
  <c r="C212" i="27" s="1"/>
  <c r="C213" i="27" s="1"/>
  <c r="C214" i="27" s="1"/>
  <c r="C215" i="27" s="1"/>
  <c r="C216" i="27" s="1"/>
  <c r="C217" i="27" s="1"/>
  <c r="C218" i="27" s="1"/>
  <c r="C219" i="27" s="1"/>
  <c r="C220" i="27" s="1"/>
  <c r="C221" i="27" s="1"/>
  <c r="C222" i="27" s="1"/>
  <c r="C223" i="27" s="1"/>
  <c r="C224" i="27" s="1"/>
  <c r="C225" i="27" s="1"/>
  <c r="C226" i="27" s="1"/>
  <c r="C227" i="27" s="1"/>
  <c r="C228" i="27" s="1"/>
  <c r="C229" i="27" s="1"/>
  <c r="C230" i="27" s="1"/>
  <c r="C231" i="27" s="1"/>
  <c r="C232" i="27" s="1"/>
  <c r="C233" i="27" s="1"/>
  <c r="C234" i="27" s="1"/>
  <c r="C235" i="27" s="1"/>
  <c r="C236" i="27" s="1"/>
  <c r="C237" i="27" s="1"/>
  <c r="C238" i="27" s="1"/>
  <c r="C239" i="27" s="1"/>
  <c r="C240" i="27" s="1"/>
  <c r="C241" i="27" s="1"/>
  <c r="C242" i="27" s="1"/>
  <c r="C243" i="27" s="1"/>
  <c r="C244" i="27" s="1"/>
  <c r="C245" i="27" s="1"/>
  <c r="C246" i="27" s="1"/>
  <c r="C247" i="27" s="1"/>
  <c r="C248" i="27" s="1"/>
  <c r="C249" i="27" s="1"/>
  <c r="C250" i="27" s="1"/>
  <c r="C251" i="27" s="1"/>
  <c r="C252" i="27" s="1"/>
  <c r="C253" i="27" s="1"/>
  <c r="C254" i="27" s="1"/>
  <c r="C255" i="27" s="1"/>
  <c r="C256" i="27" s="1"/>
  <c r="C257" i="27" s="1"/>
  <c r="C258" i="27" s="1"/>
  <c r="C259" i="27" s="1"/>
  <c r="C260" i="27" s="1"/>
  <c r="C261" i="27" s="1"/>
  <c r="C262" i="27" s="1"/>
  <c r="C263" i="27" s="1"/>
  <c r="C264" i="27" s="1"/>
  <c r="C265" i="27" s="1"/>
  <c r="C266" i="27" s="1"/>
  <c r="C267" i="27" s="1"/>
  <c r="C268" i="27" s="1"/>
  <c r="C269" i="27" s="1"/>
  <c r="C270" i="27" s="1"/>
  <c r="C271" i="27" s="1"/>
  <c r="C272" i="27" s="1"/>
  <c r="C273" i="27" s="1"/>
  <c r="C274" i="27" s="1"/>
  <c r="C275" i="27" s="1"/>
  <c r="C276" i="27" s="1"/>
  <c r="C277" i="27" s="1"/>
  <c r="C278" i="27" s="1"/>
  <c r="C279" i="27" s="1"/>
  <c r="C280" i="27" s="1"/>
  <c r="C281" i="27" s="1"/>
  <c r="C282" i="27" s="1"/>
  <c r="C283" i="27" s="1"/>
  <c r="C284" i="27" s="1"/>
  <c r="C285" i="27" s="1"/>
  <c r="C286" i="27" s="1"/>
  <c r="C287" i="27" s="1"/>
  <c r="C288" i="27" s="1"/>
  <c r="C289" i="27" s="1"/>
  <c r="C290" i="27" s="1"/>
  <c r="C291" i="27" s="1"/>
  <c r="C292" i="27" s="1"/>
  <c r="C293" i="27" s="1"/>
  <c r="C294" i="27" s="1"/>
  <c r="C295" i="27" s="1"/>
  <c r="C296" i="27" s="1"/>
  <c r="C297" i="27" s="1"/>
  <c r="C298" i="27" s="1"/>
  <c r="C299" i="27" s="1"/>
  <c r="C300" i="27" s="1"/>
  <c r="C301" i="27" s="1"/>
  <c r="C302" i="27" s="1"/>
  <c r="C303" i="27" s="1"/>
  <c r="C304" i="27" s="1"/>
  <c r="C305" i="27" s="1"/>
  <c r="C306" i="27" s="1"/>
  <c r="C307" i="27" s="1"/>
  <c r="C308" i="27" s="1"/>
  <c r="C309" i="27" s="1"/>
  <c r="B10" i="27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31" i="27" s="1"/>
  <c r="B32" i="27" s="1"/>
  <c r="B33" i="27" s="1"/>
  <c r="B34" i="27" s="1"/>
  <c r="B35" i="27" s="1"/>
  <c r="B36" i="27" s="1"/>
  <c r="B37" i="27" s="1"/>
  <c r="B38" i="27" s="1"/>
  <c r="B39" i="27" s="1"/>
  <c r="B40" i="27" s="1"/>
  <c r="B41" i="27" s="1"/>
  <c r="B42" i="27" s="1"/>
  <c r="B43" i="27" s="1"/>
  <c r="B44" i="27" s="1"/>
  <c r="B45" i="27" s="1"/>
  <c r="B46" i="27" s="1"/>
  <c r="B47" i="27" s="1"/>
  <c r="B48" i="27" s="1"/>
  <c r="B49" i="27" s="1"/>
  <c r="B50" i="27" s="1"/>
  <c r="B51" i="27" s="1"/>
  <c r="B52" i="27" s="1"/>
  <c r="B53" i="27" s="1"/>
  <c r="B54" i="27" s="1"/>
  <c r="B56" i="27" s="1"/>
  <c r="B57" i="27" s="1"/>
  <c r="B58" i="27" s="1"/>
  <c r="B59" i="27" s="1"/>
  <c r="B60" i="27" s="1"/>
  <c r="B61" i="27" s="1"/>
  <c r="B62" i="27" s="1"/>
  <c r="B63" i="27" s="1"/>
  <c r="B64" i="27" s="1"/>
  <c r="B65" i="27" s="1"/>
  <c r="B66" i="27" s="1"/>
  <c r="B67" i="27" s="1"/>
  <c r="B68" i="27" s="1"/>
  <c r="B69" i="27" s="1"/>
  <c r="B70" i="27" s="1"/>
  <c r="B71" i="27" s="1"/>
  <c r="B72" i="27" s="1"/>
  <c r="B73" i="27" s="1"/>
  <c r="B74" i="27" s="1"/>
  <c r="B75" i="27" s="1"/>
  <c r="B76" i="27" s="1"/>
  <c r="B77" i="27" s="1"/>
  <c r="B78" i="27" s="1"/>
  <c r="B79" i="27" s="1"/>
  <c r="B80" i="27" s="1"/>
  <c r="B81" i="27" s="1"/>
  <c r="B82" i="27" s="1"/>
  <c r="B83" i="27" s="1"/>
  <c r="B84" i="27" s="1"/>
  <c r="B85" i="27" s="1"/>
  <c r="B86" i="27" s="1"/>
  <c r="B87" i="27" s="1"/>
  <c r="B88" i="27" s="1"/>
  <c r="B89" i="27" s="1"/>
  <c r="B90" i="27" s="1"/>
  <c r="B91" i="27" s="1"/>
  <c r="B92" i="27" s="1"/>
  <c r="B93" i="27" s="1"/>
  <c r="B94" i="27" s="1"/>
  <c r="B95" i="27" s="1"/>
  <c r="B96" i="27" s="1"/>
  <c r="B97" i="27" s="1"/>
  <c r="B98" i="27" s="1"/>
  <c r="B99" i="27" s="1"/>
  <c r="B100" i="27" s="1"/>
  <c r="B101" i="27" s="1"/>
  <c r="B102" i="27" s="1"/>
  <c r="B103" i="27" s="1"/>
  <c r="B104" i="27" s="1"/>
  <c r="B105" i="27" s="1"/>
  <c r="B106" i="27" s="1"/>
  <c r="B107" i="27" s="1"/>
  <c r="B108" i="27" s="1"/>
  <c r="B109" i="27" s="1"/>
  <c r="B110" i="27" s="1"/>
  <c r="B111" i="27" s="1"/>
  <c r="B112" i="27" s="1"/>
  <c r="B113" i="27" s="1"/>
  <c r="B114" i="27" s="1"/>
  <c r="B115" i="27" s="1"/>
  <c r="B116" i="27" s="1"/>
  <c r="B117" i="27" s="1"/>
  <c r="B118" i="27" s="1"/>
  <c r="B119" i="27" s="1"/>
  <c r="B120" i="27" s="1"/>
  <c r="B121" i="27" s="1"/>
  <c r="B122" i="27" s="1"/>
  <c r="B123" i="27" s="1"/>
  <c r="B124" i="27" s="1"/>
  <c r="B125" i="27" s="1"/>
  <c r="B126" i="27" s="1"/>
  <c r="B127" i="27" s="1"/>
  <c r="B128" i="27" s="1"/>
  <c r="B129" i="27" s="1"/>
  <c r="B130" i="27" s="1"/>
  <c r="B131" i="27" s="1"/>
  <c r="B132" i="27" s="1"/>
  <c r="B133" i="27" s="1"/>
  <c r="B134" i="27" s="1"/>
  <c r="B135" i="27" s="1"/>
  <c r="B136" i="27" s="1"/>
  <c r="B137" i="27" s="1"/>
  <c r="B138" i="27" s="1"/>
  <c r="B139" i="27" s="1"/>
  <c r="B140" i="27" s="1"/>
  <c r="B141" i="27" s="1"/>
  <c r="B142" i="27" s="1"/>
  <c r="B143" i="27" s="1"/>
  <c r="B144" i="27" s="1"/>
  <c r="B145" i="27" s="1"/>
  <c r="B146" i="27" s="1"/>
  <c r="B147" i="27" s="1"/>
  <c r="B148" i="27" s="1"/>
  <c r="B149" i="27" s="1"/>
  <c r="B150" i="27" s="1"/>
  <c r="B151" i="27" s="1"/>
  <c r="B152" i="27" s="1"/>
  <c r="B153" i="27" s="1"/>
  <c r="B154" i="27" s="1"/>
  <c r="B155" i="27" s="1"/>
  <c r="B156" i="27" s="1"/>
  <c r="B157" i="27" s="1"/>
  <c r="B158" i="27" s="1"/>
  <c r="B159" i="27" s="1"/>
  <c r="B160" i="27" s="1"/>
  <c r="B161" i="27" s="1"/>
  <c r="B162" i="27" s="1"/>
  <c r="B163" i="27" s="1"/>
  <c r="B164" i="27" s="1"/>
  <c r="B165" i="27" s="1"/>
  <c r="B166" i="27" s="1"/>
  <c r="B167" i="27" s="1"/>
  <c r="B168" i="27" s="1"/>
  <c r="B169" i="27" s="1"/>
  <c r="B170" i="27" s="1"/>
  <c r="B171" i="27" s="1"/>
  <c r="B172" i="27" s="1"/>
  <c r="B173" i="27" s="1"/>
  <c r="B174" i="27" s="1"/>
  <c r="B175" i="27" s="1"/>
  <c r="B176" i="27" s="1"/>
  <c r="B177" i="27" s="1"/>
  <c r="B178" i="27" s="1"/>
  <c r="B179" i="27" s="1"/>
  <c r="B180" i="27" s="1"/>
  <c r="B181" i="27" s="1"/>
  <c r="B182" i="27" s="1"/>
  <c r="B183" i="27" s="1"/>
  <c r="B184" i="27" s="1"/>
  <c r="B185" i="27" s="1"/>
  <c r="B186" i="27" s="1"/>
  <c r="B187" i="27" s="1"/>
  <c r="B188" i="27" s="1"/>
  <c r="B189" i="27" s="1"/>
  <c r="B190" i="27" s="1"/>
  <c r="B191" i="27" s="1"/>
  <c r="B192" i="27" s="1"/>
  <c r="B193" i="27" s="1"/>
  <c r="B194" i="27" s="1"/>
  <c r="B195" i="27" s="1"/>
  <c r="B196" i="27" s="1"/>
  <c r="B197" i="27" s="1"/>
  <c r="B198" i="27" s="1"/>
  <c r="B199" i="27" s="1"/>
  <c r="B200" i="27" s="1"/>
  <c r="B201" i="27" s="1"/>
  <c r="B202" i="27" s="1"/>
  <c r="B203" i="27" s="1"/>
  <c r="B204" i="27" s="1"/>
  <c r="B205" i="27" s="1"/>
  <c r="B206" i="27" s="1"/>
  <c r="B207" i="27" s="1"/>
  <c r="B208" i="27" s="1"/>
  <c r="B209" i="27" s="1"/>
  <c r="B210" i="27" s="1"/>
  <c r="B211" i="27" s="1"/>
  <c r="B212" i="27" s="1"/>
  <c r="B213" i="27" s="1"/>
  <c r="B214" i="27" s="1"/>
  <c r="B215" i="27" s="1"/>
  <c r="B216" i="27" s="1"/>
  <c r="B217" i="27" s="1"/>
  <c r="B218" i="27" s="1"/>
  <c r="B219" i="27" s="1"/>
  <c r="B220" i="27" s="1"/>
  <c r="B221" i="27" s="1"/>
  <c r="B222" i="27" s="1"/>
  <c r="B223" i="27" s="1"/>
  <c r="B224" i="27" s="1"/>
  <c r="B225" i="27" s="1"/>
  <c r="B226" i="27" s="1"/>
  <c r="B227" i="27" s="1"/>
  <c r="B228" i="27" s="1"/>
  <c r="B229" i="27" s="1"/>
  <c r="B230" i="27" s="1"/>
  <c r="B231" i="27" s="1"/>
  <c r="B232" i="27" s="1"/>
  <c r="B233" i="27" s="1"/>
  <c r="B234" i="27" s="1"/>
  <c r="B235" i="27" s="1"/>
  <c r="B236" i="27" s="1"/>
  <c r="B237" i="27" s="1"/>
  <c r="B238" i="27" s="1"/>
  <c r="B239" i="27" s="1"/>
  <c r="B240" i="27" s="1"/>
  <c r="B241" i="27" s="1"/>
  <c r="B242" i="27" s="1"/>
  <c r="B243" i="27" s="1"/>
  <c r="B244" i="27" s="1"/>
  <c r="B245" i="27" s="1"/>
  <c r="B246" i="27" s="1"/>
  <c r="B247" i="27" s="1"/>
  <c r="B248" i="27" s="1"/>
  <c r="B249" i="27" s="1"/>
  <c r="B250" i="27" s="1"/>
  <c r="B251" i="27" s="1"/>
  <c r="B252" i="27" s="1"/>
  <c r="B253" i="27" s="1"/>
  <c r="B254" i="27" s="1"/>
  <c r="B255" i="27" s="1"/>
  <c r="B256" i="27" s="1"/>
  <c r="B257" i="27" s="1"/>
  <c r="B258" i="27" s="1"/>
  <c r="B259" i="27" s="1"/>
  <c r="B260" i="27" s="1"/>
  <c r="B261" i="27" s="1"/>
  <c r="B262" i="27" s="1"/>
  <c r="B263" i="27" s="1"/>
  <c r="B264" i="27" s="1"/>
  <c r="B265" i="27" s="1"/>
  <c r="B266" i="27" s="1"/>
  <c r="B267" i="27" s="1"/>
  <c r="B268" i="27" s="1"/>
  <c r="B269" i="27" s="1"/>
  <c r="B270" i="27" s="1"/>
  <c r="B271" i="27" s="1"/>
  <c r="B272" i="27" s="1"/>
  <c r="B273" i="27" s="1"/>
  <c r="B274" i="27" s="1"/>
  <c r="B275" i="27" s="1"/>
  <c r="B276" i="27" s="1"/>
  <c r="B277" i="27" s="1"/>
  <c r="B278" i="27" s="1"/>
  <c r="B279" i="27" s="1"/>
  <c r="B280" i="27" s="1"/>
  <c r="B281" i="27" s="1"/>
  <c r="B282" i="27" s="1"/>
  <c r="B283" i="27" s="1"/>
  <c r="B284" i="27" s="1"/>
  <c r="B285" i="27" s="1"/>
  <c r="B286" i="27" s="1"/>
  <c r="B287" i="27" s="1"/>
  <c r="B288" i="27" s="1"/>
  <c r="B289" i="27" s="1"/>
  <c r="B290" i="27" s="1"/>
  <c r="B291" i="27" s="1"/>
  <c r="B292" i="27" s="1"/>
  <c r="B293" i="27" s="1"/>
  <c r="B294" i="27" s="1"/>
  <c r="B295" i="27" s="1"/>
  <c r="B296" i="27" s="1"/>
  <c r="B297" i="27" s="1"/>
  <c r="B298" i="27" s="1"/>
  <c r="B299" i="27" s="1"/>
  <c r="B300" i="27" s="1"/>
  <c r="B301" i="27" s="1"/>
  <c r="B302" i="27" s="1"/>
  <c r="B303" i="27" s="1"/>
  <c r="B304" i="27" s="1"/>
  <c r="B305" i="27" s="1"/>
  <c r="B306" i="27" s="1"/>
  <c r="B307" i="27" s="1"/>
  <c r="B308" i="27" s="1"/>
  <c r="B309" i="27" s="1"/>
  <c r="U9" i="27"/>
  <c r="AG9" i="27"/>
  <c r="E1" i="29"/>
  <c r="AH21" i="27" l="1"/>
  <c r="AH22" i="27" s="1"/>
  <c r="AH23" i="27" s="1"/>
  <c r="AH24" i="27" s="1"/>
  <c r="AH26" i="27" s="1"/>
  <c r="AH27" i="27" s="1"/>
  <c r="AH28" i="27" s="1"/>
  <c r="AH29" i="27" s="1"/>
  <c r="AH30" i="27" s="1"/>
  <c r="AH31" i="27" s="1"/>
  <c r="AH32" i="27" s="1"/>
  <c r="AH33" i="27" s="1"/>
  <c r="AH34" i="27" s="1"/>
  <c r="AH35" i="27" s="1"/>
  <c r="AH36" i="27" s="1"/>
  <c r="AH37" i="27" s="1"/>
  <c r="AH38" i="27" s="1"/>
  <c r="AH39" i="27" s="1"/>
  <c r="AH40" i="27" s="1"/>
  <c r="AH42" i="27" s="1"/>
  <c r="AH43" i="27" s="1"/>
  <c r="AH44" i="27" s="1"/>
  <c r="AH45" i="27" s="1"/>
  <c r="AH46" i="27" s="1"/>
  <c r="AH47" i="27" s="1"/>
  <c r="AH48" i="27" s="1"/>
  <c r="AH49" i="27" s="1"/>
  <c r="AH50" i="27" s="1"/>
  <c r="AH51" i="27" s="1"/>
  <c r="AH52" i="27" s="1"/>
  <c r="AH53" i="27" s="1"/>
  <c r="AH54" i="27" s="1"/>
  <c r="AH56" i="27" s="1"/>
  <c r="AH57" i="27" s="1"/>
  <c r="AH59" i="27" s="1"/>
  <c r="AH60" i="27" s="1"/>
  <c r="AH61" i="27" s="1"/>
  <c r="AH62" i="27" s="1"/>
  <c r="AH63" i="27" s="1"/>
  <c r="AH64" i="27" s="1"/>
  <c r="AH65" i="27" s="1"/>
  <c r="AH66" i="27" s="1"/>
  <c r="AH67" i="27" s="1"/>
  <c r="AH68" i="27" s="1"/>
  <c r="AH69" i="27" s="1"/>
  <c r="AH70" i="27" s="1"/>
  <c r="AH71" i="27" s="1"/>
  <c r="AH72" i="27" s="1"/>
  <c r="AH73" i="27" s="1"/>
  <c r="AH74" i="27" s="1"/>
  <c r="AH75" i="27" s="1"/>
  <c r="AH76" i="27" s="1"/>
  <c r="AH77" i="27" s="1"/>
  <c r="AH78" i="27" s="1"/>
  <c r="AH79" i="27" s="1"/>
  <c r="AH80" i="27" s="1"/>
  <c r="AH81" i="27" s="1"/>
  <c r="AH82" i="27" s="1"/>
  <c r="AH83" i="27" s="1"/>
  <c r="AH84" i="27" s="1"/>
  <c r="AH85" i="27" s="1"/>
  <c r="AH86" i="27" s="1"/>
  <c r="AH87" i="27" s="1"/>
  <c r="AH88" i="27" s="1"/>
  <c r="AH89" i="27" s="1"/>
  <c r="AH90" i="27" s="1"/>
  <c r="AH91" i="27" s="1"/>
  <c r="AH92" i="27" s="1"/>
  <c r="AH93" i="27" s="1"/>
  <c r="AH94" i="27" s="1"/>
  <c r="AH95" i="27" s="1"/>
  <c r="AH96" i="27" s="1"/>
  <c r="AH97" i="27" s="1"/>
  <c r="AH98" i="27" s="1"/>
  <c r="AH99" i="27" s="1"/>
  <c r="AH100" i="27" s="1"/>
  <c r="AH101" i="27" s="1"/>
  <c r="AH102" i="27" s="1"/>
  <c r="AH103" i="27" s="1"/>
  <c r="AH104" i="27" s="1"/>
  <c r="AH105" i="27" s="1"/>
  <c r="AH106" i="27" s="1"/>
  <c r="AH107" i="27" s="1"/>
  <c r="AH108" i="27" s="1"/>
  <c r="AH109" i="27" s="1"/>
  <c r="AH110" i="27" s="1"/>
  <c r="AH111" i="27" s="1"/>
  <c r="AH112" i="27" s="1"/>
  <c r="AH113" i="27" s="1"/>
  <c r="AH114" i="27" s="1"/>
  <c r="AH115" i="27" s="1"/>
  <c r="AH116" i="27" s="1"/>
  <c r="AH117" i="27" s="1"/>
  <c r="AH118" i="27" s="1"/>
  <c r="AH119" i="27" s="1"/>
  <c r="AH120" i="27" s="1"/>
  <c r="AH121" i="27" s="1"/>
  <c r="AH122" i="27" s="1"/>
  <c r="AH123" i="27" s="1"/>
  <c r="AH124" i="27" s="1"/>
  <c r="AH125" i="27" s="1"/>
  <c r="AH126" i="27" s="1"/>
  <c r="AH127" i="27" s="1"/>
  <c r="AH128" i="27" s="1"/>
  <c r="AH129" i="27" s="1"/>
  <c r="AH130" i="27" s="1"/>
  <c r="AH131" i="27" s="1"/>
  <c r="AH132" i="27" s="1"/>
  <c r="AH133" i="27" s="1"/>
  <c r="AH134" i="27" s="1"/>
  <c r="AH135" i="27" s="1"/>
  <c r="AH136" i="27" s="1"/>
  <c r="AH137" i="27" s="1"/>
  <c r="AH138" i="27" s="1"/>
  <c r="AH139" i="27" s="1"/>
  <c r="AH140" i="27" s="1"/>
  <c r="AH141" i="27" s="1"/>
  <c r="AH142" i="27" s="1"/>
  <c r="AH143" i="27" s="1"/>
  <c r="AH144" i="27" s="1"/>
  <c r="AH145" i="27" s="1"/>
  <c r="AH146" i="27" s="1"/>
  <c r="AH147" i="27" s="1"/>
  <c r="AH148" i="27" s="1"/>
  <c r="AH149" i="27" s="1"/>
  <c r="AH150" i="27" s="1"/>
  <c r="AH151" i="27" s="1"/>
  <c r="AH152" i="27" s="1"/>
  <c r="AH153" i="27" s="1"/>
  <c r="AH154" i="27" s="1"/>
  <c r="AH155" i="27" s="1"/>
  <c r="AH156" i="27" s="1"/>
  <c r="AH157" i="27" s="1"/>
  <c r="AH158" i="27" s="1"/>
  <c r="AH159" i="27" s="1"/>
  <c r="AH160" i="27" s="1"/>
  <c r="AH161" i="27" s="1"/>
  <c r="AH162" i="27" s="1"/>
  <c r="AH163" i="27" s="1"/>
  <c r="AH164" i="27" s="1"/>
  <c r="AH165" i="27" s="1"/>
  <c r="AH166" i="27" s="1"/>
  <c r="AH167" i="27" s="1"/>
  <c r="AH168" i="27" s="1"/>
  <c r="AH169" i="27" s="1"/>
  <c r="AH170" i="27" s="1"/>
  <c r="AH171" i="27" s="1"/>
  <c r="AH172" i="27" s="1"/>
  <c r="AH173" i="27" s="1"/>
  <c r="AH174" i="27" s="1"/>
  <c r="AH175" i="27" s="1"/>
  <c r="AH176" i="27" s="1"/>
  <c r="AH177" i="27" s="1"/>
  <c r="AH178" i="27" s="1"/>
  <c r="AH179" i="27" s="1"/>
  <c r="AH180" i="27" s="1"/>
  <c r="AH181" i="27" s="1"/>
  <c r="AH182" i="27" s="1"/>
  <c r="AH183" i="27" s="1"/>
  <c r="AH184" i="27" s="1"/>
  <c r="AH185" i="27" s="1"/>
  <c r="AH186" i="27" s="1"/>
  <c r="AH187" i="27" s="1"/>
  <c r="AH188" i="27" s="1"/>
  <c r="AH189" i="27" s="1"/>
  <c r="AH190" i="27" s="1"/>
  <c r="AH191" i="27" s="1"/>
  <c r="AH192" i="27" s="1"/>
  <c r="AH193" i="27" s="1"/>
  <c r="AH194" i="27" s="1"/>
  <c r="AH195" i="27" s="1"/>
  <c r="AH196" i="27" s="1"/>
  <c r="AH197" i="27" s="1"/>
  <c r="AH198" i="27" s="1"/>
  <c r="AH199" i="27" s="1"/>
  <c r="AH200" i="27" s="1"/>
  <c r="AH201" i="27" s="1"/>
  <c r="AH202" i="27" s="1"/>
  <c r="AH203" i="27" s="1"/>
  <c r="AH204" i="27" s="1"/>
  <c r="AH205" i="27" s="1"/>
  <c r="AH206" i="27" s="1"/>
  <c r="AH207" i="27" s="1"/>
  <c r="AH208" i="27" s="1"/>
  <c r="AH209" i="27" s="1"/>
  <c r="AH210" i="27" s="1"/>
  <c r="AH211" i="27" s="1"/>
  <c r="AH212" i="27" s="1"/>
  <c r="AH213" i="27" s="1"/>
  <c r="AH214" i="27" s="1"/>
  <c r="AH215" i="27" s="1"/>
  <c r="AH216" i="27" s="1"/>
  <c r="AH217" i="27" s="1"/>
  <c r="AH218" i="27" s="1"/>
  <c r="AH219" i="27" s="1"/>
  <c r="AH220" i="27" s="1"/>
  <c r="AH221" i="27" s="1"/>
  <c r="AH222" i="27" s="1"/>
  <c r="AH223" i="27" s="1"/>
  <c r="AH224" i="27" s="1"/>
  <c r="AH225" i="27" s="1"/>
  <c r="AH226" i="27" s="1"/>
  <c r="AH227" i="27" s="1"/>
  <c r="AH228" i="27" s="1"/>
  <c r="AH229" i="27" s="1"/>
  <c r="AH230" i="27" s="1"/>
  <c r="AH231" i="27" s="1"/>
  <c r="AH232" i="27" s="1"/>
  <c r="AH233" i="27" s="1"/>
  <c r="AH234" i="27" s="1"/>
  <c r="AH235" i="27" s="1"/>
  <c r="AH236" i="27" s="1"/>
  <c r="AH237" i="27" s="1"/>
  <c r="AH238" i="27" s="1"/>
  <c r="AH239" i="27" s="1"/>
  <c r="AH240" i="27" s="1"/>
  <c r="AH241" i="27" s="1"/>
  <c r="AH242" i="27" s="1"/>
  <c r="AH243" i="27" s="1"/>
  <c r="AH244" i="27" s="1"/>
  <c r="AH245" i="27" s="1"/>
  <c r="AH246" i="27" s="1"/>
  <c r="AH247" i="27" s="1"/>
  <c r="AH248" i="27" s="1"/>
  <c r="AH249" i="27" s="1"/>
  <c r="AH250" i="27" s="1"/>
  <c r="AH251" i="27" s="1"/>
  <c r="AH252" i="27" s="1"/>
  <c r="AH253" i="27" s="1"/>
  <c r="AH254" i="27" s="1"/>
  <c r="AH255" i="27" s="1"/>
  <c r="AH256" i="27" s="1"/>
  <c r="AH257" i="27" s="1"/>
  <c r="AH258" i="27" s="1"/>
  <c r="AH259" i="27" s="1"/>
  <c r="AH260" i="27" s="1"/>
  <c r="AH261" i="27" s="1"/>
  <c r="AH262" i="27" s="1"/>
  <c r="AH263" i="27" s="1"/>
  <c r="AH264" i="27" s="1"/>
  <c r="AH265" i="27" s="1"/>
  <c r="AH266" i="27" s="1"/>
  <c r="AH267" i="27" s="1"/>
  <c r="AH268" i="27" s="1"/>
  <c r="AH269" i="27" s="1"/>
  <c r="AH270" i="27" s="1"/>
  <c r="AH271" i="27" s="1"/>
  <c r="AH272" i="27" s="1"/>
  <c r="AH273" i="27" s="1"/>
  <c r="AH274" i="27" s="1"/>
  <c r="AH275" i="27" s="1"/>
  <c r="AH276" i="27" s="1"/>
  <c r="AH277" i="27" s="1"/>
  <c r="AH278" i="27" s="1"/>
  <c r="AH279" i="27" s="1"/>
  <c r="AH280" i="27" s="1"/>
  <c r="AH281" i="27" s="1"/>
  <c r="AH282" i="27" s="1"/>
  <c r="AH283" i="27" s="1"/>
  <c r="AH284" i="27" s="1"/>
  <c r="AH285" i="27" s="1"/>
  <c r="AH286" i="27" s="1"/>
  <c r="AH287" i="27" s="1"/>
  <c r="AH288" i="27" s="1"/>
  <c r="AH289" i="27" s="1"/>
  <c r="AH290" i="27" s="1"/>
  <c r="AH291" i="27" s="1"/>
  <c r="AH292" i="27" s="1"/>
  <c r="AH293" i="27" s="1"/>
  <c r="AH294" i="27" s="1"/>
  <c r="AH295" i="27" s="1"/>
  <c r="AH296" i="27" s="1"/>
  <c r="AH297" i="27" s="1"/>
  <c r="AH298" i="27" s="1"/>
  <c r="AH299" i="27" s="1"/>
  <c r="AH300" i="27" s="1"/>
  <c r="AH301" i="27" s="1"/>
  <c r="AH302" i="27" s="1"/>
  <c r="AH303" i="27" s="1"/>
  <c r="AH304" i="27" s="1"/>
  <c r="AH305" i="27" s="1"/>
  <c r="AH306" i="27" s="1"/>
  <c r="AH307" i="27" s="1"/>
  <c r="AH308" i="27" s="1"/>
  <c r="AH309" i="27" s="1"/>
  <c r="BB9" i="27"/>
  <c r="AM16" i="27"/>
  <c r="AM17" i="27" s="1"/>
  <c r="AM18" i="27" s="1"/>
  <c r="AM19" i="27" s="1"/>
  <c r="AN13" i="27"/>
  <c r="AN14" i="27" s="1"/>
  <c r="AN15" i="27" s="1"/>
  <c r="AN16" i="27" s="1"/>
  <c r="AN17" i="27" s="1"/>
  <c r="AN18" i="27" s="1"/>
  <c r="AN19" i="27" s="1"/>
  <c r="AA13" i="27"/>
  <c r="AA14" i="27" s="1"/>
  <c r="AA15" i="27" s="1"/>
  <c r="AA16" i="27" s="1"/>
  <c r="AA17" i="27" s="1"/>
  <c r="AA18" i="27" s="1"/>
  <c r="AA19" i="27" s="1"/>
  <c r="U19" i="27"/>
  <c r="O20" i="27"/>
  <c r="AC19" i="27"/>
  <c r="AD19" i="27"/>
  <c r="AB20" i="27"/>
  <c r="AB21" i="27" s="1"/>
  <c r="AB22" i="27" s="1"/>
  <c r="AB23" i="27" s="1"/>
  <c r="AB24" i="27" s="1"/>
  <c r="AB26" i="27" s="1"/>
  <c r="AB27" i="27" s="1"/>
  <c r="AB28" i="27" s="1"/>
  <c r="AB29" i="27" s="1"/>
  <c r="AB30" i="27" s="1"/>
  <c r="AB31" i="27" s="1"/>
  <c r="AB32" i="27" s="1"/>
  <c r="AB33" i="27" s="1"/>
  <c r="AB34" i="27" s="1"/>
  <c r="AB35" i="27" s="1"/>
  <c r="AB36" i="27" s="1"/>
  <c r="AB37" i="27" s="1"/>
  <c r="AB38" i="27" s="1"/>
  <c r="AB39" i="27" s="1"/>
  <c r="AB40" i="27" s="1"/>
  <c r="AB42" i="27" s="1"/>
  <c r="AB43" i="27" s="1"/>
  <c r="AB44" i="27" s="1"/>
  <c r="AB45" i="27" s="1"/>
  <c r="AB46" i="27" s="1"/>
  <c r="AB47" i="27" s="1"/>
  <c r="AB48" i="27" s="1"/>
  <c r="AB49" i="27" s="1"/>
  <c r="AB50" i="27" s="1"/>
  <c r="AB51" i="27" s="1"/>
  <c r="AB52" i="27" s="1"/>
  <c r="AB53" i="27" s="1"/>
  <c r="AB54" i="27" s="1"/>
  <c r="Q19" i="27"/>
  <c r="R19" i="27"/>
  <c r="G669" i="30"/>
  <c r="D636" i="30"/>
  <c r="I636" i="30" s="1"/>
  <c r="B636" i="30"/>
  <c r="G711" i="30"/>
  <c r="G651" i="30"/>
  <c r="G636" i="30"/>
  <c r="Q20" i="27"/>
  <c r="R20" i="27"/>
  <c r="BC9" i="27"/>
  <c r="A631" i="30"/>
  <c r="C631" i="30"/>
  <c r="A632" i="30"/>
  <c r="C632" i="30"/>
  <c r="A633" i="30"/>
  <c r="C633" i="30"/>
  <c r="A634" i="30"/>
  <c r="C634" i="30"/>
  <c r="A635" i="30"/>
  <c r="C635" i="30"/>
  <c r="A7" i="30"/>
  <c r="B7" i="30"/>
  <c r="C7" i="30"/>
  <c r="A8" i="30"/>
  <c r="B8" i="30"/>
  <c r="C8" i="30"/>
  <c r="A9" i="30"/>
  <c r="B9" i="30"/>
  <c r="C9" i="30"/>
  <c r="A10" i="30"/>
  <c r="B10" i="30"/>
  <c r="C10" i="30"/>
  <c r="A11" i="30"/>
  <c r="B11" i="30"/>
  <c r="C11" i="30"/>
  <c r="A12" i="30"/>
  <c r="B12" i="30"/>
  <c r="C12" i="30"/>
  <c r="A13" i="30"/>
  <c r="B13" i="30"/>
  <c r="C13" i="30"/>
  <c r="A14" i="30"/>
  <c r="B14" i="30"/>
  <c r="C14" i="30"/>
  <c r="A15" i="30"/>
  <c r="B15" i="30"/>
  <c r="C15" i="30"/>
  <c r="A16" i="30"/>
  <c r="C16" i="30"/>
  <c r="A17" i="30"/>
  <c r="C17" i="30"/>
  <c r="A18" i="30"/>
  <c r="C18" i="30"/>
  <c r="A19" i="30"/>
  <c r="C19" i="30"/>
  <c r="A20" i="30"/>
  <c r="C20" i="30"/>
  <c r="A21" i="30"/>
  <c r="C21" i="30"/>
  <c r="A22" i="30"/>
  <c r="C22" i="30"/>
  <c r="A23" i="30"/>
  <c r="C23" i="30"/>
  <c r="A24" i="30"/>
  <c r="C24" i="30"/>
  <c r="A25" i="30"/>
  <c r="C25" i="30"/>
  <c r="A26" i="30"/>
  <c r="C26" i="30"/>
  <c r="A27" i="30"/>
  <c r="C27" i="30"/>
  <c r="A28" i="30"/>
  <c r="C28" i="30"/>
  <c r="A29" i="30"/>
  <c r="C29" i="30"/>
  <c r="A30" i="30"/>
  <c r="C30" i="30"/>
  <c r="A31" i="30"/>
  <c r="C31" i="30"/>
  <c r="A32" i="30"/>
  <c r="C32" i="30"/>
  <c r="A33" i="30"/>
  <c r="C33" i="30"/>
  <c r="A34" i="30"/>
  <c r="C34" i="30"/>
  <c r="A35" i="30"/>
  <c r="C35" i="30"/>
  <c r="A36" i="30"/>
  <c r="C36" i="30"/>
  <c r="A37" i="30"/>
  <c r="C37" i="30"/>
  <c r="A38" i="30"/>
  <c r="C38" i="30"/>
  <c r="A39" i="30"/>
  <c r="C39" i="30"/>
  <c r="A40" i="30"/>
  <c r="C40" i="30"/>
  <c r="A41" i="30"/>
  <c r="C41" i="30"/>
  <c r="A42" i="30"/>
  <c r="C42" i="30"/>
  <c r="A43" i="30"/>
  <c r="C43" i="30"/>
  <c r="A44" i="30"/>
  <c r="C44" i="30"/>
  <c r="A45" i="30"/>
  <c r="C45" i="30"/>
  <c r="A46" i="30"/>
  <c r="C46" i="30"/>
  <c r="A47" i="30"/>
  <c r="C47" i="30"/>
  <c r="A48" i="30"/>
  <c r="C48" i="30"/>
  <c r="A49" i="30"/>
  <c r="C49" i="30"/>
  <c r="A50" i="30"/>
  <c r="C50" i="30"/>
  <c r="A51" i="30"/>
  <c r="C51" i="30"/>
  <c r="A52" i="30"/>
  <c r="C52" i="30"/>
  <c r="A53" i="30"/>
  <c r="C53" i="30"/>
  <c r="A54" i="30"/>
  <c r="C54" i="30"/>
  <c r="A55" i="30"/>
  <c r="C55" i="30"/>
  <c r="A56" i="30"/>
  <c r="C56" i="30"/>
  <c r="A57" i="30"/>
  <c r="C57" i="30"/>
  <c r="A58" i="30"/>
  <c r="C58" i="30"/>
  <c r="A59" i="30"/>
  <c r="C59" i="30"/>
  <c r="A60" i="30"/>
  <c r="C60" i="30"/>
  <c r="A61" i="30"/>
  <c r="C61" i="30"/>
  <c r="A62" i="30"/>
  <c r="C62" i="30"/>
  <c r="A63" i="30"/>
  <c r="C63" i="30"/>
  <c r="A64" i="30"/>
  <c r="C64" i="30"/>
  <c r="A65" i="30"/>
  <c r="C65" i="30"/>
  <c r="A66" i="30"/>
  <c r="C66" i="30"/>
  <c r="A67" i="30"/>
  <c r="C67" i="30"/>
  <c r="A68" i="30"/>
  <c r="C68" i="30"/>
  <c r="A69" i="30"/>
  <c r="C69" i="30"/>
  <c r="A70" i="30"/>
  <c r="C70" i="30"/>
  <c r="A71" i="30"/>
  <c r="C71" i="30"/>
  <c r="A72" i="30"/>
  <c r="C72" i="30"/>
  <c r="A73" i="30"/>
  <c r="C73" i="30"/>
  <c r="A74" i="30"/>
  <c r="C74" i="30"/>
  <c r="A75" i="30"/>
  <c r="C75" i="30"/>
  <c r="A76" i="30"/>
  <c r="C76" i="30"/>
  <c r="A77" i="30"/>
  <c r="C77" i="30"/>
  <c r="A78" i="30"/>
  <c r="C78" i="30"/>
  <c r="A79" i="30"/>
  <c r="C79" i="30"/>
  <c r="A80" i="30"/>
  <c r="C80" i="30"/>
  <c r="A81" i="30"/>
  <c r="C81" i="30"/>
  <c r="A82" i="30"/>
  <c r="C82" i="30"/>
  <c r="A83" i="30"/>
  <c r="C83" i="30"/>
  <c r="A84" i="30"/>
  <c r="C84" i="30"/>
  <c r="A85" i="30"/>
  <c r="C85" i="30"/>
  <c r="A86" i="30"/>
  <c r="C86" i="30"/>
  <c r="A87" i="30"/>
  <c r="C87" i="30"/>
  <c r="A88" i="30"/>
  <c r="C88" i="30"/>
  <c r="A89" i="30"/>
  <c r="C89" i="30"/>
  <c r="A90" i="30"/>
  <c r="C90" i="30"/>
  <c r="A91" i="30"/>
  <c r="C91" i="30"/>
  <c r="A92" i="30"/>
  <c r="C92" i="30"/>
  <c r="A93" i="30"/>
  <c r="C93" i="30"/>
  <c r="A94" i="30"/>
  <c r="C94" i="30"/>
  <c r="A95" i="30"/>
  <c r="C95" i="30"/>
  <c r="A96" i="30"/>
  <c r="C96" i="30"/>
  <c r="A97" i="30"/>
  <c r="C97" i="30"/>
  <c r="A98" i="30"/>
  <c r="C98" i="30"/>
  <c r="A99" i="30"/>
  <c r="C99" i="30"/>
  <c r="A100" i="30"/>
  <c r="C100" i="30"/>
  <c r="A101" i="30"/>
  <c r="C101" i="30"/>
  <c r="A102" i="30"/>
  <c r="C102" i="30"/>
  <c r="A103" i="30"/>
  <c r="C103" i="30"/>
  <c r="A104" i="30"/>
  <c r="C104" i="30"/>
  <c r="A105" i="30"/>
  <c r="C105" i="30"/>
  <c r="A106" i="30"/>
  <c r="C106" i="30"/>
  <c r="A107" i="30"/>
  <c r="C107" i="30"/>
  <c r="A108" i="30"/>
  <c r="C108" i="30"/>
  <c r="A109" i="30"/>
  <c r="C109" i="30"/>
  <c r="A110" i="30"/>
  <c r="C110" i="30"/>
  <c r="A111" i="30"/>
  <c r="C111" i="30"/>
  <c r="A112" i="30"/>
  <c r="C112" i="30"/>
  <c r="A113" i="30"/>
  <c r="C113" i="30"/>
  <c r="A114" i="30"/>
  <c r="C114" i="30"/>
  <c r="A115" i="30"/>
  <c r="C115" i="30"/>
  <c r="A116" i="30"/>
  <c r="C116" i="30"/>
  <c r="A117" i="30"/>
  <c r="C117" i="30"/>
  <c r="A118" i="30"/>
  <c r="C118" i="30"/>
  <c r="A119" i="30"/>
  <c r="C119" i="30"/>
  <c r="A120" i="30"/>
  <c r="C120" i="30"/>
  <c r="A121" i="30"/>
  <c r="C121" i="30"/>
  <c r="A122" i="30"/>
  <c r="C122" i="30"/>
  <c r="A123" i="30"/>
  <c r="C123" i="30"/>
  <c r="A124" i="30"/>
  <c r="C124" i="30"/>
  <c r="A125" i="30"/>
  <c r="C125" i="30"/>
  <c r="A126" i="30"/>
  <c r="C126" i="30"/>
  <c r="A127" i="30"/>
  <c r="C127" i="30"/>
  <c r="A128" i="30"/>
  <c r="C128" i="30"/>
  <c r="A129" i="30"/>
  <c r="C129" i="30"/>
  <c r="A130" i="30"/>
  <c r="C130" i="30"/>
  <c r="A131" i="30"/>
  <c r="C131" i="30"/>
  <c r="A132" i="30"/>
  <c r="C132" i="30"/>
  <c r="A133" i="30"/>
  <c r="C133" i="30"/>
  <c r="A134" i="30"/>
  <c r="C134" i="30"/>
  <c r="A135" i="30"/>
  <c r="C135" i="30"/>
  <c r="A136" i="30"/>
  <c r="C136" i="30"/>
  <c r="A137" i="30"/>
  <c r="C137" i="30"/>
  <c r="A138" i="30"/>
  <c r="C138" i="30"/>
  <c r="A139" i="30"/>
  <c r="C139" i="30"/>
  <c r="A140" i="30"/>
  <c r="C140" i="30"/>
  <c r="A141" i="30"/>
  <c r="C141" i="30"/>
  <c r="A142" i="30"/>
  <c r="C142" i="30"/>
  <c r="A143" i="30"/>
  <c r="C143" i="30"/>
  <c r="A144" i="30"/>
  <c r="C144" i="30"/>
  <c r="A145" i="30"/>
  <c r="C145" i="30"/>
  <c r="A146" i="30"/>
  <c r="C146" i="30"/>
  <c r="A147" i="30"/>
  <c r="C147" i="30"/>
  <c r="A148" i="30"/>
  <c r="C148" i="30"/>
  <c r="A149" i="30"/>
  <c r="C149" i="30"/>
  <c r="A150" i="30"/>
  <c r="C150" i="30"/>
  <c r="A151" i="30"/>
  <c r="C151" i="30"/>
  <c r="A152" i="30"/>
  <c r="C152" i="30"/>
  <c r="A153" i="30"/>
  <c r="C153" i="30"/>
  <c r="A154" i="30"/>
  <c r="C154" i="30"/>
  <c r="A155" i="30"/>
  <c r="C155" i="30"/>
  <c r="A156" i="30"/>
  <c r="C156" i="30"/>
  <c r="A157" i="30"/>
  <c r="C157" i="30"/>
  <c r="A158" i="30"/>
  <c r="C158" i="30"/>
  <c r="A159" i="30"/>
  <c r="C159" i="30"/>
  <c r="A160" i="30"/>
  <c r="C160" i="30"/>
  <c r="A161" i="30"/>
  <c r="C161" i="30"/>
  <c r="A162" i="30"/>
  <c r="C162" i="30"/>
  <c r="A163" i="30"/>
  <c r="C163" i="30"/>
  <c r="A164" i="30"/>
  <c r="C164" i="30"/>
  <c r="A165" i="30"/>
  <c r="C165" i="30"/>
  <c r="A166" i="30"/>
  <c r="C166" i="30"/>
  <c r="A167" i="30"/>
  <c r="C167" i="30"/>
  <c r="A168" i="30"/>
  <c r="C168" i="30"/>
  <c r="A169" i="30"/>
  <c r="C169" i="30"/>
  <c r="A170" i="30"/>
  <c r="C170" i="30"/>
  <c r="A171" i="30"/>
  <c r="C171" i="30"/>
  <c r="A172" i="30"/>
  <c r="C172" i="30"/>
  <c r="A173" i="30"/>
  <c r="C173" i="30"/>
  <c r="A174" i="30"/>
  <c r="C174" i="30"/>
  <c r="A175" i="30"/>
  <c r="C175" i="30"/>
  <c r="A176" i="30"/>
  <c r="C176" i="30"/>
  <c r="A177" i="30"/>
  <c r="C177" i="30"/>
  <c r="A178" i="30"/>
  <c r="C178" i="30"/>
  <c r="A179" i="30"/>
  <c r="C179" i="30"/>
  <c r="A180" i="30"/>
  <c r="C180" i="30"/>
  <c r="A181" i="30"/>
  <c r="C181" i="30"/>
  <c r="A182" i="30"/>
  <c r="C182" i="30"/>
  <c r="A183" i="30"/>
  <c r="C183" i="30"/>
  <c r="A184" i="30"/>
  <c r="C184" i="30"/>
  <c r="A185" i="30"/>
  <c r="C185" i="30"/>
  <c r="A186" i="30"/>
  <c r="C186" i="30"/>
  <c r="A187" i="30"/>
  <c r="C187" i="30"/>
  <c r="A188" i="30"/>
  <c r="C188" i="30"/>
  <c r="A189" i="30"/>
  <c r="C189" i="30"/>
  <c r="A190" i="30"/>
  <c r="C190" i="30"/>
  <c r="A191" i="30"/>
  <c r="C191" i="30"/>
  <c r="A192" i="30"/>
  <c r="C192" i="30"/>
  <c r="A193" i="30"/>
  <c r="C193" i="30"/>
  <c r="A194" i="30"/>
  <c r="C194" i="30"/>
  <c r="A195" i="30"/>
  <c r="C195" i="30"/>
  <c r="A196" i="30"/>
  <c r="C196" i="30"/>
  <c r="A197" i="30"/>
  <c r="C197" i="30"/>
  <c r="A198" i="30"/>
  <c r="C198" i="30"/>
  <c r="A199" i="30"/>
  <c r="C199" i="30"/>
  <c r="A200" i="30"/>
  <c r="C200" i="30"/>
  <c r="A201" i="30"/>
  <c r="C201" i="30"/>
  <c r="A202" i="30"/>
  <c r="C202" i="30"/>
  <c r="A203" i="30"/>
  <c r="C203" i="30"/>
  <c r="A204" i="30"/>
  <c r="C204" i="30"/>
  <c r="A205" i="30"/>
  <c r="C205" i="30"/>
  <c r="A206" i="30"/>
  <c r="C206" i="30"/>
  <c r="A207" i="30"/>
  <c r="C207" i="30"/>
  <c r="A208" i="30"/>
  <c r="C208" i="30"/>
  <c r="A209" i="30"/>
  <c r="C209" i="30"/>
  <c r="A210" i="30"/>
  <c r="C210" i="30"/>
  <c r="A211" i="30"/>
  <c r="C211" i="30"/>
  <c r="A212" i="30"/>
  <c r="C212" i="30"/>
  <c r="A213" i="30"/>
  <c r="C213" i="30"/>
  <c r="A214" i="30"/>
  <c r="C214" i="30"/>
  <c r="A215" i="30"/>
  <c r="C215" i="30"/>
  <c r="A216" i="30"/>
  <c r="C216" i="30"/>
  <c r="A217" i="30"/>
  <c r="C217" i="30"/>
  <c r="A218" i="30"/>
  <c r="C218" i="30"/>
  <c r="A219" i="30"/>
  <c r="C219" i="30"/>
  <c r="A220" i="30"/>
  <c r="C220" i="30"/>
  <c r="A221" i="30"/>
  <c r="C221" i="30"/>
  <c r="A222" i="30"/>
  <c r="C222" i="30"/>
  <c r="A223" i="30"/>
  <c r="C223" i="30"/>
  <c r="A224" i="30"/>
  <c r="C224" i="30"/>
  <c r="A225" i="30"/>
  <c r="C225" i="30"/>
  <c r="A226" i="30"/>
  <c r="C226" i="30"/>
  <c r="A227" i="30"/>
  <c r="C227" i="30"/>
  <c r="A228" i="30"/>
  <c r="C228" i="30"/>
  <c r="A229" i="30"/>
  <c r="C229" i="30"/>
  <c r="A230" i="30"/>
  <c r="C230" i="30"/>
  <c r="A231" i="30"/>
  <c r="C231" i="30"/>
  <c r="A232" i="30"/>
  <c r="C232" i="30"/>
  <c r="A233" i="30"/>
  <c r="C233" i="30"/>
  <c r="A234" i="30"/>
  <c r="C234" i="30"/>
  <c r="A235" i="30"/>
  <c r="C235" i="30"/>
  <c r="A236" i="30"/>
  <c r="C236" i="30"/>
  <c r="A237" i="30"/>
  <c r="C237" i="30"/>
  <c r="A238" i="30"/>
  <c r="C238" i="30"/>
  <c r="A239" i="30"/>
  <c r="C239" i="30"/>
  <c r="A240" i="30"/>
  <c r="C240" i="30"/>
  <c r="A241" i="30"/>
  <c r="C241" i="30"/>
  <c r="A242" i="30"/>
  <c r="C242" i="30"/>
  <c r="A243" i="30"/>
  <c r="C243" i="30"/>
  <c r="A244" i="30"/>
  <c r="C244" i="30"/>
  <c r="A245" i="30"/>
  <c r="C245" i="30"/>
  <c r="A246" i="30"/>
  <c r="C246" i="30"/>
  <c r="A247" i="30"/>
  <c r="C247" i="30"/>
  <c r="A248" i="30"/>
  <c r="C248" i="30"/>
  <c r="A249" i="30"/>
  <c r="C249" i="30"/>
  <c r="A250" i="30"/>
  <c r="C250" i="30"/>
  <c r="A251" i="30"/>
  <c r="C251" i="30"/>
  <c r="A252" i="30"/>
  <c r="C252" i="30"/>
  <c r="A253" i="30"/>
  <c r="C253" i="30"/>
  <c r="A254" i="30"/>
  <c r="C254" i="30"/>
  <c r="A255" i="30"/>
  <c r="C255" i="30"/>
  <c r="A256" i="30"/>
  <c r="C256" i="30"/>
  <c r="A257" i="30"/>
  <c r="C257" i="30"/>
  <c r="A258" i="30"/>
  <c r="C258" i="30"/>
  <c r="A259" i="30"/>
  <c r="C259" i="30"/>
  <c r="A260" i="30"/>
  <c r="C260" i="30"/>
  <c r="A261" i="30"/>
  <c r="C261" i="30"/>
  <c r="A262" i="30"/>
  <c r="C262" i="30"/>
  <c r="A263" i="30"/>
  <c r="C263" i="30"/>
  <c r="A264" i="30"/>
  <c r="C264" i="30"/>
  <c r="A265" i="30"/>
  <c r="C265" i="30"/>
  <c r="A266" i="30"/>
  <c r="C266" i="30"/>
  <c r="A267" i="30"/>
  <c r="C267" i="30"/>
  <c r="A268" i="30"/>
  <c r="C268" i="30"/>
  <c r="A269" i="30"/>
  <c r="C269" i="30"/>
  <c r="A270" i="30"/>
  <c r="C270" i="30"/>
  <c r="A271" i="30"/>
  <c r="C271" i="30"/>
  <c r="A272" i="30"/>
  <c r="C272" i="30"/>
  <c r="A273" i="30"/>
  <c r="C273" i="30"/>
  <c r="A274" i="30"/>
  <c r="C274" i="30"/>
  <c r="A275" i="30"/>
  <c r="C275" i="30"/>
  <c r="A276" i="30"/>
  <c r="C276" i="30"/>
  <c r="A277" i="30"/>
  <c r="C277" i="30"/>
  <c r="A278" i="30"/>
  <c r="C278" i="30"/>
  <c r="A279" i="30"/>
  <c r="C279" i="30"/>
  <c r="A280" i="30"/>
  <c r="C280" i="30"/>
  <c r="A281" i="30"/>
  <c r="C281" i="30"/>
  <c r="A282" i="30"/>
  <c r="C282" i="30"/>
  <c r="A283" i="30"/>
  <c r="C283" i="30"/>
  <c r="A284" i="30"/>
  <c r="C284" i="30"/>
  <c r="A285" i="30"/>
  <c r="C285" i="30"/>
  <c r="A286" i="30"/>
  <c r="C286" i="30"/>
  <c r="A287" i="30"/>
  <c r="C287" i="30"/>
  <c r="A288" i="30"/>
  <c r="C288" i="30"/>
  <c r="A289" i="30"/>
  <c r="C289" i="30"/>
  <c r="A290" i="30"/>
  <c r="C290" i="30"/>
  <c r="A291" i="30"/>
  <c r="C291" i="30"/>
  <c r="A292" i="30"/>
  <c r="C292" i="30"/>
  <c r="A293" i="30"/>
  <c r="C293" i="30"/>
  <c r="A294" i="30"/>
  <c r="C294" i="30"/>
  <c r="A295" i="30"/>
  <c r="C295" i="30"/>
  <c r="A296" i="30"/>
  <c r="C296" i="30"/>
  <c r="A297" i="30"/>
  <c r="C297" i="30"/>
  <c r="A298" i="30"/>
  <c r="C298" i="30"/>
  <c r="A299" i="30"/>
  <c r="C299" i="30"/>
  <c r="A300" i="30"/>
  <c r="C300" i="30"/>
  <c r="A301" i="30"/>
  <c r="C301" i="30"/>
  <c r="A302" i="30"/>
  <c r="C302" i="30"/>
  <c r="A303" i="30"/>
  <c r="C303" i="30"/>
  <c r="A304" i="30"/>
  <c r="C304" i="30"/>
  <c r="A305" i="30"/>
  <c r="C305" i="30"/>
  <c r="A306" i="30"/>
  <c r="C306" i="30"/>
  <c r="A307" i="30"/>
  <c r="C307" i="30"/>
  <c r="A308" i="30"/>
  <c r="C308" i="30"/>
  <c r="A309" i="30"/>
  <c r="C309" i="30"/>
  <c r="A310" i="30"/>
  <c r="C310" i="30"/>
  <c r="A311" i="30"/>
  <c r="C311" i="30"/>
  <c r="A312" i="30"/>
  <c r="C312" i="30"/>
  <c r="A313" i="30"/>
  <c r="C313" i="30"/>
  <c r="A314" i="30"/>
  <c r="C314" i="30"/>
  <c r="A315" i="30"/>
  <c r="C315" i="30"/>
  <c r="A316" i="30"/>
  <c r="C316" i="30"/>
  <c r="A317" i="30"/>
  <c r="C317" i="30"/>
  <c r="A318" i="30"/>
  <c r="C318" i="30"/>
  <c r="A319" i="30"/>
  <c r="C319" i="30"/>
  <c r="A320" i="30"/>
  <c r="C320" i="30"/>
  <c r="A321" i="30"/>
  <c r="C321" i="30"/>
  <c r="A322" i="30"/>
  <c r="C322" i="30"/>
  <c r="A323" i="30"/>
  <c r="C323" i="30"/>
  <c r="A324" i="30"/>
  <c r="C324" i="30"/>
  <c r="A325" i="30"/>
  <c r="C325" i="30"/>
  <c r="A326" i="30"/>
  <c r="C326" i="30"/>
  <c r="A327" i="30"/>
  <c r="C327" i="30"/>
  <c r="A328" i="30"/>
  <c r="C328" i="30"/>
  <c r="A329" i="30"/>
  <c r="C329" i="30"/>
  <c r="A330" i="30"/>
  <c r="C330" i="30"/>
  <c r="A331" i="30"/>
  <c r="C331" i="30"/>
  <c r="A332" i="30"/>
  <c r="C332" i="30"/>
  <c r="A333" i="30"/>
  <c r="C333" i="30"/>
  <c r="A334" i="30"/>
  <c r="C334" i="30"/>
  <c r="A335" i="30"/>
  <c r="C335" i="30"/>
  <c r="A336" i="30"/>
  <c r="C336" i="30"/>
  <c r="A337" i="30"/>
  <c r="C337" i="30"/>
  <c r="A338" i="30"/>
  <c r="C338" i="30"/>
  <c r="A339" i="30"/>
  <c r="C339" i="30"/>
  <c r="A340" i="30"/>
  <c r="C340" i="30"/>
  <c r="A341" i="30"/>
  <c r="C341" i="30"/>
  <c r="A342" i="30"/>
  <c r="C342" i="30"/>
  <c r="A343" i="30"/>
  <c r="C343" i="30"/>
  <c r="A344" i="30"/>
  <c r="C344" i="30"/>
  <c r="A345" i="30"/>
  <c r="C345" i="30"/>
  <c r="A346" i="30"/>
  <c r="C346" i="30"/>
  <c r="A347" i="30"/>
  <c r="C347" i="30"/>
  <c r="A348" i="30"/>
  <c r="C348" i="30"/>
  <c r="A349" i="30"/>
  <c r="C349" i="30"/>
  <c r="A350" i="30"/>
  <c r="C350" i="30"/>
  <c r="A351" i="30"/>
  <c r="C351" i="30"/>
  <c r="A352" i="30"/>
  <c r="C352" i="30"/>
  <c r="A353" i="30"/>
  <c r="C353" i="30"/>
  <c r="A354" i="30"/>
  <c r="C354" i="30"/>
  <c r="A355" i="30"/>
  <c r="C355" i="30"/>
  <c r="A356" i="30"/>
  <c r="C356" i="30"/>
  <c r="A357" i="30"/>
  <c r="C357" i="30"/>
  <c r="A358" i="30"/>
  <c r="C358" i="30"/>
  <c r="A359" i="30"/>
  <c r="C359" i="30"/>
  <c r="A360" i="30"/>
  <c r="C360" i="30"/>
  <c r="A361" i="30"/>
  <c r="C361" i="30"/>
  <c r="A362" i="30"/>
  <c r="C362" i="30"/>
  <c r="A363" i="30"/>
  <c r="C363" i="30"/>
  <c r="A364" i="30"/>
  <c r="C364" i="30"/>
  <c r="A365" i="30"/>
  <c r="C365" i="30"/>
  <c r="A366" i="30"/>
  <c r="C366" i="30"/>
  <c r="A367" i="30"/>
  <c r="C367" i="30"/>
  <c r="A368" i="30"/>
  <c r="C368" i="30"/>
  <c r="A369" i="30"/>
  <c r="C369" i="30"/>
  <c r="A370" i="30"/>
  <c r="C370" i="30"/>
  <c r="A371" i="30"/>
  <c r="C371" i="30"/>
  <c r="A372" i="30"/>
  <c r="C372" i="30"/>
  <c r="A373" i="30"/>
  <c r="C373" i="30"/>
  <c r="A374" i="30"/>
  <c r="C374" i="30"/>
  <c r="A375" i="30"/>
  <c r="C375" i="30"/>
  <c r="A376" i="30"/>
  <c r="C376" i="30"/>
  <c r="A377" i="30"/>
  <c r="C377" i="30"/>
  <c r="A378" i="30"/>
  <c r="C378" i="30"/>
  <c r="A379" i="30"/>
  <c r="C379" i="30"/>
  <c r="A380" i="30"/>
  <c r="C380" i="30"/>
  <c r="A381" i="30"/>
  <c r="C381" i="30"/>
  <c r="A382" i="30"/>
  <c r="C382" i="30"/>
  <c r="A383" i="30"/>
  <c r="C383" i="30"/>
  <c r="A384" i="30"/>
  <c r="C384" i="30"/>
  <c r="A385" i="30"/>
  <c r="C385" i="30"/>
  <c r="A386" i="30"/>
  <c r="C386" i="30"/>
  <c r="A387" i="30"/>
  <c r="C387" i="30"/>
  <c r="A388" i="30"/>
  <c r="C388" i="30"/>
  <c r="A389" i="30"/>
  <c r="C389" i="30"/>
  <c r="A390" i="30"/>
  <c r="C390" i="30"/>
  <c r="A391" i="30"/>
  <c r="C391" i="30"/>
  <c r="A392" i="30"/>
  <c r="C392" i="30"/>
  <c r="A393" i="30"/>
  <c r="C393" i="30"/>
  <c r="A394" i="30"/>
  <c r="C394" i="30"/>
  <c r="A395" i="30"/>
  <c r="C395" i="30"/>
  <c r="A396" i="30"/>
  <c r="C396" i="30"/>
  <c r="A397" i="30"/>
  <c r="C397" i="30"/>
  <c r="A398" i="30"/>
  <c r="C398" i="30"/>
  <c r="A399" i="30"/>
  <c r="C399" i="30"/>
  <c r="A400" i="30"/>
  <c r="C400" i="30"/>
  <c r="A401" i="30"/>
  <c r="C401" i="30"/>
  <c r="A402" i="30"/>
  <c r="C402" i="30"/>
  <c r="A403" i="30"/>
  <c r="C403" i="30"/>
  <c r="A404" i="30"/>
  <c r="C404" i="30"/>
  <c r="A405" i="30"/>
  <c r="C405" i="30"/>
  <c r="A406" i="30"/>
  <c r="C406" i="30"/>
  <c r="A407" i="30"/>
  <c r="C407" i="30"/>
  <c r="A408" i="30"/>
  <c r="C408" i="30"/>
  <c r="A409" i="30"/>
  <c r="C409" i="30"/>
  <c r="A410" i="30"/>
  <c r="C410" i="30"/>
  <c r="A411" i="30"/>
  <c r="C411" i="30"/>
  <c r="A412" i="30"/>
  <c r="C412" i="30"/>
  <c r="A413" i="30"/>
  <c r="C413" i="30"/>
  <c r="A414" i="30"/>
  <c r="C414" i="30"/>
  <c r="A415" i="30"/>
  <c r="C415" i="30"/>
  <c r="A416" i="30"/>
  <c r="C416" i="30"/>
  <c r="A417" i="30"/>
  <c r="C417" i="30"/>
  <c r="A418" i="30"/>
  <c r="C418" i="30"/>
  <c r="A419" i="30"/>
  <c r="C419" i="30"/>
  <c r="A420" i="30"/>
  <c r="C420" i="30"/>
  <c r="A421" i="30"/>
  <c r="C421" i="30"/>
  <c r="A422" i="30"/>
  <c r="C422" i="30"/>
  <c r="A423" i="30"/>
  <c r="C423" i="30"/>
  <c r="A424" i="30"/>
  <c r="C424" i="30"/>
  <c r="A425" i="30"/>
  <c r="C425" i="30"/>
  <c r="A426" i="30"/>
  <c r="C426" i="30"/>
  <c r="A427" i="30"/>
  <c r="C427" i="30"/>
  <c r="A428" i="30"/>
  <c r="C428" i="30"/>
  <c r="A429" i="30"/>
  <c r="C429" i="30"/>
  <c r="A430" i="30"/>
  <c r="C430" i="30"/>
  <c r="A431" i="30"/>
  <c r="C431" i="30"/>
  <c r="A432" i="30"/>
  <c r="C432" i="30"/>
  <c r="A433" i="30"/>
  <c r="C433" i="30"/>
  <c r="A434" i="30"/>
  <c r="C434" i="30"/>
  <c r="A435" i="30"/>
  <c r="C435" i="30"/>
  <c r="A436" i="30"/>
  <c r="C436" i="30"/>
  <c r="A437" i="30"/>
  <c r="C437" i="30"/>
  <c r="A438" i="30"/>
  <c r="C438" i="30"/>
  <c r="A439" i="30"/>
  <c r="C439" i="30"/>
  <c r="A440" i="30"/>
  <c r="C440" i="30"/>
  <c r="A441" i="30"/>
  <c r="C441" i="30"/>
  <c r="A442" i="30"/>
  <c r="C442" i="30"/>
  <c r="A443" i="30"/>
  <c r="C443" i="30"/>
  <c r="A444" i="30"/>
  <c r="C444" i="30"/>
  <c r="A445" i="30"/>
  <c r="C445" i="30"/>
  <c r="A446" i="30"/>
  <c r="C446" i="30"/>
  <c r="A447" i="30"/>
  <c r="C447" i="30"/>
  <c r="A448" i="30"/>
  <c r="C448" i="30"/>
  <c r="A449" i="30"/>
  <c r="C449" i="30"/>
  <c r="A450" i="30"/>
  <c r="C450" i="30"/>
  <c r="A451" i="30"/>
  <c r="C451" i="30"/>
  <c r="A452" i="30"/>
  <c r="C452" i="30"/>
  <c r="A453" i="30"/>
  <c r="C453" i="30"/>
  <c r="A454" i="30"/>
  <c r="C454" i="30"/>
  <c r="A455" i="30"/>
  <c r="C455" i="30"/>
  <c r="A456" i="30"/>
  <c r="C456" i="30"/>
  <c r="A457" i="30"/>
  <c r="C457" i="30"/>
  <c r="A458" i="30"/>
  <c r="C458" i="30"/>
  <c r="A459" i="30"/>
  <c r="C459" i="30"/>
  <c r="A460" i="30"/>
  <c r="C460" i="30"/>
  <c r="A461" i="30"/>
  <c r="C461" i="30"/>
  <c r="A462" i="30"/>
  <c r="C462" i="30"/>
  <c r="A463" i="30"/>
  <c r="C463" i="30"/>
  <c r="A464" i="30"/>
  <c r="C464" i="30"/>
  <c r="A465" i="30"/>
  <c r="C465" i="30"/>
  <c r="A466" i="30"/>
  <c r="C466" i="30"/>
  <c r="A467" i="30"/>
  <c r="C467" i="30"/>
  <c r="A468" i="30"/>
  <c r="C468" i="30"/>
  <c r="A469" i="30"/>
  <c r="C469" i="30"/>
  <c r="A470" i="30"/>
  <c r="C470" i="30"/>
  <c r="A471" i="30"/>
  <c r="C471" i="30"/>
  <c r="A472" i="30"/>
  <c r="C472" i="30"/>
  <c r="A473" i="30"/>
  <c r="C473" i="30"/>
  <c r="A474" i="30"/>
  <c r="C474" i="30"/>
  <c r="A475" i="30"/>
  <c r="C475" i="30"/>
  <c r="A476" i="30"/>
  <c r="C476" i="30"/>
  <c r="A477" i="30"/>
  <c r="C477" i="30"/>
  <c r="A478" i="30"/>
  <c r="C478" i="30"/>
  <c r="A479" i="30"/>
  <c r="C479" i="30"/>
  <c r="A480" i="30"/>
  <c r="C480" i="30"/>
  <c r="A481" i="30"/>
  <c r="C481" i="30"/>
  <c r="A482" i="30"/>
  <c r="C482" i="30"/>
  <c r="A483" i="30"/>
  <c r="C483" i="30"/>
  <c r="A484" i="30"/>
  <c r="C484" i="30"/>
  <c r="A485" i="30"/>
  <c r="C485" i="30"/>
  <c r="A486" i="30"/>
  <c r="C486" i="30"/>
  <c r="A487" i="30"/>
  <c r="C487" i="30"/>
  <c r="A488" i="30"/>
  <c r="C488" i="30"/>
  <c r="A489" i="30"/>
  <c r="C489" i="30"/>
  <c r="A490" i="30"/>
  <c r="C490" i="30"/>
  <c r="A491" i="30"/>
  <c r="C491" i="30"/>
  <c r="A492" i="30"/>
  <c r="C492" i="30"/>
  <c r="A493" i="30"/>
  <c r="C493" i="30"/>
  <c r="A494" i="30"/>
  <c r="C494" i="30"/>
  <c r="A495" i="30"/>
  <c r="C495" i="30"/>
  <c r="A496" i="30"/>
  <c r="C496" i="30"/>
  <c r="A497" i="30"/>
  <c r="C497" i="30"/>
  <c r="A498" i="30"/>
  <c r="C498" i="30"/>
  <c r="A499" i="30"/>
  <c r="C499" i="30"/>
  <c r="A500" i="30"/>
  <c r="C500" i="30"/>
  <c r="A501" i="30"/>
  <c r="C501" i="30"/>
  <c r="A502" i="30"/>
  <c r="C502" i="30"/>
  <c r="A503" i="30"/>
  <c r="C503" i="30"/>
  <c r="A504" i="30"/>
  <c r="C504" i="30"/>
  <c r="A505" i="30"/>
  <c r="C505" i="30"/>
  <c r="A506" i="30"/>
  <c r="C506" i="30"/>
  <c r="A507" i="30"/>
  <c r="C507" i="30"/>
  <c r="A508" i="30"/>
  <c r="C508" i="30"/>
  <c r="A509" i="30"/>
  <c r="C509" i="30"/>
  <c r="A510" i="30"/>
  <c r="C510" i="30"/>
  <c r="A511" i="30"/>
  <c r="C511" i="30"/>
  <c r="A512" i="30"/>
  <c r="C512" i="30"/>
  <c r="A513" i="30"/>
  <c r="C513" i="30"/>
  <c r="A514" i="30"/>
  <c r="C514" i="30"/>
  <c r="A515" i="30"/>
  <c r="C515" i="30"/>
  <c r="A516" i="30"/>
  <c r="C516" i="30"/>
  <c r="A517" i="30"/>
  <c r="C517" i="30"/>
  <c r="A518" i="30"/>
  <c r="C518" i="30"/>
  <c r="A519" i="30"/>
  <c r="C519" i="30"/>
  <c r="A520" i="30"/>
  <c r="C520" i="30"/>
  <c r="A521" i="30"/>
  <c r="C521" i="30"/>
  <c r="A522" i="30"/>
  <c r="C522" i="30"/>
  <c r="A523" i="30"/>
  <c r="C523" i="30"/>
  <c r="A524" i="30"/>
  <c r="C524" i="30"/>
  <c r="A525" i="30"/>
  <c r="C525" i="30"/>
  <c r="A526" i="30"/>
  <c r="C526" i="30"/>
  <c r="A527" i="30"/>
  <c r="C527" i="30"/>
  <c r="A528" i="30"/>
  <c r="C528" i="30"/>
  <c r="A529" i="30"/>
  <c r="C529" i="30"/>
  <c r="A530" i="30"/>
  <c r="C530" i="30"/>
  <c r="A531" i="30"/>
  <c r="C531" i="30"/>
  <c r="A532" i="30"/>
  <c r="C532" i="30"/>
  <c r="A533" i="30"/>
  <c r="C533" i="30"/>
  <c r="A534" i="30"/>
  <c r="C534" i="30"/>
  <c r="A535" i="30"/>
  <c r="C535" i="30"/>
  <c r="A536" i="30"/>
  <c r="C536" i="30"/>
  <c r="A537" i="30"/>
  <c r="C537" i="30"/>
  <c r="A538" i="30"/>
  <c r="C538" i="30"/>
  <c r="A539" i="30"/>
  <c r="C539" i="30"/>
  <c r="A540" i="30"/>
  <c r="C540" i="30"/>
  <c r="A541" i="30"/>
  <c r="C541" i="30"/>
  <c r="A542" i="30"/>
  <c r="C542" i="30"/>
  <c r="A543" i="30"/>
  <c r="C543" i="30"/>
  <c r="A544" i="30"/>
  <c r="C544" i="30"/>
  <c r="A545" i="30"/>
  <c r="C545" i="30"/>
  <c r="A546" i="30"/>
  <c r="C546" i="30"/>
  <c r="A547" i="30"/>
  <c r="C547" i="30"/>
  <c r="A548" i="30"/>
  <c r="C548" i="30"/>
  <c r="A549" i="30"/>
  <c r="C549" i="30"/>
  <c r="A550" i="30"/>
  <c r="C550" i="30"/>
  <c r="A551" i="30"/>
  <c r="C551" i="30"/>
  <c r="A552" i="30"/>
  <c r="C552" i="30"/>
  <c r="A553" i="30"/>
  <c r="C553" i="30"/>
  <c r="A554" i="30"/>
  <c r="C554" i="30"/>
  <c r="A555" i="30"/>
  <c r="C555" i="30"/>
  <c r="A556" i="30"/>
  <c r="C556" i="30"/>
  <c r="A557" i="30"/>
  <c r="C557" i="30"/>
  <c r="A558" i="30"/>
  <c r="C558" i="30"/>
  <c r="A559" i="30"/>
  <c r="C559" i="30"/>
  <c r="A560" i="30"/>
  <c r="C560" i="30"/>
  <c r="A561" i="30"/>
  <c r="C561" i="30"/>
  <c r="A562" i="30"/>
  <c r="C562" i="30"/>
  <c r="A563" i="30"/>
  <c r="C563" i="30"/>
  <c r="A564" i="30"/>
  <c r="C564" i="30"/>
  <c r="A565" i="30"/>
  <c r="C565" i="30"/>
  <c r="A566" i="30"/>
  <c r="C566" i="30"/>
  <c r="A567" i="30"/>
  <c r="C567" i="30"/>
  <c r="A568" i="30"/>
  <c r="C568" i="30"/>
  <c r="A569" i="30"/>
  <c r="C569" i="30"/>
  <c r="A570" i="30"/>
  <c r="C570" i="30"/>
  <c r="A571" i="30"/>
  <c r="C571" i="30"/>
  <c r="A572" i="30"/>
  <c r="C572" i="30"/>
  <c r="A573" i="30"/>
  <c r="C573" i="30"/>
  <c r="A574" i="30"/>
  <c r="C574" i="30"/>
  <c r="A575" i="30"/>
  <c r="C575" i="30"/>
  <c r="A576" i="30"/>
  <c r="C576" i="30"/>
  <c r="A577" i="30"/>
  <c r="C577" i="30"/>
  <c r="A578" i="30"/>
  <c r="C578" i="30"/>
  <c r="A579" i="30"/>
  <c r="C579" i="30"/>
  <c r="A580" i="30"/>
  <c r="C580" i="30"/>
  <c r="A581" i="30"/>
  <c r="C581" i="30"/>
  <c r="A582" i="30"/>
  <c r="C582" i="30"/>
  <c r="A583" i="30"/>
  <c r="C583" i="30"/>
  <c r="A584" i="30"/>
  <c r="C584" i="30"/>
  <c r="A585" i="30"/>
  <c r="C585" i="30"/>
  <c r="A586" i="30"/>
  <c r="C586" i="30"/>
  <c r="A587" i="30"/>
  <c r="C587" i="30"/>
  <c r="A588" i="30"/>
  <c r="C588" i="30"/>
  <c r="A589" i="30"/>
  <c r="C589" i="30"/>
  <c r="A590" i="30"/>
  <c r="C590" i="30"/>
  <c r="A591" i="30"/>
  <c r="C591" i="30"/>
  <c r="A592" i="30"/>
  <c r="C592" i="30"/>
  <c r="A593" i="30"/>
  <c r="C593" i="30"/>
  <c r="A594" i="30"/>
  <c r="C594" i="30"/>
  <c r="A595" i="30"/>
  <c r="C595" i="30"/>
  <c r="A596" i="30"/>
  <c r="C596" i="30"/>
  <c r="A597" i="30"/>
  <c r="C597" i="30"/>
  <c r="A598" i="30"/>
  <c r="C598" i="30"/>
  <c r="A599" i="30"/>
  <c r="C599" i="30"/>
  <c r="A600" i="30"/>
  <c r="C600" i="30"/>
  <c r="A601" i="30"/>
  <c r="C601" i="30"/>
  <c r="A602" i="30"/>
  <c r="C602" i="30"/>
  <c r="A603" i="30"/>
  <c r="C603" i="30"/>
  <c r="A604" i="30"/>
  <c r="C604" i="30"/>
  <c r="A605" i="30"/>
  <c r="C605" i="30"/>
  <c r="A606" i="30"/>
  <c r="C606" i="30"/>
  <c r="A607" i="30"/>
  <c r="C607" i="30"/>
  <c r="A608" i="30"/>
  <c r="C608" i="30"/>
  <c r="A609" i="30"/>
  <c r="C609" i="30"/>
  <c r="A610" i="30"/>
  <c r="C610" i="30"/>
  <c r="A611" i="30"/>
  <c r="C611" i="30"/>
  <c r="A612" i="30"/>
  <c r="C612" i="30"/>
  <c r="A613" i="30"/>
  <c r="C613" i="30"/>
  <c r="A614" i="30"/>
  <c r="C614" i="30"/>
  <c r="A615" i="30"/>
  <c r="C615" i="30"/>
  <c r="A616" i="30"/>
  <c r="C616" i="30"/>
  <c r="A617" i="30"/>
  <c r="C617" i="30"/>
  <c r="A618" i="30"/>
  <c r="C618" i="30"/>
  <c r="A619" i="30"/>
  <c r="C619" i="30"/>
  <c r="A620" i="30"/>
  <c r="C620" i="30"/>
  <c r="A621" i="30"/>
  <c r="C621" i="30"/>
  <c r="A622" i="30"/>
  <c r="C622" i="30"/>
  <c r="A623" i="30"/>
  <c r="C623" i="30"/>
  <c r="A624" i="30"/>
  <c r="C624" i="30"/>
  <c r="A625" i="30"/>
  <c r="C625" i="30"/>
  <c r="A626" i="30"/>
  <c r="C626" i="30"/>
  <c r="A627" i="30"/>
  <c r="C627" i="30"/>
  <c r="A628" i="30"/>
  <c r="C628" i="30"/>
  <c r="A629" i="30"/>
  <c r="C629" i="30"/>
  <c r="A630" i="30"/>
  <c r="C630" i="30"/>
  <c r="G6" i="30"/>
  <c r="F6" i="30"/>
  <c r="E6" i="30"/>
  <c r="D6" i="30"/>
  <c r="I6" i="30" s="1"/>
  <c r="C6" i="30"/>
  <c r="B6" i="30"/>
  <c r="A6" i="30"/>
  <c r="AM20" i="27" l="1"/>
  <c r="AM21" i="27" s="1"/>
  <c r="AM22" i="27" s="1"/>
  <c r="AM23" i="27" s="1"/>
  <c r="AM24" i="27" s="1"/>
  <c r="AM26" i="27" s="1"/>
  <c r="AM27" i="27" s="1"/>
  <c r="AM28" i="27" s="1"/>
  <c r="AM29" i="27" s="1"/>
  <c r="AM30" i="27" s="1"/>
  <c r="AM31" i="27" s="1"/>
  <c r="AM32" i="27" s="1"/>
  <c r="AM33" i="27" s="1"/>
  <c r="AM34" i="27" s="1"/>
  <c r="AM35" i="27" s="1"/>
  <c r="AM36" i="27" s="1"/>
  <c r="AM37" i="27" s="1"/>
  <c r="AM38" i="27" s="1"/>
  <c r="AM39" i="27" s="1"/>
  <c r="AM40" i="27" s="1"/>
  <c r="AM42" i="27" s="1"/>
  <c r="AM43" i="27" s="1"/>
  <c r="AM44" i="27" s="1"/>
  <c r="AM45" i="27" s="1"/>
  <c r="AM46" i="27" s="1"/>
  <c r="AM47" i="27" s="1"/>
  <c r="AM48" i="27" s="1"/>
  <c r="AM49" i="27" s="1"/>
  <c r="AM50" i="27" s="1"/>
  <c r="AM51" i="27" s="1"/>
  <c r="AM52" i="27" s="1"/>
  <c r="AM53" i="27" s="1"/>
  <c r="AM54" i="27" s="1"/>
  <c r="AS19" i="27"/>
  <c r="AN20" i="27"/>
  <c r="AN21" i="27" s="1"/>
  <c r="AN22" i="27" s="1"/>
  <c r="AN23" i="27" s="1"/>
  <c r="AN24" i="27" s="1"/>
  <c r="AN26" i="27" s="1"/>
  <c r="AN27" i="27" s="1"/>
  <c r="AN28" i="27" s="1"/>
  <c r="AN29" i="27" s="1"/>
  <c r="AN30" i="27" s="1"/>
  <c r="AN31" i="27" s="1"/>
  <c r="AN32" i="27" s="1"/>
  <c r="AN33" i="27" s="1"/>
  <c r="AN34" i="27" s="1"/>
  <c r="AN35" i="27" s="1"/>
  <c r="AN36" i="27" s="1"/>
  <c r="AN37" i="27" s="1"/>
  <c r="AN38" i="27" s="1"/>
  <c r="AN39" i="27" s="1"/>
  <c r="AN40" i="27" s="1"/>
  <c r="AN42" i="27" s="1"/>
  <c r="AN43" i="27" s="1"/>
  <c r="AN44" i="27" s="1"/>
  <c r="AN45" i="27" s="1"/>
  <c r="AN46" i="27" s="1"/>
  <c r="AN47" i="27" s="1"/>
  <c r="AN48" i="27" s="1"/>
  <c r="AN49" i="27" s="1"/>
  <c r="AN50" i="27" s="1"/>
  <c r="AN51" i="27" s="1"/>
  <c r="AN52" i="27" s="1"/>
  <c r="AN53" i="27" s="1"/>
  <c r="AN54" i="27" s="1"/>
  <c r="AP19" i="27"/>
  <c r="AO19" i="27"/>
  <c r="AA20" i="27"/>
  <c r="AG19" i="27"/>
  <c r="S20" i="27"/>
  <c r="T20" i="27" s="1"/>
  <c r="AE19" i="27"/>
  <c r="AF19" i="27" s="1"/>
  <c r="S19" i="27"/>
  <c r="T19" i="27" s="1"/>
  <c r="U20" i="27"/>
  <c r="AD20" i="27"/>
  <c r="AC20" i="27"/>
  <c r="D637" i="30"/>
  <c r="I637" i="30" s="1"/>
  <c r="B637" i="30"/>
  <c r="G700" i="30"/>
  <c r="G668" i="30"/>
  <c r="G637" i="30"/>
  <c r="G682" i="30"/>
  <c r="G638" i="30"/>
  <c r="G712" i="30"/>
  <c r="G666" i="30"/>
  <c r="G702" i="30"/>
  <c r="G639" i="30"/>
  <c r="G654" i="30"/>
  <c r="G641" i="30"/>
  <c r="G701" i="30"/>
  <c r="G697" i="30"/>
  <c r="G713" i="30"/>
  <c r="G703" i="30"/>
  <c r="G698" i="30"/>
  <c r="G704" i="30"/>
  <c r="G699" i="30"/>
  <c r="G655" i="30"/>
  <c r="G652" i="30"/>
  <c r="G681" i="30"/>
  <c r="G696" i="30"/>
  <c r="G667" i="30"/>
  <c r="G653" i="30"/>
  <c r="R21" i="27"/>
  <c r="Q21" i="27"/>
  <c r="G506" i="30"/>
  <c r="AW309" i="27"/>
  <c r="AV309" i="27"/>
  <c r="AW308" i="27"/>
  <c r="AV308" i="27"/>
  <c r="AW307" i="27"/>
  <c r="AV307" i="27"/>
  <c r="AW306" i="27"/>
  <c r="AV306" i="27"/>
  <c r="AW305" i="27"/>
  <c r="AV305" i="27"/>
  <c r="AW304" i="27"/>
  <c r="AV304" i="27"/>
  <c r="AW303" i="27"/>
  <c r="AV303" i="27"/>
  <c r="AW302" i="27"/>
  <c r="AV302" i="27"/>
  <c r="AW301" i="27"/>
  <c r="AV301" i="27"/>
  <c r="AW300" i="27"/>
  <c r="AV300" i="27"/>
  <c r="AW299" i="27"/>
  <c r="AV299" i="27"/>
  <c r="AW298" i="27"/>
  <c r="AV298" i="27"/>
  <c r="AW297" i="27"/>
  <c r="AV297" i="27"/>
  <c r="AW296" i="27"/>
  <c r="AV296" i="27"/>
  <c r="AW295" i="27"/>
  <c r="AV295" i="27"/>
  <c r="AW294" i="27"/>
  <c r="AV294" i="27"/>
  <c r="AW293" i="27"/>
  <c r="AV293" i="27"/>
  <c r="AW292" i="27"/>
  <c r="AV292" i="27"/>
  <c r="AW291" i="27"/>
  <c r="AV291" i="27"/>
  <c r="AW290" i="27"/>
  <c r="AV290" i="27"/>
  <c r="AW289" i="27"/>
  <c r="AV289" i="27"/>
  <c r="AW288" i="27"/>
  <c r="AV288" i="27"/>
  <c r="AW287" i="27"/>
  <c r="AV287" i="27"/>
  <c r="AW286" i="27"/>
  <c r="AV286" i="27"/>
  <c r="AW285" i="27"/>
  <c r="AV285" i="27"/>
  <c r="AW284" i="27"/>
  <c r="AV284" i="27"/>
  <c r="AW283" i="27"/>
  <c r="AV283" i="27"/>
  <c r="AW282" i="27"/>
  <c r="AV282" i="27"/>
  <c r="AW281" i="27"/>
  <c r="AV281" i="27"/>
  <c r="AW280" i="27"/>
  <c r="AV280" i="27"/>
  <c r="AW279" i="27"/>
  <c r="AV279" i="27"/>
  <c r="AW278" i="27"/>
  <c r="AV278" i="27"/>
  <c r="AW277" i="27"/>
  <c r="AV277" i="27"/>
  <c r="AW276" i="27"/>
  <c r="AV276" i="27"/>
  <c r="AW275" i="27"/>
  <c r="AV275" i="27"/>
  <c r="AW274" i="27"/>
  <c r="AV274" i="27"/>
  <c r="AW273" i="27"/>
  <c r="AV273" i="27"/>
  <c r="AW272" i="27"/>
  <c r="AV272" i="27"/>
  <c r="AW271" i="27"/>
  <c r="AV271" i="27"/>
  <c r="AW270" i="27"/>
  <c r="AV270" i="27"/>
  <c r="AW269" i="27"/>
  <c r="AV269" i="27"/>
  <c r="AW268" i="27"/>
  <c r="AV268" i="27"/>
  <c r="AW267" i="27"/>
  <c r="AV267" i="27"/>
  <c r="AW266" i="27"/>
  <c r="AV266" i="27"/>
  <c r="AW265" i="27"/>
  <c r="AV265" i="27"/>
  <c r="AW264" i="27"/>
  <c r="AV264" i="27"/>
  <c r="AW263" i="27"/>
  <c r="AV263" i="27"/>
  <c r="AW262" i="27"/>
  <c r="AV262" i="27"/>
  <c r="AW261" i="27"/>
  <c r="AV261" i="27"/>
  <c r="AW260" i="27"/>
  <c r="AV260" i="27"/>
  <c r="AW259" i="27"/>
  <c r="AV259" i="27"/>
  <c r="AW258" i="27"/>
  <c r="AV258" i="27"/>
  <c r="AW257" i="27"/>
  <c r="AV257" i="27"/>
  <c r="AW256" i="27"/>
  <c r="AV256" i="27"/>
  <c r="AW255" i="27"/>
  <c r="AV255" i="27"/>
  <c r="AW254" i="27"/>
  <c r="AV254" i="27"/>
  <c r="AW253" i="27"/>
  <c r="AV253" i="27"/>
  <c r="AW252" i="27"/>
  <c r="AV252" i="27"/>
  <c r="AW251" i="27"/>
  <c r="AV251" i="27"/>
  <c r="AW250" i="27"/>
  <c r="AV250" i="27"/>
  <c r="AW249" i="27"/>
  <c r="AV249" i="27"/>
  <c r="AW248" i="27"/>
  <c r="AV248" i="27"/>
  <c r="AW247" i="27"/>
  <c r="AV247" i="27"/>
  <c r="AW246" i="27"/>
  <c r="AV246" i="27"/>
  <c r="AW245" i="27"/>
  <c r="AV245" i="27"/>
  <c r="AW244" i="27"/>
  <c r="AV244" i="27"/>
  <c r="AW243" i="27"/>
  <c r="AV243" i="27"/>
  <c r="AW242" i="27"/>
  <c r="AV242" i="27"/>
  <c r="AW241" i="27"/>
  <c r="AV241" i="27"/>
  <c r="AW240" i="27"/>
  <c r="AV240" i="27"/>
  <c r="AW239" i="27"/>
  <c r="AV239" i="27"/>
  <c r="AW238" i="27"/>
  <c r="AV238" i="27"/>
  <c r="AW237" i="27"/>
  <c r="AV237" i="27"/>
  <c r="AW236" i="27"/>
  <c r="AV236" i="27"/>
  <c r="AW235" i="27"/>
  <c r="AV235" i="27"/>
  <c r="AW234" i="27"/>
  <c r="AV234" i="27"/>
  <c r="AW233" i="27"/>
  <c r="AV233" i="27"/>
  <c r="AW232" i="27"/>
  <c r="AV232" i="27"/>
  <c r="AW231" i="27"/>
  <c r="AV231" i="27"/>
  <c r="AW230" i="27"/>
  <c r="AV230" i="27"/>
  <c r="AW229" i="27"/>
  <c r="AV229" i="27"/>
  <c r="AW228" i="27"/>
  <c r="AV228" i="27"/>
  <c r="AW227" i="27"/>
  <c r="AV227" i="27"/>
  <c r="AW226" i="27"/>
  <c r="AV226" i="27"/>
  <c r="AW225" i="27"/>
  <c r="AV225" i="27"/>
  <c r="AW224" i="27"/>
  <c r="AV224" i="27"/>
  <c r="AW223" i="27"/>
  <c r="AV223" i="27"/>
  <c r="AW222" i="27"/>
  <c r="AV222" i="27"/>
  <c r="AW221" i="27"/>
  <c r="AV221" i="27"/>
  <c r="AW220" i="27"/>
  <c r="AV220" i="27"/>
  <c r="AW219" i="27"/>
  <c r="AV219" i="27"/>
  <c r="AW218" i="27"/>
  <c r="AV218" i="27"/>
  <c r="AW217" i="27"/>
  <c r="AV217" i="27"/>
  <c r="AW216" i="27"/>
  <c r="AV216" i="27"/>
  <c r="AW215" i="27"/>
  <c r="AV215" i="27"/>
  <c r="AW214" i="27"/>
  <c r="AV214" i="27"/>
  <c r="AW213" i="27"/>
  <c r="AV213" i="27"/>
  <c r="AW212" i="27"/>
  <c r="AV212" i="27"/>
  <c r="AW211" i="27"/>
  <c r="AV211" i="27"/>
  <c r="AW210" i="27"/>
  <c r="AV210" i="27"/>
  <c r="AW209" i="27"/>
  <c r="AV209" i="27"/>
  <c r="AW208" i="27"/>
  <c r="AV208" i="27"/>
  <c r="AW207" i="27"/>
  <c r="AV207" i="27"/>
  <c r="AW206" i="27"/>
  <c r="AV206" i="27"/>
  <c r="AW205" i="27"/>
  <c r="AV205" i="27"/>
  <c r="AW204" i="27"/>
  <c r="AV204" i="27"/>
  <c r="AW203" i="27"/>
  <c r="AV203" i="27"/>
  <c r="AW202" i="27"/>
  <c r="AV202" i="27"/>
  <c r="AW201" i="27"/>
  <c r="AV201" i="27"/>
  <c r="AW200" i="27"/>
  <c r="AV200" i="27"/>
  <c r="AW199" i="27"/>
  <c r="AV199" i="27"/>
  <c r="AW198" i="27"/>
  <c r="AV198" i="27"/>
  <c r="AW197" i="27"/>
  <c r="AV197" i="27"/>
  <c r="AW196" i="27"/>
  <c r="AV196" i="27"/>
  <c r="AW195" i="27"/>
  <c r="AV195" i="27"/>
  <c r="AW194" i="27"/>
  <c r="AV194" i="27"/>
  <c r="AW193" i="27"/>
  <c r="AV193" i="27"/>
  <c r="AW192" i="27"/>
  <c r="AV192" i="27"/>
  <c r="AW191" i="27"/>
  <c r="AV191" i="27"/>
  <c r="AW190" i="27"/>
  <c r="AV190" i="27"/>
  <c r="AW189" i="27"/>
  <c r="AV189" i="27"/>
  <c r="AW188" i="27"/>
  <c r="AV188" i="27"/>
  <c r="AW187" i="27"/>
  <c r="AV187" i="27"/>
  <c r="AW186" i="27"/>
  <c r="AV186" i="27"/>
  <c r="AW185" i="27"/>
  <c r="AV185" i="27"/>
  <c r="AW184" i="27"/>
  <c r="AV184" i="27"/>
  <c r="AW183" i="27"/>
  <c r="AV183" i="27"/>
  <c r="AW182" i="27"/>
  <c r="AV182" i="27"/>
  <c r="AW181" i="27"/>
  <c r="AV181" i="27"/>
  <c r="AW180" i="27"/>
  <c r="AV180" i="27"/>
  <c r="AW179" i="27"/>
  <c r="AV179" i="27"/>
  <c r="AW178" i="27"/>
  <c r="AV178" i="27"/>
  <c r="AW177" i="27"/>
  <c r="AV177" i="27"/>
  <c r="AW176" i="27"/>
  <c r="AV176" i="27"/>
  <c r="AW175" i="27"/>
  <c r="AV175" i="27"/>
  <c r="AW174" i="27"/>
  <c r="AV174" i="27"/>
  <c r="AW173" i="27"/>
  <c r="AV173" i="27"/>
  <c r="AW172" i="27"/>
  <c r="AV172" i="27"/>
  <c r="AW171" i="27"/>
  <c r="AV171" i="27"/>
  <c r="AW170" i="27"/>
  <c r="AV170" i="27"/>
  <c r="AW169" i="27"/>
  <c r="AV169" i="27"/>
  <c r="AW168" i="27"/>
  <c r="AV168" i="27"/>
  <c r="AW167" i="27"/>
  <c r="AV167" i="27"/>
  <c r="AW166" i="27"/>
  <c r="AV166" i="27"/>
  <c r="AW165" i="27"/>
  <c r="AV165" i="27"/>
  <c r="AW164" i="27"/>
  <c r="AV164" i="27"/>
  <c r="AW163" i="27"/>
  <c r="AV163" i="27"/>
  <c r="AW162" i="27"/>
  <c r="AV162" i="27"/>
  <c r="AW161" i="27"/>
  <c r="AV161" i="27"/>
  <c r="AW160" i="27"/>
  <c r="AV160" i="27"/>
  <c r="AW159" i="27"/>
  <c r="AV159" i="27"/>
  <c r="AW158" i="27"/>
  <c r="AV158" i="27"/>
  <c r="AW157" i="27"/>
  <c r="AV157" i="27"/>
  <c r="AW156" i="27"/>
  <c r="AV156" i="27"/>
  <c r="AW155" i="27"/>
  <c r="AV155" i="27"/>
  <c r="AW154" i="27"/>
  <c r="AV154" i="27"/>
  <c r="AW153" i="27"/>
  <c r="AV153" i="27"/>
  <c r="AW152" i="27"/>
  <c r="AV152" i="27"/>
  <c r="AW151" i="27"/>
  <c r="AV151" i="27"/>
  <c r="AW150" i="27"/>
  <c r="AV150" i="27"/>
  <c r="AW149" i="27"/>
  <c r="AV149" i="27"/>
  <c r="AW148" i="27"/>
  <c r="AV148" i="27"/>
  <c r="AW147" i="27"/>
  <c r="AV147" i="27"/>
  <c r="AW146" i="27"/>
  <c r="AV146" i="27"/>
  <c r="AW145" i="27"/>
  <c r="AV145" i="27"/>
  <c r="AW144" i="27"/>
  <c r="AV144" i="27"/>
  <c r="AW143" i="27"/>
  <c r="AV143" i="27"/>
  <c r="AW142" i="27"/>
  <c r="AV142" i="27"/>
  <c r="AW141" i="27"/>
  <c r="AV141" i="27"/>
  <c r="AW140" i="27"/>
  <c r="AV140" i="27"/>
  <c r="AW139" i="27"/>
  <c r="AV139" i="27"/>
  <c r="AW138" i="27"/>
  <c r="AV138" i="27"/>
  <c r="AW137" i="27"/>
  <c r="AV137" i="27"/>
  <c r="AW136" i="27"/>
  <c r="AV136" i="27"/>
  <c r="AW135" i="27"/>
  <c r="AV135" i="27"/>
  <c r="AW134" i="27"/>
  <c r="AV134" i="27"/>
  <c r="AW133" i="27"/>
  <c r="AV133" i="27"/>
  <c r="AW132" i="27"/>
  <c r="AV132" i="27"/>
  <c r="AW131" i="27"/>
  <c r="AV131" i="27"/>
  <c r="AW130" i="27"/>
  <c r="AV130" i="27"/>
  <c r="AW129" i="27"/>
  <c r="AV129" i="27"/>
  <c r="AW128" i="27"/>
  <c r="AV128" i="27"/>
  <c r="AW127" i="27"/>
  <c r="AV127" i="27"/>
  <c r="AW126" i="27"/>
  <c r="AV126" i="27"/>
  <c r="AW125" i="27"/>
  <c r="AV125" i="27"/>
  <c r="AW124" i="27"/>
  <c r="AV124" i="27"/>
  <c r="AW123" i="27"/>
  <c r="AV123" i="27"/>
  <c r="AW122" i="27"/>
  <c r="AV122" i="27"/>
  <c r="AW121" i="27"/>
  <c r="AV121" i="27"/>
  <c r="AW120" i="27"/>
  <c r="AV120" i="27"/>
  <c r="AW119" i="27"/>
  <c r="AV119" i="27"/>
  <c r="AW118" i="27"/>
  <c r="AV118" i="27"/>
  <c r="AW117" i="27"/>
  <c r="AV117" i="27"/>
  <c r="AW116" i="27"/>
  <c r="AV116" i="27"/>
  <c r="AW115" i="27"/>
  <c r="AV115" i="27"/>
  <c r="AW114" i="27"/>
  <c r="AV114" i="27"/>
  <c r="AW113" i="27"/>
  <c r="AV113" i="27"/>
  <c r="AW112" i="27"/>
  <c r="AV112" i="27"/>
  <c r="AW111" i="27"/>
  <c r="AV111" i="27"/>
  <c r="AW110" i="27"/>
  <c r="AV110" i="27"/>
  <c r="AW109" i="27"/>
  <c r="AV109" i="27"/>
  <c r="AW108" i="27"/>
  <c r="AV108" i="27"/>
  <c r="AW107" i="27"/>
  <c r="AV107" i="27"/>
  <c r="AW106" i="27"/>
  <c r="AV106" i="27"/>
  <c r="AW105" i="27"/>
  <c r="AV105" i="27"/>
  <c r="AW104" i="27"/>
  <c r="AV104" i="27"/>
  <c r="AW103" i="27"/>
  <c r="AV103" i="27"/>
  <c r="AW102" i="27"/>
  <c r="AV102" i="27"/>
  <c r="AW101" i="27"/>
  <c r="AV101" i="27"/>
  <c r="AW100" i="27"/>
  <c r="AV100" i="27"/>
  <c r="AW99" i="27"/>
  <c r="AV99" i="27"/>
  <c r="AW98" i="27"/>
  <c r="AV98" i="27"/>
  <c r="AW97" i="27"/>
  <c r="AV97" i="27"/>
  <c r="AW96" i="27"/>
  <c r="AV96" i="27"/>
  <c r="AW95" i="27"/>
  <c r="AV95" i="27"/>
  <c r="AW94" i="27"/>
  <c r="AV94" i="27"/>
  <c r="AW93" i="27"/>
  <c r="AV93" i="27"/>
  <c r="AW92" i="27"/>
  <c r="AV92" i="27"/>
  <c r="AW91" i="27"/>
  <c r="AV91" i="27"/>
  <c r="AW90" i="27"/>
  <c r="AV90" i="27"/>
  <c r="AW89" i="27"/>
  <c r="AV89" i="27"/>
  <c r="AW88" i="27"/>
  <c r="AV88" i="27"/>
  <c r="AW87" i="27"/>
  <c r="AV87" i="27"/>
  <c r="AW86" i="27"/>
  <c r="AV86" i="27"/>
  <c r="AW85" i="27"/>
  <c r="AV85" i="27"/>
  <c r="AW84" i="27"/>
  <c r="AV84" i="27"/>
  <c r="AW83" i="27"/>
  <c r="AV83" i="27"/>
  <c r="AW82" i="27"/>
  <c r="AV82" i="27"/>
  <c r="AW81" i="27"/>
  <c r="AV81" i="27"/>
  <c r="AW80" i="27"/>
  <c r="AV80" i="27"/>
  <c r="AW79" i="27"/>
  <c r="AV79" i="27"/>
  <c r="AW78" i="27"/>
  <c r="AV78" i="27"/>
  <c r="AW77" i="27"/>
  <c r="AV77" i="27"/>
  <c r="AW76" i="27"/>
  <c r="AV76" i="27"/>
  <c r="AW75" i="27"/>
  <c r="AV75" i="27"/>
  <c r="AW74" i="27"/>
  <c r="AV74" i="27"/>
  <c r="AW73" i="27"/>
  <c r="AV73" i="27"/>
  <c r="AW72" i="27"/>
  <c r="AV72" i="27"/>
  <c r="AW71" i="27"/>
  <c r="AV71" i="27"/>
  <c r="AW70" i="27"/>
  <c r="AV70" i="27"/>
  <c r="AW69" i="27"/>
  <c r="AV69" i="27"/>
  <c r="AW68" i="27"/>
  <c r="AV68" i="27"/>
  <c r="AW67" i="27"/>
  <c r="AV67" i="27"/>
  <c r="AW66" i="27"/>
  <c r="AV66" i="27"/>
  <c r="AW65" i="27"/>
  <c r="AV65" i="27"/>
  <c r="AW64" i="27"/>
  <c r="AV64" i="27"/>
  <c r="AW63" i="27"/>
  <c r="AV63" i="27"/>
  <c r="AW62" i="27"/>
  <c r="AV62" i="27"/>
  <c r="AW61" i="27"/>
  <c r="AV61" i="27"/>
  <c r="AW60" i="27"/>
  <c r="AV60" i="27"/>
  <c r="AW59" i="27"/>
  <c r="AV59" i="27"/>
  <c r="AW58" i="27"/>
  <c r="AV58" i="27"/>
  <c r="AW57" i="27"/>
  <c r="AV57" i="27"/>
  <c r="AW56" i="27"/>
  <c r="AV56" i="27"/>
  <c r="AW54" i="27"/>
  <c r="AV54" i="27"/>
  <c r="AW53" i="27"/>
  <c r="AV53" i="27"/>
  <c r="AW52" i="27"/>
  <c r="AV52" i="27"/>
  <c r="AW51" i="27"/>
  <c r="AV51" i="27"/>
  <c r="AW50" i="27"/>
  <c r="AV50" i="27"/>
  <c r="AW49" i="27"/>
  <c r="AV49" i="27"/>
  <c r="AW48" i="27"/>
  <c r="AV48" i="27"/>
  <c r="AW47" i="27"/>
  <c r="AV47" i="27"/>
  <c r="AW46" i="27"/>
  <c r="AV46" i="27"/>
  <c r="AW45" i="27"/>
  <c r="AV45" i="27"/>
  <c r="AW44" i="27"/>
  <c r="AV44" i="27"/>
  <c r="AW43" i="27"/>
  <c r="AV43" i="27"/>
  <c r="AW42" i="27"/>
  <c r="AV42" i="27"/>
  <c r="AW41" i="27"/>
  <c r="AV41" i="27"/>
  <c r="AW40" i="27"/>
  <c r="AV40" i="27"/>
  <c r="AW39" i="27"/>
  <c r="AV39" i="27"/>
  <c r="AW38" i="27"/>
  <c r="AV38" i="27"/>
  <c r="AW37" i="27"/>
  <c r="AV37" i="27"/>
  <c r="AW36" i="27"/>
  <c r="AV36" i="27"/>
  <c r="AW35" i="27"/>
  <c r="AV35" i="27"/>
  <c r="AW34" i="27"/>
  <c r="AV34" i="27"/>
  <c r="AW33" i="27"/>
  <c r="AV33" i="27"/>
  <c r="AW32" i="27"/>
  <c r="AV32" i="27"/>
  <c r="AW31" i="27"/>
  <c r="AV31" i="27"/>
  <c r="AW30" i="27"/>
  <c r="AV30" i="27"/>
  <c r="AW29" i="27"/>
  <c r="AV29" i="27"/>
  <c r="AW28" i="27"/>
  <c r="AV28" i="27"/>
  <c r="AW27" i="27"/>
  <c r="AV27" i="27"/>
  <c r="AW26" i="27"/>
  <c r="AV26" i="27"/>
  <c r="AW25" i="27"/>
  <c r="AV25" i="27"/>
  <c r="AW24" i="27"/>
  <c r="AV24" i="27"/>
  <c r="AW23" i="27"/>
  <c r="AV23" i="27"/>
  <c r="AW22" i="27"/>
  <c r="AV22" i="27"/>
  <c r="AW21" i="27"/>
  <c r="AV21" i="27"/>
  <c r="AW20" i="27"/>
  <c r="AV20" i="27"/>
  <c r="AW19" i="27"/>
  <c r="AV19" i="27"/>
  <c r="AW18" i="27"/>
  <c r="AV18" i="27"/>
  <c r="AS18" i="27"/>
  <c r="AW17" i="27"/>
  <c r="AV17" i="27"/>
  <c r="AS17" i="27"/>
  <c r="AW16" i="27"/>
  <c r="AV16" i="27"/>
  <c r="AS16" i="27"/>
  <c r="AW15" i="27"/>
  <c r="AV15" i="27"/>
  <c r="AS15" i="27"/>
  <c r="AW14" i="27"/>
  <c r="AV14" i="27"/>
  <c r="AS14" i="27"/>
  <c r="AW13" i="27"/>
  <c r="AV13" i="27"/>
  <c r="AS13" i="27"/>
  <c r="AW12" i="27"/>
  <c r="AV12" i="27"/>
  <c r="AS12" i="27"/>
  <c r="AW11" i="27"/>
  <c r="AV11" i="27"/>
  <c r="AS11" i="27"/>
  <c r="AW10" i="27"/>
  <c r="AV10" i="27"/>
  <c r="AS10" i="27"/>
  <c r="AP10" i="27"/>
  <c r="AD10" i="27"/>
  <c r="AG10" i="27"/>
  <c r="R10" i="27"/>
  <c r="U10" i="27"/>
  <c r="D7" i="30"/>
  <c r="I7" i="30" s="1"/>
  <c r="AW9" i="27"/>
  <c r="AV9" i="27"/>
  <c r="AU9" i="27"/>
  <c r="BF9" i="27"/>
  <c r="AP9" i="27"/>
  <c r="AO9" i="27"/>
  <c r="BE9" i="27"/>
  <c r="AD9" i="27"/>
  <c r="AC9" i="27"/>
  <c r="BD9" i="27"/>
  <c r="R9" i="27"/>
  <c r="J6" i="27"/>
  <c r="AS20" i="27" l="1"/>
  <c r="BF20" i="27" s="1"/>
  <c r="AQ19" i="27"/>
  <c r="AR19" i="27" s="1"/>
  <c r="AO20" i="27"/>
  <c r="AP20" i="27"/>
  <c r="AG20" i="27"/>
  <c r="AE20" i="27"/>
  <c r="AF20" i="27" s="1"/>
  <c r="U21" i="27"/>
  <c r="AC21" i="27"/>
  <c r="AD21" i="27"/>
  <c r="D638" i="30"/>
  <c r="I638" i="30" s="1"/>
  <c r="B638" i="30"/>
  <c r="G715" i="30"/>
  <c r="G656" i="30"/>
  <c r="G706" i="30"/>
  <c r="G714" i="30"/>
  <c r="G671" i="30"/>
  <c r="G705" i="30"/>
  <c r="G640" i="30"/>
  <c r="G670" i="30"/>
  <c r="G683" i="30"/>
  <c r="Q22" i="27"/>
  <c r="R22" i="27"/>
  <c r="S21" i="27"/>
  <c r="T21" i="27" s="1"/>
  <c r="AQ9" i="27"/>
  <c r="AR9" i="27" s="1"/>
  <c r="G517" i="30"/>
  <c r="G541" i="30"/>
  <c r="G508" i="30"/>
  <c r="G528" i="30"/>
  <c r="G520" i="30"/>
  <c r="G515" i="30"/>
  <c r="G535" i="30"/>
  <c r="G502" i="30"/>
  <c r="G522" i="30"/>
  <c r="G542" i="30"/>
  <c r="G509" i="30"/>
  <c r="G529" i="30"/>
  <c r="G544" i="30"/>
  <c r="G537" i="30"/>
  <c r="G511" i="30"/>
  <c r="G538" i="30"/>
  <c r="G505" i="30"/>
  <c r="G525" i="30"/>
  <c r="G545" i="30"/>
  <c r="G518" i="30"/>
  <c r="G512" i="30"/>
  <c r="G532" i="30"/>
  <c r="G531" i="30"/>
  <c r="G519" i="30"/>
  <c r="G539" i="30"/>
  <c r="G526" i="30"/>
  <c r="G523" i="30"/>
  <c r="G513" i="30"/>
  <c r="G533" i="30"/>
  <c r="G516" i="30"/>
  <c r="G540" i="30"/>
  <c r="G536" i="30"/>
  <c r="G503" i="30"/>
  <c r="G507" i="30"/>
  <c r="G543" i="30"/>
  <c r="G510" i="30"/>
  <c r="G530" i="30"/>
  <c r="G504" i="30"/>
  <c r="G524" i="30"/>
  <c r="G527" i="30"/>
  <c r="G514" i="30"/>
  <c r="G534" i="30"/>
  <c r="G521" i="30"/>
  <c r="G608" i="30"/>
  <c r="G628" i="30"/>
  <c r="G615" i="30"/>
  <c r="G635" i="30"/>
  <c r="G622" i="30"/>
  <c r="G610" i="30"/>
  <c r="G609" i="30"/>
  <c r="G629" i="30"/>
  <c r="G624" i="30"/>
  <c r="G611" i="30"/>
  <c r="G631" i="30"/>
  <c r="G625" i="30"/>
  <c r="G623" i="30"/>
  <c r="G618" i="30"/>
  <c r="G612" i="30"/>
  <c r="G632" i="30"/>
  <c r="G630" i="30"/>
  <c r="G619" i="30"/>
  <c r="G617" i="30"/>
  <c r="G606" i="30"/>
  <c r="G626" i="30"/>
  <c r="G613" i="30"/>
  <c r="G633" i="30"/>
  <c r="G620" i="30"/>
  <c r="G607" i="30"/>
  <c r="G627" i="30"/>
  <c r="G616" i="30"/>
  <c r="G614" i="30"/>
  <c r="G634" i="30"/>
  <c r="G621" i="30"/>
  <c r="G592" i="30"/>
  <c r="G601" i="30"/>
  <c r="G563" i="30"/>
  <c r="G583" i="30"/>
  <c r="G603" i="30"/>
  <c r="G558" i="30"/>
  <c r="G561" i="30"/>
  <c r="G581" i="30"/>
  <c r="G595" i="30"/>
  <c r="G550" i="30"/>
  <c r="G570" i="30"/>
  <c r="G590" i="30"/>
  <c r="G578" i="30"/>
  <c r="G555" i="30"/>
  <c r="G557" i="30"/>
  <c r="G577" i="30"/>
  <c r="G597" i="30"/>
  <c r="G591" i="30"/>
  <c r="G585" i="30"/>
  <c r="G564" i="30"/>
  <c r="G584" i="30"/>
  <c r="G604" i="30"/>
  <c r="G572" i="30"/>
  <c r="G559" i="30"/>
  <c r="G579" i="30"/>
  <c r="G599" i="30"/>
  <c r="G546" i="30"/>
  <c r="G566" i="30"/>
  <c r="G586" i="30"/>
  <c r="G560" i="30"/>
  <c r="G580" i="30"/>
  <c r="G600" i="30"/>
  <c r="G553" i="30"/>
  <c r="G573" i="30"/>
  <c r="G593" i="30"/>
  <c r="G547" i="30"/>
  <c r="G567" i="30"/>
  <c r="G587" i="30"/>
  <c r="G552" i="30"/>
  <c r="G554" i="30"/>
  <c r="G574" i="30"/>
  <c r="G594" i="30"/>
  <c r="G598" i="30"/>
  <c r="G548" i="30"/>
  <c r="G568" i="30"/>
  <c r="G571" i="30"/>
  <c r="G565" i="30"/>
  <c r="G588" i="30"/>
  <c r="G575" i="30"/>
  <c r="G562" i="30"/>
  <c r="G582" i="30"/>
  <c r="G602" i="30"/>
  <c r="G551" i="30"/>
  <c r="G549" i="30"/>
  <c r="G569" i="30"/>
  <c r="G589" i="30"/>
  <c r="G605" i="30"/>
  <c r="G556" i="30"/>
  <c r="G576" i="30"/>
  <c r="G596" i="30"/>
  <c r="G383" i="30"/>
  <c r="G403" i="30"/>
  <c r="G423" i="30"/>
  <c r="G443" i="30"/>
  <c r="G463" i="30"/>
  <c r="G483" i="30"/>
  <c r="G397" i="30"/>
  <c r="G497" i="30"/>
  <c r="G370" i="30"/>
  <c r="G390" i="30"/>
  <c r="G410" i="30"/>
  <c r="G430" i="30"/>
  <c r="G450" i="30"/>
  <c r="G470" i="30"/>
  <c r="G490" i="30"/>
  <c r="G371" i="30"/>
  <c r="G391" i="30"/>
  <c r="G411" i="30"/>
  <c r="G431" i="30"/>
  <c r="G451" i="30"/>
  <c r="G471" i="30"/>
  <c r="G491" i="30"/>
  <c r="G384" i="30"/>
  <c r="G404" i="30"/>
  <c r="G424" i="30"/>
  <c r="G444" i="30"/>
  <c r="G464" i="30"/>
  <c r="G484" i="30"/>
  <c r="G378" i="30"/>
  <c r="G398" i="30"/>
  <c r="G418" i="30"/>
  <c r="G438" i="30"/>
  <c r="G458" i="30"/>
  <c r="G478" i="30"/>
  <c r="G498" i="30"/>
  <c r="G425" i="30"/>
  <c r="G485" i="30"/>
  <c r="G372" i="30"/>
  <c r="G392" i="30"/>
  <c r="G412" i="30"/>
  <c r="G432" i="30"/>
  <c r="G452" i="30"/>
  <c r="G472" i="30"/>
  <c r="G492" i="30"/>
  <c r="G379" i="30"/>
  <c r="G399" i="30"/>
  <c r="G419" i="30"/>
  <c r="G439" i="30"/>
  <c r="G459" i="30"/>
  <c r="G479" i="30"/>
  <c r="G499" i="30"/>
  <c r="G366" i="30"/>
  <c r="G386" i="30"/>
  <c r="G406" i="30"/>
  <c r="G426" i="30"/>
  <c r="G446" i="30"/>
  <c r="G466" i="30"/>
  <c r="G486" i="30"/>
  <c r="G385" i="30"/>
  <c r="G373" i="30"/>
  <c r="G393" i="30"/>
  <c r="G413" i="30"/>
  <c r="G433" i="30"/>
  <c r="G453" i="30"/>
  <c r="G473" i="30"/>
  <c r="G493" i="30"/>
  <c r="G380" i="30"/>
  <c r="G400" i="30"/>
  <c r="G420" i="30"/>
  <c r="G440" i="30"/>
  <c r="G460" i="30"/>
  <c r="G480" i="30"/>
  <c r="G500" i="30"/>
  <c r="G417" i="30"/>
  <c r="G367" i="30"/>
  <c r="G387" i="30"/>
  <c r="G407" i="30"/>
  <c r="G427" i="30"/>
  <c r="G447" i="30"/>
  <c r="G467" i="30"/>
  <c r="G487" i="30"/>
  <c r="G377" i="30"/>
  <c r="G405" i="30"/>
  <c r="G374" i="30"/>
  <c r="G394" i="30"/>
  <c r="G414" i="30"/>
  <c r="G434" i="30"/>
  <c r="G454" i="30"/>
  <c r="G474" i="30"/>
  <c r="G494" i="30"/>
  <c r="G465" i="30"/>
  <c r="G381" i="30"/>
  <c r="G401" i="30"/>
  <c r="G421" i="30"/>
  <c r="G441" i="30"/>
  <c r="G461" i="30"/>
  <c r="G481" i="30"/>
  <c r="G501" i="30"/>
  <c r="G445" i="30"/>
  <c r="G368" i="30"/>
  <c r="G388" i="30"/>
  <c r="G408" i="30"/>
  <c r="G428" i="30"/>
  <c r="G448" i="30"/>
  <c r="G468" i="30"/>
  <c r="G488" i="30"/>
  <c r="G477" i="30"/>
  <c r="G375" i="30"/>
  <c r="G395" i="30"/>
  <c r="G415" i="30"/>
  <c r="G435" i="30"/>
  <c r="G455" i="30"/>
  <c r="G475" i="30"/>
  <c r="G495" i="30"/>
  <c r="G437" i="30"/>
  <c r="G382" i="30"/>
  <c r="G402" i="30"/>
  <c r="G422" i="30"/>
  <c r="G442" i="30"/>
  <c r="G462" i="30"/>
  <c r="G482" i="30"/>
  <c r="G457" i="30"/>
  <c r="G369" i="30"/>
  <c r="G389" i="30"/>
  <c r="G409" i="30"/>
  <c r="G429" i="30"/>
  <c r="G449" i="30"/>
  <c r="G469" i="30"/>
  <c r="G489" i="30"/>
  <c r="G376" i="30"/>
  <c r="G396" i="30"/>
  <c r="G416" i="30"/>
  <c r="G436" i="30"/>
  <c r="G456" i="30"/>
  <c r="G476" i="30"/>
  <c r="G496" i="30"/>
  <c r="BF19" i="27"/>
  <c r="G16" i="30"/>
  <c r="BF14" i="27"/>
  <c r="G11" i="30"/>
  <c r="BF16" i="27"/>
  <c r="G13" i="30"/>
  <c r="BF10" i="27"/>
  <c r="G7" i="30"/>
  <c r="BF17" i="27"/>
  <c r="G14" i="30"/>
  <c r="BF15" i="27"/>
  <c r="G12" i="30"/>
  <c r="BF11" i="27"/>
  <c r="G8" i="30"/>
  <c r="BF18" i="27"/>
  <c r="G15" i="30"/>
  <c r="BF13" i="27"/>
  <c r="G10" i="30"/>
  <c r="BF12" i="27"/>
  <c r="G9" i="30"/>
  <c r="BE10" i="27"/>
  <c r="F7" i="30"/>
  <c r="B16" i="30"/>
  <c r="BB10" i="27"/>
  <c r="BC10" i="27"/>
  <c r="E7" i="30"/>
  <c r="AE9" i="27"/>
  <c r="AF9" i="27" s="1"/>
  <c r="AD11" i="27"/>
  <c r="BG9" i="27"/>
  <c r="BH9" i="27" s="1"/>
  <c r="S9" i="27"/>
  <c r="T9" i="27" s="1"/>
  <c r="BA9" i="27" s="1"/>
  <c r="AC11" i="27"/>
  <c r="BL9" i="27"/>
  <c r="AC10" i="27"/>
  <c r="AE10" i="27" s="1"/>
  <c r="AF10" i="27" s="1"/>
  <c r="Q10" i="27"/>
  <c r="S10" i="27" s="1"/>
  <c r="T10" i="27" s="1"/>
  <c r="BA10" i="27" s="1"/>
  <c r="AU10" i="27"/>
  <c r="AU11" i="27"/>
  <c r="AU12" i="27"/>
  <c r="BD10" i="27"/>
  <c r="D8" i="30"/>
  <c r="I8" i="30" s="1"/>
  <c r="AO10" i="27"/>
  <c r="AQ10" i="27" s="1"/>
  <c r="AR10" i="27" s="1"/>
  <c r="AH6" i="27"/>
  <c r="V6" i="27" s="1"/>
  <c r="AQ20" i="27" l="1"/>
  <c r="AR20" i="27" s="1"/>
  <c r="G17" i="30"/>
  <c r="AS21" i="27"/>
  <c r="AP21" i="27"/>
  <c r="AO21" i="27"/>
  <c r="AG21" i="27"/>
  <c r="AE21" i="27"/>
  <c r="AF21" i="27" s="1"/>
  <c r="U22" i="27"/>
  <c r="AD22" i="27"/>
  <c r="AC22" i="27"/>
  <c r="D639" i="30"/>
  <c r="I639" i="30" s="1"/>
  <c r="B639" i="30"/>
  <c r="G672" i="30"/>
  <c r="G644" i="30"/>
  <c r="G643" i="30"/>
  <c r="G707" i="30"/>
  <c r="G645" i="30"/>
  <c r="G657" i="30"/>
  <c r="G642" i="30"/>
  <c r="G684" i="30"/>
  <c r="G716" i="30"/>
  <c r="Q23" i="27"/>
  <c r="R23" i="27"/>
  <c r="S22" i="27"/>
  <c r="T22" i="27" s="1"/>
  <c r="BL10" i="27"/>
  <c r="BG10" i="27"/>
  <c r="BH10" i="27" s="1"/>
  <c r="AE11" i="27"/>
  <c r="AF11" i="27" s="1"/>
  <c r="AZ11" i="27" s="1"/>
  <c r="B17" i="30"/>
  <c r="AY10" i="27"/>
  <c r="AZ10" i="27"/>
  <c r="AG11" i="27"/>
  <c r="BI9" i="27"/>
  <c r="BJ9" i="27" s="1"/>
  <c r="BK9" i="27" s="1"/>
  <c r="AT9" i="27" s="1"/>
  <c r="AG12" i="27"/>
  <c r="AY9" i="27"/>
  <c r="AZ9" i="27"/>
  <c r="R11" i="27"/>
  <c r="Q11" i="27"/>
  <c r="AU13" i="27"/>
  <c r="U11" i="27"/>
  <c r="AD12" i="27"/>
  <c r="AC12" i="27"/>
  <c r="D9" i="30"/>
  <c r="I9" i="30" s="1"/>
  <c r="AP11" i="27"/>
  <c r="AO11" i="27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501" i="28"/>
  <c r="D502" i="28"/>
  <c r="D503" i="28"/>
  <c r="D4" i="28"/>
  <c r="AQ21" i="27" l="1"/>
  <c r="AR21" i="27" s="1"/>
  <c r="BF21" i="27"/>
  <c r="G18" i="30"/>
  <c r="AS22" i="27"/>
  <c r="AO22" i="27"/>
  <c r="AP22" i="27"/>
  <c r="AE22" i="27"/>
  <c r="AF22" i="27" s="1"/>
  <c r="AG22" i="27"/>
  <c r="S23" i="27"/>
  <c r="T23" i="27" s="1"/>
  <c r="U23" i="27"/>
  <c r="AD23" i="27"/>
  <c r="AC23" i="27"/>
  <c r="D640" i="30"/>
  <c r="I640" i="30" s="1"/>
  <c r="B640" i="30"/>
  <c r="G685" i="30"/>
  <c r="G658" i="30"/>
  <c r="G646" i="30"/>
  <c r="G717" i="30"/>
  <c r="G708" i="30"/>
  <c r="G673" i="30"/>
  <c r="Q24" i="27"/>
  <c r="R24" i="27"/>
  <c r="H6" i="30"/>
  <c r="AQ11" i="27"/>
  <c r="AR11" i="27" s="1"/>
  <c r="AY11" i="27" s="1"/>
  <c r="AX10" i="27"/>
  <c r="S11" i="27"/>
  <c r="T11" i="27" s="1"/>
  <c r="BA11" i="27" s="1"/>
  <c r="BI10" i="27"/>
  <c r="BJ10" i="27" s="1"/>
  <c r="BK10" i="27" s="1"/>
  <c r="AT10" i="27" s="1"/>
  <c r="H7" i="30" s="1"/>
  <c r="BE12" i="27"/>
  <c r="F9" i="30"/>
  <c r="BE11" i="27"/>
  <c r="F8" i="30"/>
  <c r="BC11" i="27"/>
  <c r="BB11" i="27"/>
  <c r="E8" i="30"/>
  <c r="B18" i="30"/>
  <c r="AE12" i="27"/>
  <c r="AF12" i="27" s="1"/>
  <c r="AZ12" i="27" s="1"/>
  <c r="AX9" i="27"/>
  <c r="AG13" i="27"/>
  <c r="AU14" i="27"/>
  <c r="AP12" i="27"/>
  <c r="AO12" i="27"/>
  <c r="R12" i="27"/>
  <c r="Q12" i="27"/>
  <c r="BD11" i="27"/>
  <c r="D10" i="30"/>
  <c r="I10" i="30" s="1"/>
  <c r="AD13" i="27"/>
  <c r="AC13" i="27"/>
  <c r="U12" i="27"/>
  <c r="BL11" i="27" l="1"/>
  <c r="BF22" i="27"/>
  <c r="G19" i="30"/>
  <c r="AS23" i="27"/>
  <c r="AQ22" i="27"/>
  <c r="AR22" i="27" s="1"/>
  <c r="AO23" i="27"/>
  <c r="AP23" i="27"/>
  <c r="AE23" i="27"/>
  <c r="AF23" i="27" s="1"/>
  <c r="AG23" i="27"/>
  <c r="U24" i="27"/>
  <c r="AC24" i="27"/>
  <c r="AD24" i="27"/>
  <c r="D641" i="30"/>
  <c r="I641" i="30" s="1"/>
  <c r="B641" i="30"/>
  <c r="G647" i="30"/>
  <c r="G686" i="30"/>
  <c r="G674" i="30"/>
  <c r="G718" i="30"/>
  <c r="G709" i="30"/>
  <c r="G710" i="30"/>
  <c r="G659" i="30"/>
  <c r="S24" i="27"/>
  <c r="T24" i="27" s="1"/>
  <c r="R25" i="27"/>
  <c r="Q25" i="27"/>
  <c r="AX11" i="27"/>
  <c r="BG11" i="27"/>
  <c r="BH11" i="27" s="1"/>
  <c r="BE13" i="27"/>
  <c r="F10" i="30"/>
  <c r="BB12" i="27"/>
  <c r="BC12" i="27"/>
  <c r="E9" i="30"/>
  <c r="B19" i="30"/>
  <c r="AE13" i="27"/>
  <c r="AF13" i="27" s="1"/>
  <c r="AZ13" i="27" s="1"/>
  <c r="S12" i="27"/>
  <c r="T12" i="27" s="1"/>
  <c r="BA12" i="27" s="1"/>
  <c r="AG14" i="27"/>
  <c r="AO13" i="27"/>
  <c r="AP13" i="27"/>
  <c r="AQ12" i="27"/>
  <c r="AR12" i="27" s="1"/>
  <c r="AY12" i="27" s="1"/>
  <c r="U13" i="27"/>
  <c r="AU15" i="27"/>
  <c r="D11" i="30"/>
  <c r="I11" i="30" s="1"/>
  <c r="Q13" i="27"/>
  <c r="R13" i="27"/>
  <c r="AD14" i="27"/>
  <c r="AC14" i="27"/>
  <c r="BD12" i="27"/>
  <c r="BG12" i="27" s="1"/>
  <c r="AQ23" i="27" l="1"/>
  <c r="AR23" i="27" s="1"/>
  <c r="BF23" i="27"/>
  <c r="G20" i="30"/>
  <c r="AS24" i="27"/>
  <c r="S25" i="27"/>
  <c r="T25" i="27" s="1"/>
  <c r="AP24" i="27"/>
  <c r="AO24" i="27"/>
  <c r="AE14" i="27"/>
  <c r="AF14" i="27" s="1"/>
  <c r="AZ14" i="27" s="1"/>
  <c r="AG24" i="27"/>
  <c r="U25" i="27"/>
  <c r="AE24" i="27"/>
  <c r="AF24" i="27" s="1"/>
  <c r="AD25" i="27"/>
  <c r="AC25" i="27"/>
  <c r="D642" i="30"/>
  <c r="I642" i="30" s="1"/>
  <c r="B642" i="30"/>
  <c r="G675" i="30"/>
  <c r="G648" i="30"/>
  <c r="G719" i="30"/>
  <c r="G660" i="30"/>
  <c r="G687" i="30"/>
  <c r="Q26" i="27"/>
  <c r="R26" i="27"/>
  <c r="BI11" i="27"/>
  <c r="BJ11" i="27" s="1"/>
  <c r="BK11" i="27" s="1"/>
  <c r="AT11" i="27" s="1"/>
  <c r="BL12" i="27"/>
  <c r="BE14" i="27"/>
  <c r="F11" i="30"/>
  <c r="BB13" i="27"/>
  <c r="BC13" i="27"/>
  <c r="BL13" i="27" s="1"/>
  <c r="E10" i="30"/>
  <c r="AX12" i="27"/>
  <c r="B20" i="30"/>
  <c r="AG15" i="27"/>
  <c r="S13" i="27"/>
  <c r="AQ13" i="27"/>
  <c r="AR13" i="27" s="1"/>
  <c r="AY13" i="27" s="1"/>
  <c r="BI12" i="27"/>
  <c r="BH12" i="27"/>
  <c r="AD15" i="27"/>
  <c r="AC15" i="27"/>
  <c r="AU16" i="27"/>
  <c r="AP14" i="27"/>
  <c r="AO14" i="27"/>
  <c r="U14" i="27"/>
  <c r="D12" i="30"/>
  <c r="I12" i="30" s="1"/>
  <c r="BD13" i="27"/>
  <c r="BG13" i="27" s="1"/>
  <c r="Q14" i="27"/>
  <c r="R14" i="27"/>
  <c r="AQ24" i="27" l="1"/>
  <c r="AR24" i="27" s="1"/>
  <c r="AS25" i="27"/>
  <c r="G21" i="30"/>
  <c r="BF24" i="27"/>
  <c r="AP25" i="27"/>
  <c r="AO25" i="27"/>
  <c r="AE25" i="27"/>
  <c r="AF25" i="27" s="1"/>
  <c r="AG25" i="27"/>
  <c r="U26" i="27"/>
  <c r="AC26" i="27"/>
  <c r="AD26" i="27"/>
  <c r="T13" i="27"/>
  <c r="BA13" i="27" s="1"/>
  <c r="AX13" i="27" s="1"/>
  <c r="D643" i="30"/>
  <c r="I643" i="30" s="1"/>
  <c r="B643" i="30"/>
  <c r="G720" i="30"/>
  <c r="G650" i="30"/>
  <c r="G676" i="30"/>
  <c r="G688" i="30"/>
  <c r="G661" i="30"/>
  <c r="G649" i="30"/>
  <c r="S26" i="27"/>
  <c r="T26" i="27" s="1"/>
  <c r="Q27" i="27"/>
  <c r="R27" i="27"/>
  <c r="I27" i="27"/>
  <c r="H8" i="30"/>
  <c r="BE15" i="27"/>
  <c r="F12" i="30"/>
  <c r="BB14" i="27"/>
  <c r="BC14" i="27"/>
  <c r="E11" i="30"/>
  <c r="B21" i="30"/>
  <c r="S14" i="27"/>
  <c r="T14" i="27" s="1"/>
  <c r="BA14" i="27" s="1"/>
  <c r="AE15" i="27"/>
  <c r="AF15" i="27" s="1"/>
  <c r="AZ15" i="27" s="1"/>
  <c r="AG16" i="27"/>
  <c r="AC16" i="27"/>
  <c r="AD16" i="27"/>
  <c r="BI13" i="27"/>
  <c r="BH13" i="27"/>
  <c r="D13" i="30"/>
  <c r="I13" i="30" s="1"/>
  <c r="AO15" i="27"/>
  <c r="AP15" i="27"/>
  <c r="AU17" i="27"/>
  <c r="BD14" i="27"/>
  <c r="BG14" i="27" s="1"/>
  <c r="BJ12" i="27"/>
  <c r="BK12" i="27" s="1"/>
  <c r="AT12" i="27" s="1"/>
  <c r="H9" i="30" s="1"/>
  <c r="U15" i="27"/>
  <c r="Q15" i="27"/>
  <c r="R15" i="27"/>
  <c r="AQ14" i="27"/>
  <c r="AR14" i="27" s="1"/>
  <c r="AY14" i="27" s="1"/>
  <c r="BL14" i="27" l="1"/>
  <c r="AQ25" i="27"/>
  <c r="AR25" i="27" s="1"/>
  <c r="BF25" i="27"/>
  <c r="G22" i="30"/>
  <c r="AS26" i="27"/>
  <c r="AP26" i="27"/>
  <c r="AO26" i="27"/>
  <c r="AG26" i="27"/>
  <c r="U27" i="27"/>
  <c r="AD27" i="27"/>
  <c r="AC27" i="27"/>
  <c r="AE26" i="27"/>
  <c r="AF26" i="27" s="1"/>
  <c r="D644" i="30"/>
  <c r="I644" i="30" s="1"/>
  <c r="B644" i="30"/>
  <c r="G689" i="30"/>
  <c r="G721" i="30"/>
  <c r="G677" i="30"/>
  <c r="G662" i="30"/>
  <c r="I28" i="27"/>
  <c r="Q28" i="27"/>
  <c r="R28" i="27"/>
  <c r="S27" i="27"/>
  <c r="T27" i="27" s="1"/>
  <c r="BE16" i="27"/>
  <c r="F13" i="30"/>
  <c r="AX14" i="27"/>
  <c r="B22" i="30"/>
  <c r="BB15" i="27"/>
  <c r="BC15" i="27"/>
  <c r="E12" i="30"/>
  <c r="AG17" i="27"/>
  <c r="AU18" i="27"/>
  <c r="D14" i="30"/>
  <c r="I14" i="30" s="1"/>
  <c r="AO16" i="27"/>
  <c r="AP16" i="27"/>
  <c r="S15" i="27"/>
  <c r="T15" i="27" s="1"/>
  <c r="BA15" i="27" s="1"/>
  <c r="AQ15" i="27"/>
  <c r="AR15" i="27" s="1"/>
  <c r="AY15" i="27" s="1"/>
  <c r="R16" i="27"/>
  <c r="Q16" i="27"/>
  <c r="U16" i="27"/>
  <c r="BD15" i="27"/>
  <c r="BG15" i="27" s="1"/>
  <c r="AE16" i="27"/>
  <c r="AF16" i="27" s="1"/>
  <c r="AZ16" i="27" s="1"/>
  <c r="BH14" i="27"/>
  <c r="BI14" i="27"/>
  <c r="AD17" i="27"/>
  <c r="AC17" i="27"/>
  <c r="BJ13" i="27"/>
  <c r="BK13" i="27" s="1"/>
  <c r="AT13" i="27" s="1"/>
  <c r="BL15" i="27" l="1"/>
  <c r="AQ26" i="27"/>
  <c r="AR26" i="27" s="1"/>
  <c r="G23" i="30"/>
  <c r="BF26" i="27"/>
  <c r="AS27" i="27"/>
  <c r="AE27" i="27"/>
  <c r="AF27" i="27" s="1"/>
  <c r="AO27" i="27"/>
  <c r="AP27" i="27"/>
  <c r="AG27" i="27"/>
  <c r="S28" i="27"/>
  <c r="T28" i="27" s="1"/>
  <c r="U28" i="27"/>
  <c r="AC28" i="27"/>
  <c r="AD28" i="27"/>
  <c r="D645" i="30"/>
  <c r="I645" i="30" s="1"/>
  <c r="B645" i="30"/>
  <c r="G690" i="30"/>
  <c r="G678" i="30"/>
  <c r="G722" i="30"/>
  <c r="G663" i="30"/>
  <c r="R29" i="27"/>
  <c r="Q29" i="27"/>
  <c r="I29" i="27"/>
  <c r="H10" i="30"/>
  <c r="BE17" i="27"/>
  <c r="F14" i="30"/>
  <c r="B23" i="30"/>
  <c r="BB16" i="27"/>
  <c r="BC16" i="27"/>
  <c r="E13" i="30"/>
  <c r="AX15" i="27"/>
  <c r="S16" i="27"/>
  <c r="T16" i="27" s="1"/>
  <c r="BA16" i="27" s="1"/>
  <c r="AE17" i="27"/>
  <c r="AF17" i="27" s="1"/>
  <c r="AZ17" i="27" s="1"/>
  <c r="AG18" i="27"/>
  <c r="BI15" i="27"/>
  <c r="BH15" i="27"/>
  <c r="AQ16" i="27"/>
  <c r="AR16" i="27" s="1"/>
  <c r="AY16" i="27" s="1"/>
  <c r="AO17" i="27"/>
  <c r="AP17" i="27"/>
  <c r="R17" i="27"/>
  <c r="Q17" i="27"/>
  <c r="U17" i="27"/>
  <c r="D15" i="30"/>
  <c r="I15" i="30" s="1"/>
  <c r="AD18" i="27"/>
  <c r="AC18" i="27"/>
  <c r="AU19" i="27"/>
  <c r="BD16" i="27"/>
  <c r="BG16" i="27" s="1"/>
  <c r="BJ14" i="27"/>
  <c r="BK14" i="27" s="1"/>
  <c r="AT14" i="27" s="1"/>
  <c r="H11" i="30" s="1"/>
  <c r="AQ27" i="27" l="1"/>
  <c r="AR27" i="27" s="1"/>
  <c r="AS28" i="27"/>
  <c r="BF27" i="27"/>
  <c r="G24" i="30"/>
  <c r="AO28" i="27"/>
  <c r="AP28" i="27"/>
  <c r="AG28" i="27"/>
  <c r="S29" i="27"/>
  <c r="T29" i="27" s="1"/>
  <c r="AE28" i="27"/>
  <c r="AF28" i="27" s="1"/>
  <c r="U29" i="27"/>
  <c r="AC29" i="27"/>
  <c r="AD29" i="27"/>
  <c r="D646" i="30"/>
  <c r="I646" i="30" s="1"/>
  <c r="B646" i="30"/>
  <c r="G680" i="30"/>
  <c r="G691" i="30"/>
  <c r="G665" i="30"/>
  <c r="G664" i="30"/>
  <c r="G679" i="30"/>
  <c r="G723" i="30"/>
  <c r="Q30" i="27"/>
  <c r="R30" i="27"/>
  <c r="I30" i="27"/>
  <c r="BL16" i="27"/>
  <c r="S17" i="27"/>
  <c r="T17" i="27" s="1"/>
  <c r="BA17" i="27" s="1"/>
  <c r="AX16" i="27"/>
  <c r="BE18" i="27"/>
  <c r="F15" i="30"/>
  <c r="BC17" i="27"/>
  <c r="BB17" i="27"/>
  <c r="E14" i="30"/>
  <c r="B24" i="30"/>
  <c r="BJ15" i="27"/>
  <c r="BK15" i="27" s="1"/>
  <c r="AT15" i="27" s="1"/>
  <c r="AE18" i="27"/>
  <c r="AF18" i="27" s="1"/>
  <c r="AZ18" i="27" s="1"/>
  <c r="R18" i="27"/>
  <c r="Q18" i="27"/>
  <c r="AU20" i="27"/>
  <c r="AQ17" i="27"/>
  <c r="AR17" i="27" s="1"/>
  <c r="AY17" i="27" s="1"/>
  <c r="BI16" i="27"/>
  <c r="BH16" i="27"/>
  <c r="AO18" i="27"/>
  <c r="AP18" i="27"/>
  <c r="D16" i="30"/>
  <c r="I16" i="30" s="1"/>
  <c r="BD17" i="27"/>
  <c r="BG17" i="27" s="1"/>
  <c r="U18" i="27"/>
  <c r="AQ28" i="27" l="1"/>
  <c r="AR28" i="27" s="1"/>
  <c r="AS29" i="27"/>
  <c r="G25" i="30"/>
  <c r="BF28" i="27"/>
  <c r="AO29" i="27"/>
  <c r="AP29" i="27"/>
  <c r="AG29" i="27"/>
  <c r="U30" i="27"/>
  <c r="AD30" i="27"/>
  <c r="AC30" i="27"/>
  <c r="AE29" i="27"/>
  <c r="AF29" i="27" s="1"/>
  <c r="AX17" i="27"/>
  <c r="D647" i="30"/>
  <c r="I647" i="30" s="1"/>
  <c r="B647" i="30"/>
  <c r="G692" i="30"/>
  <c r="G725" i="30"/>
  <c r="G724" i="30"/>
  <c r="R31" i="27"/>
  <c r="Q31" i="27"/>
  <c r="I31" i="27"/>
  <c r="S30" i="27"/>
  <c r="T30" i="27" s="1"/>
  <c r="H12" i="30"/>
  <c r="BL17" i="27"/>
  <c r="BE19" i="27"/>
  <c r="F16" i="30"/>
  <c r="BB18" i="27"/>
  <c r="BC18" i="27"/>
  <c r="E15" i="30"/>
  <c r="B25" i="30"/>
  <c r="S18" i="27"/>
  <c r="T18" i="27" s="1"/>
  <c r="BA18" i="27" s="1"/>
  <c r="AQ18" i="27"/>
  <c r="AR18" i="27" s="1"/>
  <c r="AY18" i="27" s="1"/>
  <c r="AU21" i="27"/>
  <c r="D17" i="30"/>
  <c r="I17" i="30" s="1"/>
  <c r="AZ19" i="27"/>
  <c r="BJ16" i="27"/>
  <c r="BK16" i="27" s="1"/>
  <c r="AT16" i="27" s="1"/>
  <c r="H13" i="30" s="1"/>
  <c r="BD18" i="27"/>
  <c r="BG18" i="27" s="1"/>
  <c r="BI17" i="27"/>
  <c r="BH17" i="27"/>
  <c r="BL18" i="27" l="1"/>
  <c r="BF29" i="27"/>
  <c r="G26" i="30"/>
  <c r="AS30" i="27"/>
  <c r="S31" i="27"/>
  <c r="T31" i="27" s="1"/>
  <c r="AE30" i="27"/>
  <c r="AF30" i="27" s="1"/>
  <c r="AO30" i="27"/>
  <c r="AP30" i="27"/>
  <c r="AQ29" i="27"/>
  <c r="AR29" i="27" s="1"/>
  <c r="AG30" i="27"/>
  <c r="U31" i="27"/>
  <c r="AC31" i="27"/>
  <c r="AD31" i="27"/>
  <c r="D648" i="30"/>
  <c r="I648" i="30" s="1"/>
  <c r="B648" i="30"/>
  <c r="G693" i="30"/>
  <c r="I32" i="27"/>
  <c r="Q32" i="27"/>
  <c r="R32" i="27"/>
  <c r="AX18" i="27"/>
  <c r="BE20" i="27"/>
  <c r="F17" i="30"/>
  <c r="BC19" i="27"/>
  <c r="BB19" i="27"/>
  <c r="E16" i="30"/>
  <c r="B26" i="30"/>
  <c r="BJ17" i="27"/>
  <c r="BK17" i="27" s="1"/>
  <c r="AT17" i="27" s="1"/>
  <c r="AY19" i="27"/>
  <c r="BI18" i="27"/>
  <c r="BH18" i="27"/>
  <c r="AZ20" i="27"/>
  <c r="BD19" i="27"/>
  <c r="BG19" i="27" s="1"/>
  <c r="D18" i="30"/>
  <c r="I18" i="30" s="1"/>
  <c r="BA19" i="27"/>
  <c r="AU22" i="27"/>
  <c r="BL19" i="27" l="1"/>
  <c r="BF30" i="27"/>
  <c r="G27" i="30"/>
  <c r="S32" i="27"/>
  <c r="T32" i="27" s="1"/>
  <c r="AS31" i="27"/>
  <c r="AO31" i="27"/>
  <c r="AP31" i="27"/>
  <c r="AQ30" i="27"/>
  <c r="AR30" i="27" s="1"/>
  <c r="AG31" i="27"/>
  <c r="U32" i="27"/>
  <c r="AD32" i="27"/>
  <c r="AC32" i="27"/>
  <c r="AE31" i="27"/>
  <c r="AF31" i="27" s="1"/>
  <c r="D649" i="30"/>
  <c r="I649" i="30" s="1"/>
  <c r="B649" i="30"/>
  <c r="G695" i="30"/>
  <c r="G694" i="30"/>
  <c r="I33" i="27"/>
  <c r="Q33" i="27"/>
  <c r="R33" i="27"/>
  <c r="H14" i="30"/>
  <c r="AX19" i="27"/>
  <c r="BE21" i="27"/>
  <c r="F18" i="30"/>
  <c r="BB20" i="27"/>
  <c r="BC20" i="27"/>
  <c r="BL20" i="27" s="1"/>
  <c r="E17" i="30"/>
  <c r="B27" i="30"/>
  <c r="BJ18" i="27"/>
  <c r="BK18" i="27" s="1"/>
  <c r="AT18" i="27" s="1"/>
  <c r="H15" i="30" s="1"/>
  <c r="AZ21" i="27"/>
  <c r="BA20" i="27"/>
  <c r="AY20" i="27"/>
  <c r="AY21" i="27"/>
  <c r="D19" i="30"/>
  <c r="I19" i="30" s="1"/>
  <c r="BD20" i="27"/>
  <c r="BG20" i="27" s="1"/>
  <c r="BI19" i="27"/>
  <c r="BH19" i="27"/>
  <c r="BA21" i="27"/>
  <c r="AU23" i="27"/>
  <c r="AS32" i="27" l="1"/>
  <c r="G28" i="30"/>
  <c r="BF31" i="27"/>
  <c r="AE32" i="27"/>
  <c r="AF32" i="27" s="1"/>
  <c r="AO32" i="27"/>
  <c r="AP32" i="27"/>
  <c r="AQ31" i="27"/>
  <c r="AR31" i="27" s="1"/>
  <c r="AG32" i="27"/>
  <c r="U33" i="27"/>
  <c r="AC33" i="27"/>
  <c r="AD33" i="27"/>
  <c r="S33" i="27"/>
  <c r="T33" i="27" s="1"/>
  <c r="D650" i="30"/>
  <c r="I650" i="30" s="1"/>
  <c r="B650" i="30"/>
  <c r="I34" i="27"/>
  <c r="Q34" i="27"/>
  <c r="R34" i="27"/>
  <c r="AX20" i="27"/>
  <c r="BE22" i="27"/>
  <c r="F19" i="30"/>
  <c r="B28" i="30"/>
  <c r="BC21" i="27"/>
  <c r="BB21" i="27"/>
  <c r="E18" i="30"/>
  <c r="AZ22" i="27"/>
  <c r="AX21" i="27"/>
  <c r="D20" i="30"/>
  <c r="I20" i="30" s="1"/>
  <c r="BJ19" i="27"/>
  <c r="BK19" i="27" s="1"/>
  <c r="BI20" i="27"/>
  <c r="BH20" i="27"/>
  <c r="BD21" i="27"/>
  <c r="BG21" i="27" s="1"/>
  <c r="AU24" i="27"/>
  <c r="G29" i="30" l="1"/>
  <c r="BF32" i="27"/>
  <c r="AS33" i="27"/>
  <c r="AQ32" i="27"/>
  <c r="AR32" i="27" s="1"/>
  <c r="AO33" i="27"/>
  <c r="AP33" i="27"/>
  <c r="AG33" i="27"/>
  <c r="U34" i="27"/>
  <c r="AD34" i="27"/>
  <c r="AC34" i="27"/>
  <c r="AE33" i="27"/>
  <c r="AF33" i="27" s="1"/>
  <c r="D651" i="30"/>
  <c r="I651" i="30" s="1"/>
  <c r="B651" i="30"/>
  <c r="AT19" i="27"/>
  <c r="Q35" i="27"/>
  <c r="R35" i="27"/>
  <c r="S34" i="27"/>
  <c r="T34" i="27" s="1"/>
  <c r="I35" i="27"/>
  <c r="BL21" i="27"/>
  <c r="BE23" i="27"/>
  <c r="F20" i="30"/>
  <c r="BB22" i="27"/>
  <c r="BC22" i="27"/>
  <c r="BL22" i="27" s="1"/>
  <c r="E19" i="30"/>
  <c r="B29" i="30"/>
  <c r="AZ23" i="27"/>
  <c r="BA22" i="27"/>
  <c r="AY22" i="27"/>
  <c r="BJ20" i="27"/>
  <c r="BK20" i="27" s="1"/>
  <c r="AU25" i="27"/>
  <c r="BH21" i="27"/>
  <c r="BI21" i="27"/>
  <c r="BD22" i="27"/>
  <c r="BG22" i="27" s="1"/>
  <c r="D21" i="30"/>
  <c r="I21" i="30" s="1"/>
  <c r="AS34" i="27" l="1"/>
  <c r="G30" i="30"/>
  <c r="BF33" i="27"/>
  <c r="AQ33" i="27"/>
  <c r="AR33" i="27" s="1"/>
  <c r="AP34" i="27"/>
  <c r="AO34" i="27"/>
  <c r="AG34" i="27"/>
  <c r="U35" i="27"/>
  <c r="AE34" i="27"/>
  <c r="AF34" i="27" s="1"/>
  <c r="AC35" i="27"/>
  <c r="AD35" i="27"/>
  <c r="D652" i="30"/>
  <c r="I652" i="30" s="1"/>
  <c r="B652" i="30"/>
  <c r="I36" i="27"/>
  <c r="AT20" i="27"/>
  <c r="H17" i="30" s="1"/>
  <c r="H16" i="30"/>
  <c r="Q36" i="27"/>
  <c r="R36" i="27"/>
  <c r="S35" i="27"/>
  <c r="T35" i="27" s="1"/>
  <c r="AX22" i="27"/>
  <c r="BE24" i="27"/>
  <c r="F21" i="30"/>
  <c r="B30" i="30"/>
  <c r="BC23" i="27"/>
  <c r="BB23" i="27"/>
  <c r="E20" i="30"/>
  <c r="BA23" i="27"/>
  <c r="AZ24" i="27"/>
  <c r="BJ21" i="27"/>
  <c r="BK21" i="27" s="1"/>
  <c r="BD23" i="27"/>
  <c r="BG23" i="27" s="1"/>
  <c r="AY23" i="27"/>
  <c r="D22" i="30"/>
  <c r="I22" i="30" s="1"/>
  <c r="BI22" i="27"/>
  <c r="BH22" i="27"/>
  <c r="AU26" i="27"/>
  <c r="AQ34" i="27" l="1"/>
  <c r="AR34" i="27" s="1"/>
  <c r="AS35" i="27"/>
  <c r="G31" i="30"/>
  <c r="BF34" i="27"/>
  <c r="AP35" i="27"/>
  <c r="AO35" i="27"/>
  <c r="AE35" i="27"/>
  <c r="AF35" i="27" s="1"/>
  <c r="AG35" i="27"/>
  <c r="U36" i="27"/>
  <c r="AD36" i="27"/>
  <c r="AC36" i="27"/>
  <c r="D653" i="30"/>
  <c r="I653" i="30" s="1"/>
  <c r="B653" i="30"/>
  <c r="Q37" i="27"/>
  <c r="R37" i="27"/>
  <c r="AT21" i="27"/>
  <c r="H18" i="30" s="1"/>
  <c r="S36" i="27"/>
  <c r="T36" i="27" s="1"/>
  <c r="I37" i="27"/>
  <c r="BL23" i="27"/>
  <c r="AX23" i="27"/>
  <c r="BE25" i="27"/>
  <c r="F22" i="30"/>
  <c r="BB24" i="27"/>
  <c r="BC24" i="27"/>
  <c r="BL24" i="27" s="1"/>
  <c r="E21" i="30"/>
  <c r="BA24" i="27"/>
  <c r="B31" i="30"/>
  <c r="BJ22" i="27"/>
  <c r="BK22" i="27" s="1"/>
  <c r="AZ25" i="27"/>
  <c r="AY24" i="27"/>
  <c r="BI23" i="27"/>
  <c r="BH23" i="27"/>
  <c r="D23" i="30"/>
  <c r="I23" i="30" s="1"/>
  <c r="BD24" i="27"/>
  <c r="BG24" i="27" s="1"/>
  <c r="AU27" i="27"/>
  <c r="AQ35" i="27" l="1"/>
  <c r="AR35" i="27" s="1"/>
  <c r="AE36" i="27"/>
  <c r="AF36" i="27" s="1"/>
  <c r="AS36" i="27"/>
  <c r="BF35" i="27"/>
  <c r="G32" i="30"/>
  <c r="AP36" i="27"/>
  <c r="AO36" i="27"/>
  <c r="AG36" i="27"/>
  <c r="U37" i="27"/>
  <c r="AC37" i="27"/>
  <c r="AD37" i="27"/>
  <c r="D654" i="30"/>
  <c r="I654" i="30" s="1"/>
  <c r="B654" i="30"/>
  <c r="AT22" i="27"/>
  <c r="H19" i="30" s="1"/>
  <c r="I38" i="27"/>
  <c r="S37" i="27"/>
  <c r="T37" i="27" s="1"/>
  <c r="Q38" i="27"/>
  <c r="R38" i="27"/>
  <c r="AX24" i="27"/>
  <c r="BE26" i="27"/>
  <c r="F23" i="30"/>
  <c r="B32" i="30"/>
  <c r="BC25" i="27"/>
  <c r="BB25" i="27"/>
  <c r="E22" i="30"/>
  <c r="BA25" i="27"/>
  <c r="BJ23" i="27"/>
  <c r="BK23" i="27" s="1"/>
  <c r="AY25" i="27"/>
  <c r="BD25" i="27"/>
  <c r="BG25" i="27" s="1"/>
  <c r="BI24" i="27"/>
  <c r="BH24" i="27"/>
  <c r="AZ26" i="27"/>
  <c r="D24" i="30"/>
  <c r="I24" i="30" s="1"/>
  <c r="AU28" i="27"/>
  <c r="AZ27" i="27"/>
  <c r="AQ36" i="27" l="1"/>
  <c r="AR36" i="27" s="1"/>
  <c r="AS37" i="27"/>
  <c r="G33" i="30"/>
  <c r="BF36" i="27"/>
  <c r="AP37" i="27"/>
  <c r="AO37" i="27"/>
  <c r="AG37" i="27"/>
  <c r="AE37" i="27"/>
  <c r="AF37" i="27" s="1"/>
  <c r="U38" i="27"/>
  <c r="AC38" i="27"/>
  <c r="AD38" i="27"/>
  <c r="D655" i="30"/>
  <c r="I655" i="30" s="1"/>
  <c r="B655" i="30"/>
  <c r="AT23" i="27"/>
  <c r="H20" i="30" s="1"/>
  <c r="R39" i="27"/>
  <c r="Q39" i="27"/>
  <c r="I39" i="27"/>
  <c r="S38" i="27"/>
  <c r="T38" i="27" s="1"/>
  <c r="AX25" i="27"/>
  <c r="BL25" i="27"/>
  <c r="BE27" i="27"/>
  <c r="F24" i="30"/>
  <c r="B33" i="30"/>
  <c r="BB26" i="27"/>
  <c r="BC26" i="27"/>
  <c r="E23" i="30"/>
  <c r="BA26" i="27"/>
  <c r="AU29" i="27"/>
  <c r="BJ24" i="27"/>
  <c r="BK24" i="27" s="1"/>
  <c r="BI25" i="27"/>
  <c r="BH25" i="27"/>
  <c r="BD26" i="27"/>
  <c r="BG26" i="27" s="1"/>
  <c r="D25" i="30"/>
  <c r="I25" i="30" s="1"/>
  <c r="AY26" i="27"/>
  <c r="AQ37" i="27" l="1"/>
  <c r="AR37" i="27" s="1"/>
  <c r="BF37" i="27"/>
  <c r="G34" i="30"/>
  <c r="AS38" i="27"/>
  <c r="S39" i="27"/>
  <c r="T39" i="27" s="1"/>
  <c r="AO38" i="27"/>
  <c r="AP38" i="27"/>
  <c r="AG38" i="27"/>
  <c r="U39" i="27"/>
  <c r="AC39" i="27"/>
  <c r="AD39" i="27"/>
  <c r="AE38" i="27"/>
  <c r="AF38" i="27" s="1"/>
  <c r="D656" i="30"/>
  <c r="I656" i="30" s="1"/>
  <c r="B656" i="30"/>
  <c r="I40" i="27"/>
  <c r="AT24" i="27"/>
  <c r="H21" i="30" s="1"/>
  <c r="Q40" i="27"/>
  <c r="R40" i="27"/>
  <c r="BL26" i="27"/>
  <c r="AY27" i="27"/>
  <c r="BE28" i="27"/>
  <c r="F25" i="30"/>
  <c r="BB27" i="27"/>
  <c r="BC27" i="27"/>
  <c r="BL27" i="27" s="1"/>
  <c r="E24" i="30"/>
  <c r="B34" i="30"/>
  <c r="AX26" i="27"/>
  <c r="AZ28" i="27"/>
  <c r="BJ25" i="27"/>
  <c r="BK25" i="27" s="1"/>
  <c r="BA27" i="27"/>
  <c r="AU30" i="27"/>
  <c r="D26" i="30"/>
  <c r="I26" i="30" s="1"/>
  <c r="BI26" i="27"/>
  <c r="BH26" i="27"/>
  <c r="BD27" i="27"/>
  <c r="BG27" i="27" s="1"/>
  <c r="AS39" i="27" l="1"/>
  <c r="G35" i="30"/>
  <c r="BF38" i="27"/>
  <c r="AX27" i="27"/>
  <c r="AP39" i="27"/>
  <c r="AO39" i="27"/>
  <c r="AQ38" i="27"/>
  <c r="AR38" i="27" s="1"/>
  <c r="AG39" i="27"/>
  <c r="AE39" i="27"/>
  <c r="AF39" i="27" s="1"/>
  <c r="S40" i="27"/>
  <c r="T40" i="27" s="1"/>
  <c r="U40" i="27"/>
  <c r="AD40" i="27"/>
  <c r="AC40" i="27"/>
  <c r="D657" i="30"/>
  <c r="I657" i="30" s="1"/>
  <c r="B657" i="30"/>
  <c r="Q41" i="27"/>
  <c r="R41" i="27"/>
  <c r="AT25" i="27"/>
  <c r="H22" i="30" s="1"/>
  <c r="I41" i="27"/>
  <c r="BE29" i="27"/>
  <c r="F26" i="30"/>
  <c r="BB28" i="27"/>
  <c r="BC28" i="27"/>
  <c r="E25" i="30"/>
  <c r="B35" i="30"/>
  <c r="AY28" i="27"/>
  <c r="BJ26" i="27"/>
  <c r="BK26" i="27" s="1"/>
  <c r="D27" i="30"/>
  <c r="I27" i="30" s="1"/>
  <c r="AU31" i="27"/>
  <c r="BA28" i="27"/>
  <c r="BD28" i="27"/>
  <c r="BG28" i="27" s="1"/>
  <c r="BI27" i="27"/>
  <c r="BH27" i="27"/>
  <c r="AZ29" i="27"/>
  <c r="BL28" i="27" l="1"/>
  <c r="AQ39" i="27"/>
  <c r="AR39" i="27" s="1"/>
  <c r="G36" i="30"/>
  <c r="BF39" i="27"/>
  <c r="AS40" i="27"/>
  <c r="AO40" i="27"/>
  <c r="AP40" i="27"/>
  <c r="AG40" i="27"/>
  <c r="S41" i="27"/>
  <c r="T41" i="27" s="1"/>
  <c r="U41" i="27"/>
  <c r="AE40" i="27"/>
  <c r="AF40" i="27" s="1"/>
  <c r="AD41" i="27"/>
  <c r="AC41" i="27"/>
  <c r="D658" i="30"/>
  <c r="I658" i="30" s="1"/>
  <c r="B658" i="30"/>
  <c r="I42" i="27"/>
  <c r="AT26" i="27"/>
  <c r="H23" i="30" s="1"/>
  <c r="R42" i="27"/>
  <c r="Q42" i="27"/>
  <c r="AX28" i="27"/>
  <c r="BJ27" i="27"/>
  <c r="BK27" i="27" s="1"/>
  <c r="BE30" i="27"/>
  <c r="F27" i="30"/>
  <c r="B36" i="30"/>
  <c r="BB29" i="27"/>
  <c r="BC29" i="27"/>
  <c r="E26" i="30"/>
  <c r="BA29" i="27"/>
  <c r="AU32" i="27"/>
  <c r="BI28" i="27"/>
  <c r="BH28" i="27"/>
  <c r="D28" i="30"/>
  <c r="I28" i="30" s="1"/>
  <c r="AZ30" i="27"/>
  <c r="AY29" i="27"/>
  <c r="BD29" i="27"/>
  <c r="BG29" i="27" s="1"/>
  <c r="BL29" i="27" l="1"/>
  <c r="BF40" i="27"/>
  <c r="G37" i="30"/>
  <c r="AS41" i="27"/>
  <c r="S42" i="27"/>
  <c r="T42" i="27" s="1"/>
  <c r="AP41" i="27"/>
  <c r="AO41" i="27"/>
  <c r="AQ40" i="27"/>
  <c r="AR40" i="27" s="1"/>
  <c r="AE41" i="27"/>
  <c r="AF41" i="27" s="1"/>
  <c r="AG41" i="27"/>
  <c r="U42" i="27"/>
  <c r="AD42" i="27"/>
  <c r="AC42" i="27"/>
  <c r="D659" i="30"/>
  <c r="I659" i="30" s="1"/>
  <c r="B659" i="30"/>
  <c r="I43" i="27"/>
  <c r="AT27" i="27"/>
  <c r="H24" i="30" s="1"/>
  <c r="Q43" i="27"/>
  <c r="R43" i="27"/>
  <c r="BE31" i="27"/>
  <c r="F28" i="30"/>
  <c r="BB30" i="27"/>
  <c r="BC30" i="27"/>
  <c r="E27" i="30"/>
  <c r="B37" i="30"/>
  <c r="BJ28" i="27"/>
  <c r="BK28" i="27" s="1"/>
  <c r="BA30" i="27"/>
  <c r="AX29" i="27"/>
  <c r="AY30" i="27"/>
  <c r="AZ31" i="27"/>
  <c r="BI29" i="27"/>
  <c r="BH29" i="27"/>
  <c r="D29" i="30"/>
  <c r="I29" i="30" s="1"/>
  <c r="BD30" i="27"/>
  <c r="BG30" i="27" s="1"/>
  <c r="AU33" i="27"/>
  <c r="BL30" i="27" l="1"/>
  <c r="AQ41" i="27"/>
  <c r="AR41" i="27" s="1"/>
  <c r="BF41" i="27"/>
  <c r="G38" i="30"/>
  <c r="AS42" i="27"/>
  <c r="AO42" i="27"/>
  <c r="AP42" i="27"/>
  <c r="AG42" i="27"/>
  <c r="AE42" i="27"/>
  <c r="AF42" i="27" s="1"/>
  <c r="U43" i="27"/>
  <c r="AD43" i="27"/>
  <c r="AC43" i="27"/>
  <c r="D660" i="30"/>
  <c r="I660" i="30" s="1"/>
  <c r="B660" i="30"/>
  <c r="Q44" i="27"/>
  <c r="R44" i="27"/>
  <c r="I44" i="27"/>
  <c r="AT28" i="27"/>
  <c r="H25" i="30" s="1"/>
  <c r="S43" i="27"/>
  <c r="T43" i="27" s="1"/>
  <c r="BE32" i="27"/>
  <c r="F29" i="30"/>
  <c r="AX30" i="27"/>
  <c r="BC31" i="27"/>
  <c r="BB31" i="27"/>
  <c r="E28" i="30"/>
  <c r="B38" i="30"/>
  <c r="BJ29" i="27"/>
  <c r="BK29" i="27" s="1"/>
  <c r="AZ32" i="27"/>
  <c r="AY31" i="27"/>
  <c r="BI30" i="27"/>
  <c r="BH30" i="27"/>
  <c r="D30" i="30"/>
  <c r="I30" i="30" s="1"/>
  <c r="AU34" i="27"/>
  <c r="BD31" i="27"/>
  <c r="BG31" i="27" s="1"/>
  <c r="BA31" i="27"/>
  <c r="AE43" i="27" l="1"/>
  <c r="AF43" i="27" s="1"/>
  <c r="AS43" i="27"/>
  <c r="BF42" i="27"/>
  <c r="G39" i="30"/>
  <c r="AP43" i="27"/>
  <c r="AO43" i="27"/>
  <c r="AQ42" i="27"/>
  <c r="AR42" i="27" s="1"/>
  <c r="AG43" i="27"/>
  <c r="U44" i="27"/>
  <c r="AD44" i="27"/>
  <c r="AC44" i="27"/>
  <c r="S44" i="27"/>
  <c r="T44" i="27" s="1"/>
  <c r="D661" i="30"/>
  <c r="I661" i="30" s="1"/>
  <c r="B661" i="30"/>
  <c r="I45" i="27"/>
  <c r="AT29" i="27"/>
  <c r="H26" i="30" s="1"/>
  <c r="Q45" i="27"/>
  <c r="R45" i="27"/>
  <c r="BL31" i="27"/>
  <c r="BA32" i="27"/>
  <c r="AX31" i="27"/>
  <c r="BE33" i="27"/>
  <c r="F30" i="30"/>
  <c r="B39" i="30"/>
  <c r="BB32" i="27"/>
  <c r="BC32" i="27"/>
  <c r="E29" i="30"/>
  <c r="AZ33" i="27"/>
  <c r="AY32" i="27"/>
  <c r="BD32" i="27"/>
  <c r="BG32" i="27" s="1"/>
  <c r="BJ30" i="27"/>
  <c r="BK30" i="27" s="1"/>
  <c r="D31" i="30"/>
  <c r="I31" i="30" s="1"/>
  <c r="BI31" i="27"/>
  <c r="BH31" i="27"/>
  <c r="AU35" i="27"/>
  <c r="BL32" i="27" l="1"/>
  <c r="AQ43" i="27"/>
  <c r="AR43" i="27" s="1"/>
  <c r="AE44" i="27"/>
  <c r="AF44" i="27" s="1"/>
  <c r="AS44" i="27"/>
  <c r="G40" i="30"/>
  <c r="BF43" i="27"/>
  <c r="AP44" i="27"/>
  <c r="AO44" i="27"/>
  <c r="AX32" i="27"/>
  <c r="AG44" i="27"/>
  <c r="U45" i="27"/>
  <c r="AC45" i="27"/>
  <c r="AD45" i="27"/>
  <c r="S45" i="27"/>
  <c r="T45" i="27" s="1"/>
  <c r="D662" i="30"/>
  <c r="I662" i="30" s="1"/>
  <c r="B662" i="30"/>
  <c r="R46" i="27"/>
  <c r="Q46" i="27"/>
  <c r="AT30" i="27"/>
  <c r="H27" i="30" s="1"/>
  <c r="I46" i="27"/>
  <c r="BE34" i="27"/>
  <c r="F31" i="30"/>
  <c r="AZ34" i="27"/>
  <c r="BB33" i="27"/>
  <c r="BC33" i="27"/>
  <c r="BL33" i="27" s="1"/>
  <c r="E30" i="30"/>
  <c r="B40" i="30"/>
  <c r="BA33" i="27"/>
  <c r="BJ31" i="27"/>
  <c r="BK31" i="27" s="1"/>
  <c r="AY33" i="27"/>
  <c r="BD33" i="27"/>
  <c r="BG33" i="27" s="1"/>
  <c r="BI32" i="27"/>
  <c r="BH32" i="27"/>
  <c r="D32" i="30"/>
  <c r="I32" i="30" s="1"/>
  <c r="AU36" i="27"/>
  <c r="S46" i="27" l="1"/>
  <c r="T46" i="27" s="1"/>
  <c r="AQ44" i="27"/>
  <c r="AR44" i="27" s="1"/>
  <c r="BF44" i="27"/>
  <c r="G41" i="30"/>
  <c r="AS45" i="27"/>
  <c r="AO45" i="27"/>
  <c r="AP45" i="27"/>
  <c r="AG45" i="27"/>
  <c r="U46" i="27"/>
  <c r="AE45" i="27"/>
  <c r="AF45" i="27" s="1"/>
  <c r="AD46" i="27"/>
  <c r="AC46" i="27"/>
  <c r="D663" i="30"/>
  <c r="I663" i="30" s="1"/>
  <c r="B663" i="30"/>
  <c r="AT31" i="27"/>
  <c r="H28" i="30" s="1"/>
  <c r="I47" i="27"/>
  <c r="R47" i="27"/>
  <c r="Q47" i="27"/>
  <c r="BJ32" i="27"/>
  <c r="BK32" i="27" s="1"/>
  <c r="BE35" i="27"/>
  <c r="F32" i="30"/>
  <c r="B41" i="30"/>
  <c r="AX33" i="27"/>
  <c r="BB34" i="27"/>
  <c r="BC34" i="27"/>
  <c r="BL34" i="27" s="1"/>
  <c r="E31" i="30"/>
  <c r="AY34" i="27"/>
  <c r="AZ35" i="27"/>
  <c r="BD34" i="27"/>
  <c r="BG34" i="27" s="1"/>
  <c r="D33" i="30"/>
  <c r="I33" i="30" s="1"/>
  <c r="BI33" i="27"/>
  <c r="BH33" i="27"/>
  <c r="AU37" i="27"/>
  <c r="BA34" i="27"/>
  <c r="AE46" i="27" l="1"/>
  <c r="AF46" i="27" s="1"/>
  <c r="AS46" i="27"/>
  <c r="BF45" i="27"/>
  <c r="G42" i="30"/>
  <c r="AO46" i="27"/>
  <c r="AP46" i="27"/>
  <c r="AQ45" i="27"/>
  <c r="AR45" i="27" s="1"/>
  <c r="S47" i="27"/>
  <c r="T47" i="27" s="1"/>
  <c r="AG46" i="27"/>
  <c r="U47" i="27"/>
  <c r="AD47" i="27"/>
  <c r="AC47" i="27"/>
  <c r="D664" i="30"/>
  <c r="I664" i="30" s="1"/>
  <c r="B664" i="30"/>
  <c r="I48" i="27"/>
  <c r="AT32" i="27"/>
  <c r="H29" i="30" s="1"/>
  <c r="Q48" i="27"/>
  <c r="R48" i="27"/>
  <c r="AX34" i="27"/>
  <c r="AZ36" i="27"/>
  <c r="BE36" i="27"/>
  <c r="F33" i="30"/>
  <c r="BB35" i="27"/>
  <c r="BC35" i="27"/>
  <c r="BL35" i="27" s="1"/>
  <c r="E32" i="30"/>
  <c r="B42" i="30"/>
  <c r="BA35" i="27"/>
  <c r="BJ33" i="27"/>
  <c r="BK33" i="27" s="1"/>
  <c r="BD35" i="27"/>
  <c r="BG35" i="27" s="1"/>
  <c r="AU38" i="27"/>
  <c r="D34" i="30"/>
  <c r="I34" i="30" s="1"/>
  <c r="AY35" i="27"/>
  <c r="BI34" i="27"/>
  <c r="BH34" i="27"/>
  <c r="AS47" i="27" l="1"/>
  <c r="BF46" i="27"/>
  <c r="G43" i="30"/>
  <c r="AO47" i="27"/>
  <c r="AP47" i="27"/>
  <c r="AQ46" i="27"/>
  <c r="AR46" i="27" s="1"/>
  <c r="AE47" i="27"/>
  <c r="AF47" i="27" s="1"/>
  <c r="AG47" i="27"/>
  <c r="U48" i="27"/>
  <c r="AC48" i="27"/>
  <c r="AD48" i="27"/>
  <c r="S48" i="27"/>
  <c r="T48" i="27" s="1"/>
  <c r="D665" i="30"/>
  <c r="I665" i="30" s="1"/>
  <c r="B665" i="30"/>
  <c r="I49" i="27"/>
  <c r="R49" i="27"/>
  <c r="Q49" i="27"/>
  <c r="AT33" i="27"/>
  <c r="H30" i="30" s="1"/>
  <c r="AZ37" i="27"/>
  <c r="BE37" i="27"/>
  <c r="F34" i="30"/>
  <c r="B43" i="30"/>
  <c r="BC36" i="27"/>
  <c r="BB36" i="27"/>
  <c r="E33" i="30"/>
  <c r="AX35" i="27"/>
  <c r="BA36" i="27"/>
  <c r="BJ34" i="27"/>
  <c r="BK34" i="27" s="1"/>
  <c r="AU39" i="27"/>
  <c r="BI35" i="27"/>
  <c r="BH35" i="27"/>
  <c r="BD36" i="27"/>
  <c r="BG36" i="27" s="1"/>
  <c r="D35" i="30"/>
  <c r="I35" i="30" s="1"/>
  <c r="AY36" i="27"/>
  <c r="S49" i="27" l="1"/>
  <c r="T49" i="27" s="1"/>
  <c r="G44" i="30"/>
  <c r="BF47" i="27"/>
  <c r="AS48" i="27"/>
  <c r="AQ47" i="27"/>
  <c r="AR47" i="27" s="1"/>
  <c r="AP48" i="27"/>
  <c r="AO48" i="27"/>
  <c r="AG48" i="27"/>
  <c r="BJ35" i="27"/>
  <c r="BK35" i="27" s="1"/>
  <c r="AT35" i="27" s="1"/>
  <c r="H32" i="30" s="1"/>
  <c r="U49" i="27"/>
  <c r="AE48" i="27"/>
  <c r="AF48" i="27" s="1"/>
  <c r="AC49" i="27"/>
  <c r="AD49" i="27"/>
  <c r="D666" i="30"/>
  <c r="I666" i="30" s="1"/>
  <c r="B666" i="30"/>
  <c r="AT34" i="27"/>
  <c r="H31" i="30" s="1"/>
  <c r="I50" i="27"/>
  <c r="R50" i="27"/>
  <c r="Q50" i="27"/>
  <c r="AZ38" i="27"/>
  <c r="BL36" i="27"/>
  <c r="BE38" i="27"/>
  <c r="F35" i="30"/>
  <c r="AX36" i="27"/>
  <c r="BB37" i="27"/>
  <c r="BC37" i="27"/>
  <c r="E34" i="30"/>
  <c r="B44" i="30"/>
  <c r="AY37" i="27"/>
  <c r="AU40" i="27"/>
  <c r="BD37" i="27"/>
  <c r="BG37" i="27" s="1"/>
  <c r="BA37" i="27"/>
  <c r="D36" i="30"/>
  <c r="I36" i="30" s="1"/>
  <c r="BI36" i="27"/>
  <c r="BH36" i="27"/>
  <c r="AQ48" i="27" l="1"/>
  <c r="AR48" i="27" s="1"/>
  <c r="BF48" i="27"/>
  <c r="G45" i="30"/>
  <c r="AS49" i="27"/>
  <c r="AP49" i="27"/>
  <c r="AO49" i="27"/>
  <c r="S50" i="27"/>
  <c r="T50" i="27" s="1"/>
  <c r="AG49" i="27"/>
  <c r="AE49" i="27"/>
  <c r="AF49" i="27" s="1"/>
  <c r="U50" i="27"/>
  <c r="AC50" i="27"/>
  <c r="AD50" i="27"/>
  <c r="D667" i="30"/>
  <c r="I667" i="30" s="1"/>
  <c r="B667" i="30"/>
  <c r="Q51" i="27"/>
  <c r="R51" i="27"/>
  <c r="I51" i="27"/>
  <c r="BL37" i="27"/>
  <c r="AX37" i="27"/>
  <c r="BE39" i="27"/>
  <c r="F36" i="30"/>
  <c r="BB38" i="27"/>
  <c r="BC38" i="27"/>
  <c r="E35" i="30"/>
  <c r="B45" i="30"/>
  <c r="AY38" i="27"/>
  <c r="BA38" i="27"/>
  <c r="AU41" i="27"/>
  <c r="D37" i="30"/>
  <c r="I37" i="30" s="1"/>
  <c r="BJ36" i="27"/>
  <c r="BK36" i="27" s="1"/>
  <c r="AZ39" i="27"/>
  <c r="BI37" i="27"/>
  <c r="BH37" i="27"/>
  <c r="BD38" i="27"/>
  <c r="BG38" i="27" s="1"/>
  <c r="BL38" i="27" l="1"/>
  <c r="AQ49" i="27"/>
  <c r="AR49" i="27" s="1"/>
  <c r="AS50" i="27"/>
  <c r="BF49" i="27"/>
  <c r="G46" i="30"/>
  <c r="AP50" i="27"/>
  <c r="AO50" i="27"/>
  <c r="AG50" i="27"/>
  <c r="U51" i="27"/>
  <c r="AD51" i="27"/>
  <c r="AC51" i="27"/>
  <c r="AE50" i="27"/>
  <c r="AF50" i="27" s="1"/>
  <c r="D668" i="30"/>
  <c r="I668" i="30" s="1"/>
  <c r="B668" i="30"/>
  <c r="AT36" i="27"/>
  <c r="H33" i="30" s="1"/>
  <c r="Q52" i="27"/>
  <c r="R52" i="27"/>
  <c r="S51" i="27"/>
  <c r="T51" i="27" s="1"/>
  <c r="I52" i="27"/>
  <c r="AX38" i="27"/>
  <c r="BE40" i="27"/>
  <c r="F37" i="30"/>
  <c r="BC39" i="27"/>
  <c r="BB39" i="27"/>
  <c r="E36" i="30"/>
  <c r="B46" i="30"/>
  <c r="BA39" i="27"/>
  <c r="AZ40" i="27"/>
  <c r="AY39" i="27"/>
  <c r="BH38" i="27"/>
  <c r="BI38" i="27"/>
  <c r="D38" i="30"/>
  <c r="I38" i="30" s="1"/>
  <c r="AU42" i="27"/>
  <c r="BJ37" i="27"/>
  <c r="BK37" i="27" s="1"/>
  <c r="BD39" i="27"/>
  <c r="BG39" i="27" s="1"/>
  <c r="AQ50" i="27" l="1"/>
  <c r="AR50" i="27" s="1"/>
  <c r="BF50" i="27"/>
  <c r="G47" i="30"/>
  <c r="AS51" i="27"/>
  <c r="AE51" i="27"/>
  <c r="AF51" i="27" s="1"/>
  <c r="AO51" i="27"/>
  <c r="AP51" i="27"/>
  <c r="AG51" i="27"/>
  <c r="U52" i="27"/>
  <c r="AC52" i="27"/>
  <c r="AD52" i="27"/>
  <c r="D669" i="30"/>
  <c r="I669" i="30" s="1"/>
  <c r="B669" i="30"/>
  <c r="R53" i="27"/>
  <c r="Q53" i="27"/>
  <c r="S52" i="27"/>
  <c r="T52" i="27" s="1"/>
  <c r="I53" i="27"/>
  <c r="AT37" i="27"/>
  <c r="H34" i="30" s="1"/>
  <c r="BL39" i="27"/>
  <c r="AX39" i="27"/>
  <c r="BE41" i="27"/>
  <c r="F38" i="30"/>
  <c r="AZ41" i="27"/>
  <c r="BB40" i="27"/>
  <c r="BC40" i="27"/>
  <c r="BL40" i="27" s="1"/>
  <c r="E37" i="30"/>
  <c r="B47" i="30"/>
  <c r="BA40" i="27"/>
  <c r="D39" i="30"/>
  <c r="I39" i="30" s="1"/>
  <c r="AY40" i="27"/>
  <c r="AU43" i="27"/>
  <c r="BD40" i="27"/>
  <c r="BG40" i="27" s="1"/>
  <c r="BJ38" i="27"/>
  <c r="BK38" i="27" s="1"/>
  <c r="BI39" i="27"/>
  <c r="BH39" i="27"/>
  <c r="S53" i="27" l="1"/>
  <c r="T53" i="27" s="1"/>
  <c r="AS52" i="27"/>
  <c r="G48" i="30"/>
  <c r="BF51" i="27"/>
  <c r="AQ51" i="27"/>
  <c r="AR51" i="27" s="1"/>
  <c r="AP52" i="27"/>
  <c r="AO52" i="27"/>
  <c r="BJ39" i="27"/>
  <c r="BK39" i="27" s="1"/>
  <c r="AT39" i="27" s="1"/>
  <c r="H36" i="30" s="1"/>
  <c r="AG52" i="27"/>
  <c r="U53" i="27"/>
  <c r="AC53" i="27"/>
  <c r="AD53" i="27"/>
  <c r="AE52" i="27"/>
  <c r="AF52" i="27" s="1"/>
  <c r="AX40" i="27"/>
  <c r="D670" i="30"/>
  <c r="I670" i="30" s="1"/>
  <c r="B670" i="30"/>
  <c r="Q54" i="27"/>
  <c r="R54" i="27"/>
  <c r="AT38" i="27"/>
  <c r="H35" i="30" s="1"/>
  <c r="I54" i="27"/>
  <c r="BE42" i="27"/>
  <c r="F39" i="30"/>
  <c r="B48" i="30"/>
  <c r="BC41" i="27"/>
  <c r="BB41" i="27"/>
  <c r="E38" i="30"/>
  <c r="AZ42" i="27"/>
  <c r="AY41" i="27"/>
  <c r="BI40" i="27"/>
  <c r="BH40" i="27"/>
  <c r="AU44" i="27"/>
  <c r="BA41" i="27"/>
  <c r="D40" i="30"/>
  <c r="I40" i="30" s="1"/>
  <c r="BD41" i="27"/>
  <c r="BG41" i="27" s="1"/>
  <c r="AS53" i="27" l="1"/>
  <c r="G49" i="30"/>
  <c r="BF52" i="27"/>
  <c r="AQ52" i="27"/>
  <c r="AR52" i="27" s="1"/>
  <c r="AO53" i="27"/>
  <c r="AP53" i="27"/>
  <c r="AG53" i="27"/>
  <c r="AE53" i="27"/>
  <c r="AF53" i="27" s="1"/>
  <c r="U54" i="27"/>
  <c r="AD54" i="27"/>
  <c r="AC54" i="27"/>
  <c r="AB56" i="27"/>
  <c r="D671" i="30"/>
  <c r="I671" i="30" s="1"/>
  <c r="B671" i="30"/>
  <c r="I56" i="27"/>
  <c r="R56" i="27"/>
  <c r="Q56" i="27"/>
  <c r="S54" i="27"/>
  <c r="T54" i="27" s="1"/>
  <c r="BL41" i="27"/>
  <c r="BJ40" i="27"/>
  <c r="BK40" i="27" s="1"/>
  <c r="BE43" i="27"/>
  <c r="F40" i="30"/>
  <c r="B49" i="30"/>
  <c r="BB42" i="27"/>
  <c r="BC42" i="27"/>
  <c r="E39" i="30"/>
  <c r="BA42" i="27"/>
  <c r="AX41" i="27"/>
  <c r="AY42" i="27"/>
  <c r="D41" i="30"/>
  <c r="I41" i="30" s="1"/>
  <c r="AZ44" i="27"/>
  <c r="AZ43" i="27"/>
  <c r="BD42" i="27"/>
  <c r="BG42" i="27" s="1"/>
  <c r="BI41" i="27"/>
  <c r="BH41" i="27"/>
  <c r="AU45" i="27"/>
  <c r="AE54" i="27" l="1"/>
  <c r="AF54" i="27" s="1"/>
  <c r="S56" i="27"/>
  <c r="T56" i="27" s="1"/>
  <c r="AS54" i="27"/>
  <c r="AM56" i="27"/>
  <c r="BF53" i="27"/>
  <c r="G50" i="30"/>
  <c r="AO54" i="27"/>
  <c r="AP54" i="27"/>
  <c r="AN56" i="27"/>
  <c r="AQ53" i="27"/>
  <c r="AR53" i="27" s="1"/>
  <c r="AG54" i="27"/>
  <c r="AA56" i="27"/>
  <c r="U56" i="27"/>
  <c r="AD56" i="27"/>
  <c r="AC56" i="27"/>
  <c r="AB57" i="27"/>
  <c r="D672" i="30"/>
  <c r="I672" i="30" s="1"/>
  <c r="B672" i="30"/>
  <c r="AT40" i="27"/>
  <c r="H37" i="30" s="1"/>
  <c r="I57" i="27"/>
  <c r="R57" i="27"/>
  <c r="Q57" i="27"/>
  <c r="BL42" i="27"/>
  <c r="BJ41" i="27"/>
  <c r="BK41" i="27" s="1"/>
  <c r="BE44" i="27"/>
  <c r="F41" i="30"/>
  <c r="BB43" i="27"/>
  <c r="BC43" i="27"/>
  <c r="E40" i="30"/>
  <c r="AX42" i="27"/>
  <c r="B50" i="30"/>
  <c r="BA43" i="27"/>
  <c r="BD43" i="27"/>
  <c r="BG43" i="27" s="1"/>
  <c r="BI42" i="27"/>
  <c r="BH42" i="27"/>
  <c r="AY43" i="27"/>
  <c r="AU46" i="27"/>
  <c r="D42" i="30"/>
  <c r="I42" i="30" s="1"/>
  <c r="AE56" i="27" l="1"/>
  <c r="AF56" i="27" s="1"/>
  <c r="AS56" i="27"/>
  <c r="AM57" i="27"/>
  <c r="BF54" i="27"/>
  <c r="G51" i="30"/>
  <c r="AN57" i="27"/>
  <c r="AO56" i="27"/>
  <c r="AP56" i="27"/>
  <c r="AQ54" i="27"/>
  <c r="AR54" i="27" s="1"/>
  <c r="AA57" i="27"/>
  <c r="AG56" i="27"/>
  <c r="S57" i="27"/>
  <c r="T57" i="27" s="1"/>
  <c r="U57" i="27"/>
  <c r="AC57" i="27"/>
  <c r="AD57" i="27"/>
  <c r="D673" i="30"/>
  <c r="I673" i="30" s="1"/>
  <c r="B673" i="30"/>
  <c r="R58" i="27"/>
  <c r="Q58" i="27"/>
  <c r="AT41" i="27"/>
  <c r="H38" i="30" s="1"/>
  <c r="I58" i="27"/>
  <c r="BL43" i="27"/>
  <c r="BJ42" i="27"/>
  <c r="BK42" i="27" s="1"/>
  <c r="BE45" i="27"/>
  <c r="F42" i="30"/>
  <c r="BB44" i="27"/>
  <c r="BC44" i="27"/>
  <c r="BL44" i="27" s="1"/>
  <c r="E41" i="30"/>
  <c r="B51" i="30"/>
  <c r="AX43" i="27"/>
  <c r="BA44" i="27"/>
  <c r="AZ45" i="27"/>
  <c r="D43" i="30"/>
  <c r="I43" i="30" s="1"/>
  <c r="AU47" i="27"/>
  <c r="BD44" i="27"/>
  <c r="BG44" i="27" s="1"/>
  <c r="AY44" i="27"/>
  <c r="BI43" i="27"/>
  <c r="BH43" i="27"/>
  <c r="AS57" i="27" l="1"/>
  <c r="G52" i="30"/>
  <c r="BF56" i="27"/>
  <c r="AQ56" i="27"/>
  <c r="AR56" i="27" s="1"/>
  <c r="AP57" i="27"/>
  <c r="AO57" i="27"/>
  <c r="AG57" i="27"/>
  <c r="U58" i="27"/>
  <c r="AC58" i="27"/>
  <c r="AB59" i="27"/>
  <c r="AD58" i="27"/>
  <c r="AE57" i="27"/>
  <c r="AF57" i="27" s="1"/>
  <c r="S58" i="27"/>
  <c r="T58" i="27" s="1"/>
  <c r="D674" i="30"/>
  <c r="I674" i="30" s="1"/>
  <c r="B674" i="30"/>
  <c r="I59" i="27"/>
  <c r="AT42" i="27"/>
  <c r="H39" i="30" s="1"/>
  <c r="R59" i="27"/>
  <c r="Q59" i="27"/>
  <c r="BE46" i="27"/>
  <c r="F43" i="30"/>
  <c r="B52" i="30"/>
  <c r="BB45" i="27"/>
  <c r="BC45" i="27"/>
  <c r="BL45" i="27" s="1"/>
  <c r="E42" i="30"/>
  <c r="AX44" i="27"/>
  <c r="AZ46" i="27"/>
  <c r="BJ43" i="27"/>
  <c r="BK43" i="27" s="1"/>
  <c r="AY45" i="27"/>
  <c r="BI44" i="27"/>
  <c r="BH44" i="27"/>
  <c r="BD45" i="27"/>
  <c r="BG45" i="27" s="1"/>
  <c r="AU48" i="27"/>
  <c r="D44" i="30"/>
  <c r="I44" i="30" s="1"/>
  <c r="BA45" i="27"/>
  <c r="AQ57" i="27" l="1"/>
  <c r="AR57" i="27" s="1"/>
  <c r="AS58" i="27"/>
  <c r="AM59" i="27"/>
  <c r="BF57" i="27"/>
  <c r="G53" i="30"/>
  <c r="AO58" i="27"/>
  <c r="AN59" i="27"/>
  <c r="AP58" i="27"/>
  <c r="AA59" i="27"/>
  <c r="AG58" i="27"/>
  <c r="AE58" i="27"/>
  <c r="AF58" i="27" s="1"/>
  <c r="U59" i="27"/>
  <c r="AC59" i="27"/>
  <c r="AB60" i="27"/>
  <c r="AD59" i="27"/>
  <c r="S59" i="27"/>
  <c r="T59" i="27" s="1"/>
  <c r="D675" i="30"/>
  <c r="I675" i="30" s="1"/>
  <c r="B675" i="30"/>
  <c r="Q60" i="27"/>
  <c r="R60" i="27"/>
  <c r="AT43" i="27"/>
  <c r="H40" i="30" s="1"/>
  <c r="I60" i="27"/>
  <c r="BJ44" i="27"/>
  <c r="BK44" i="27" s="1"/>
  <c r="AX45" i="27"/>
  <c r="BE47" i="27"/>
  <c r="F44" i="30"/>
  <c r="BB46" i="27"/>
  <c r="BC46" i="27"/>
  <c r="BL46" i="27" s="1"/>
  <c r="E43" i="30"/>
  <c r="B53" i="30"/>
  <c r="BA46" i="27"/>
  <c r="AZ47" i="27"/>
  <c r="AU49" i="27"/>
  <c r="BD46" i="27"/>
  <c r="BG46" i="27" s="1"/>
  <c r="BI45" i="27"/>
  <c r="BH45" i="27"/>
  <c r="AY46" i="27"/>
  <c r="D45" i="30"/>
  <c r="I45" i="30" s="1"/>
  <c r="AM60" i="27" l="1"/>
  <c r="AS59" i="27"/>
  <c r="BF58" i="27"/>
  <c r="G54" i="30"/>
  <c r="AO59" i="27"/>
  <c r="AP59" i="27"/>
  <c r="AN60" i="27"/>
  <c r="AQ58" i="27"/>
  <c r="AR58" i="27" s="1"/>
  <c r="AG59" i="27"/>
  <c r="AA60" i="27"/>
  <c r="AE59" i="27"/>
  <c r="AF59" i="27" s="1"/>
  <c r="U60" i="27"/>
  <c r="AC60" i="27"/>
  <c r="AD60" i="27"/>
  <c r="AB61" i="27"/>
  <c r="D676" i="30"/>
  <c r="I676" i="30" s="1"/>
  <c r="B676" i="30"/>
  <c r="I61" i="27"/>
  <c r="R61" i="27"/>
  <c r="Q61" i="27"/>
  <c r="AT44" i="27"/>
  <c r="H41" i="30" s="1"/>
  <c r="S60" i="27"/>
  <c r="T60" i="27" s="1"/>
  <c r="BE48" i="27"/>
  <c r="F45" i="30"/>
  <c r="AX46" i="27"/>
  <c r="BB47" i="27"/>
  <c r="BC47" i="27"/>
  <c r="BL47" i="27" s="1"/>
  <c r="E44" i="30"/>
  <c r="B54" i="30"/>
  <c r="AZ48" i="27"/>
  <c r="BA47" i="27"/>
  <c r="BJ45" i="27"/>
  <c r="BK45" i="27" s="1"/>
  <c r="AU50" i="27"/>
  <c r="BI46" i="27"/>
  <c r="BH46" i="27"/>
  <c r="AY47" i="27"/>
  <c r="BD47" i="27"/>
  <c r="BG47" i="27" s="1"/>
  <c r="D46" i="30"/>
  <c r="I46" i="30" s="1"/>
  <c r="BF59" i="27" l="1"/>
  <c r="G55" i="30"/>
  <c r="AM61" i="27"/>
  <c r="AS60" i="27"/>
  <c r="AP60" i="27"/>
  <c r="AN61" i="27"/>
  <c r="AO60" i="27"/>
  <c r="AQ59" i="27"/>
  <c r="AR59" i="27" s="1"/>
  <c r="AA61" i="27"/>
  <c r="AG60" i="27"/>
  <c r="S61" i="27"/>
  <c r="T61" i="27" s="1"/>
  <c r="U61" i="27"/>
  <c r="AC61" i="27"/>
  <c r="AD61" i="27"/>
  <c r="AB62" i="27"/>
  <c r="AE60" i="27"/>
  <c r="AF60" i="27" s="1"/>
  <c r="D677" i="30"/>
  <c r="I677" i="30" s="1"/>
  <c r="B677" i="30"/>
  <c r="AT45" i="27"/>
  <c r="H42" i="30" s="1"/>
  <c r="Q62" i="27"/>
  <c r="R62" i="27"/>
  <c r="I62" i="27"/>
  <c r="AZ49" i="27"/>
  <c r="BE49" i="27"/>
  <c r="F46" i="30"/>
  <c r="BB48" i="27"/>
  <c r="BC48" i="27"/>
  <c r="BL48" i="27" s="1"/>
  <c r="E45" i="30"/>
  <c r="AX47" i="27"/>
  <c r="B55" i="30"/>
  <c r="AY48" i="27"/>
  <c r="BJ46" i="27"/>
  <c r="BK46" i="27" s="1"/>
  <c r="BD48" i="27"/>
  <c r="BG48" i="27" s="1"/>
  <c r="AU51" i="27"/>
  <c r="BA48" i="27"/>
  <c r="D47" i="30"/>
  <c r="I47" i="30" s="1"/>
  <c r="BH47" i="27"/>
  <c r="BI47" i="27"/>
  <c r="AQ60" i="27" l="1"/>
  <c r="AR60" i="27" s="1"/>
  <c r="BF60" i="27"/>
  <c r="G56" i="30"/>
  <c r="AM62" i="27"/>
  <c r="AS61" i="27"/>
  <c r="AP61" i="27"/>
  <c r="AN62" i="27"/>
  <c r="AO61" i="27"/>
  <c r="AA62" i="27"/>
  <c r="AG61" i="27"/>
  <c r="U62" i="27"/>
  <c r="AB63" i="27"/>
  <c r="AC62" i="27"/>
  <c r="AD62" i="27"/>
  <c r="AE61" i="27"/>
  <c r="AF61" i="27" s="1"/>
  <c r="D678" i="30"/>
  <c r="I678" i="30" s="1"/>
  <c r="B678" i="30"/>
  <c r="I63" i="27"/>
  <c r="Q63" i="27"/>
  <c r="R63" i="27"/>
  <c r="AT46" i="27"/>
  <c r="H43" i="30" s="1"/>
  <c r="S62" i="27"/>
  <c r="T62" i="27" s="1"/>
  <c r="AX48" i="27"/>
  <c r="BE50" i="27"/>
  <c r="F47" i="30"/>
  <c r="B56" i="30"/>
  <c r="BB49" i="27"/>
  <c r="BC49" i="27"/>
  <c r="E46" i="30"/>
  <c r="AY49" i="27"/>
  <c r="BA49" i="27"/>
  <c r="BJ47" i="27"/>
  <c r="BK47" i="27" s="1"/>
  <c r="D48" i="30"/>
  <c r="I48" i="30" s="1"/>
  <c r="BD49" i="27"/>
  <c r="BG49" i="27" s="1"/>
  <c r="AU52" i="27"/>
  <c r="AZ50" i="27"/>
  <c r="BI48" i="27"/>
  <c r="BH48" i="27"/>
  <c r="AQ61" i="27" l="1"/>
  <c r="AR61" i="27" s="1"/>
  <c r="BF61" i="27"/>
  <c r="G57" i="30"/>
  <c r="AM63" i="27"/>
  <c r="AS62" i="27"/>
  <c r="AO62" i="27"/>
  <c r="AP62" i="27"/>
  <c r="AN63" i="27"/>
  <c r="AG62" i="27"/>
  <c r="AA63" i="27"/>
  <c r="AE62" i="27"/>
  <c r="AF62" i="27" s="1"/>
  <c r="U63" i="27"/>
  <c r="AB64" i="27"/>
  <c r="AD63" i="27"/>
  <c r="AC63" i="27"/>
  <c r="D679" i="30"/>
  <c r="I679" i="30" s="1"/>
  <c r="B679" i="30"/>
  <c r="Q64" i="27"/>
  <c r="R64" i="27"/>
  <c r="AT47" i="27"/>
  <c r="H44" i="30" s="1"/>
  <c r="S63" i="27"/>
  <c r="T63" i="27" s="1"/>
  <c r="I64" i="27"/>
  <c r="BL49" i="27"/>
  <c r="AX49" i="27"/>
  <c r="BE51" i="27"/>
  <c r="F48" i="30"/>
  <c r="BB50" i="27"/>
  <c r="BC50" i="27"/>
  <c r="BL50" i="27" s="1"/>
  <c r="E47" i="30"/>
  <c r="B57" i="30"/>
  <c r="BA50" i="27"/>
  <c r="BJ48" i="27"/>
  <c r="BK48" i="27" s="1"/>
  <c r="BD50" i="27"/>
  <c r="BG50" i="27" s="1"/>
  <c r="AU53" i="27"/>
  <c r="AY50" i="27"/>
  <c r="D49" i="30"/>
  <c r="I49" i="30" s="1"/>
  <c r="BI49" i="27"/>
  <c r="BH49" i="27"/>
  <c r="AZ51" i="27"/>
  <c r="G58" i="30" l="1"/>
  <c r="BF62" i="27"/>
  <c r="AM64" i="27"/>
  <c r="AS63" i="27"/>
  <c r="AN64" i="27"/>
  <c r="AP63" i="27"/>
  <c r="AO63" i="27"/>
  <c r="AQ62" i="27"/>
  <c r="AR62" i="27" s="1"/>
  <c r="AA64" i="27"/>
  <c r="AG63" i="27"/>
  <c r="AX50" i="27"/>
  <c r="U64" i="27"/>
  <c r="AE63" i="27"/>
  <c r="AF63" i="27" s="1"/>
  <c r="AB65" i="27"/>
  <c r="AC64" i="27"/>
  <c r="AD64" i="27"/>
  <c r="D680" i="30"/>
  <c r="I680" i="30" s="1"/>
  <c r="B680" i="30"/>
  <c r="AT48" i="27"/>
  <c r="H45" i="30" s="1"/>
  <c r="Q65" i="27"/>
  <c r="R65" i="27"/>
  <c r="I65" i="27"/>
  <c r="S64" i="27"/>
  <c r="T64" i="27" s="1"/>
  <c r="AY51" i="27"/>
  <c r="BE52" i="27"/>
  <c r="F49" i="30"/>
  <c r="BC51" i="27"/>
  <c r="BB51" i="27"/>
  <c r="E48" i="30"/>
  <c r="B58" i="30"/>
  <c r="AZ52" i="27"/>
  <c r="BI50" i="27"/>
  <c r="BH50" i="27"/>
  <c r="D50" i="30"/>
  <c r="I50" i="30" s="1"/>
  <c r="BD51" i="27"/>
  <c r="BG51" i="27" s="1"/>
  <c r="AU54" i="27"/>
  <c r="BJ49" i="27"/>
  <c r="BK49" i="27" s="1"/>
  <c r="BA51" i="27"/>
  <c r="BL51" i="27" l="1"/>
  <c r="AQ63" i="27"/>
  <c r="AR63" i="27" s="1"/>
  <c r="G59" i="30"/>
  <c r="BF63" i="27"/>
  <c r="AM65" i="27"/>
  <c r="AS64" i="27"/>
  <c r="AN65" i="27"/>
  <c r="AP64" i="27"/>
  <c r="AO64" i="27"/>
  <c r="AG64" i="27"/>
  <c r="AA65" i="27"/>
  <c r="U65" i="27"/>
  <c r="AE64" i="27"/>
  <c r="AF64" i="27" s="1"/>
  <c r="AB66" i="27"/>
  <c r="AD65" i="27"/>
  <c r="AC65" i="27"/>
  <c r="D681" i="30"/>
  <c r="I681" i="30" s="1"/>
  <c r="B681" i="30"/>
  <c r="S65" i="27"/>
  <c r="T65" i="27" s="1"/>
  <c r="Q66" i="27"/>
  <c r="R66" i="27"/>
  <c r="AX51" i="27"/>
  <c r="I66" i="27"/>
  <c r="AT49" i="27"/>
  <c r="H46" i="30" s="1"/>
  <c r="BE53" i="27"/>
  <c r="F50" i="30"/>
  <c r="AZ53" i="27"/>
  <c r="BB52" i="27"/>
  <c r="BC52" i="27"/>
  <c r="BL52" i="27" s="1"/>
  <c r="E49" i="30"/>
  <c r="B59" i="30"/>
  <c r="BA52" i="27"/>
  <c r="BI51" i="27"/>
  <c r="BH51" i="27"/>
  <c r="AU56" i="27"/>
  <c r="D51" i="30"/>
  <c r="I51" i="30" s="1"/>
  <c r="BD52" i="27"/>
  <c r="BG52" i="27" s="1"/>
  <c r="AY52" i="27"/>
  <c r="BJ50" i="27"/>
  <c r="BK50" i="27" s="1"/>
  <c r="AQ64" i="27" l="1"/>
  <c r="AR64" i="27" s="1"/>
  <c r="G60" i="30"/>
  <c r="BF64" i="27"/>
  <c r="AS65" i="27"/>
  <c r="AM66" i="27"/>
  <c r="AO65" i="27"/>
  <c r="AP65" i="27"/>
  <c r="AN66" i="27"/>
  <c r="AE65" i="27"/>
  <c r="AF65" i="27" s="1"/>
  <c r="AG65" i="27"/>
  <c r="AA66" i="27"/>
  <c r="U66" i="27"/>
  <c r="AC66" i="27"/>
  <c r="AD66" i="27"/>
  <c r="AB67" i="27"/>
  <c r="D682" i="30"/>
  <c r="I682" i="30" s="1"/>
  <c r="B682" i="30"/>
  <c r="R67" i="27"/>
  <c r="Q67" i="27"/>
  <c r="I67" i="27"/>
  <c r="S66" i="27"/>
  <c r="T66" i="27" s="1"/>
  <c r="AT50" i="27"/>
  <c r="H47" i="30" s="1"/>
  <c r="BE54" i="27"/>
  <c r="F51" i="30"/>
  <c r="B60" i="30"/>
  <c r="BC53" i="27"/>
  <c r="BB53" i="27"/>
  <c r="E50" i="30"/>
  <c r="AX52" i="27"/>
  <c r="BA53" i="27"/>
  <c r="AZ54" i="27"/>
  <c r="D52" i="30"/>
  <c r="I52" i="30" s="1"/>
  <c r="BD53" i="27"/>
  <c r="BG53" i="27" s="1"/>
  <c r="AY53" i="27"/>
  <c r="AU57" i="27"/>
  <c r="BJ51" i="27"/>
  <c r="BK51" i="27" s="1"/>
  <c r="BI52" i="27"/>
  <c r="BH52" i="27"/>
  <c r="AY54" i="27"/>
  <c r="S67" i="27" l="1"/>
  <c r="T67" i="27" s="1"/>
  <c r="G61" i="30"/>
  <c r="BF65" i="27"/>
  <c r="AM67" i="27"/>
  <c r="AS66" i="27"/>
  <c r="AP66" i="27"/>
  <c r="AO66" i="27"/>
  <c r="AN67" i="27"/>
  <c r="AQ65" i="27"/>
  <c r="AR65" i="27" s="1"/>
  <c r="AG66" i="27"/>
  <c r="AA67" i="27"/>
  <c r="U67" i="27"/>
  <c r="AC67" i="27"/>
  <c r="AB68" i="27"/>
  <c r="AD67" i="27"/>
  <c r="AE66" i="27"/>
  <c r="AF66" i="27" s="1"/>
  <c r="D683" i="30"/>
  <c r="I683" i="30" s="1"/>
  <c r="B683" i="30"/>
  <c r="AT51" i="27"/>
  <c r="H48" i="30" s="1"/>
  <c r="Q68" i="27"/>
  <c r="R68" i="27"/>
  <c r="I68" i="27"/>
  <c r="BL53" i="27"/>
  <c r="BE56" i="27"/>
  <c r="F52" i="30"/>
  <c r="BC54" i="27"/>
  <c r="BB54" i="27"/>
  <c r="E51" i="30"/>
  <c r="B61" i="30"/>
  <c r="AX53" i="27"/>
  <c r="BJ52" i="27"/>
  <c r="BK52" i="27" s="1"/>
  <c r="AZ56" i="27"/>
  <c r="BA54" i="27"/>
  <c r="AX54" i="27" s="1"/>
  <c r="BD54" i="27"/>
  <c r="BG54" i="27" s="1"/>
  <c r="AU58" i="27"/>
  <c r="D53" i="30"/>
  <c r="I53" i="30" s="1"/>
  <c r="BI53" i="27"/>
  <c r="BH53" i="27"/>
  <c r="AQ66" i="27" l="1"/>
  <c r="AR66" i="27" s="1"/>
  <c r="BF66" i="27"/>
  <c r="G62" i="30"/>
  <c r="AS67" i="27"/>
  <c r="AM68" i="27"/>
  <c r="AP67" i="27"/>
  <c r="AN68" i="27"/>
  <c r="AO67" i="27"/>
  <c r="AA68" i="27"/>
  <c r="AG67" i="27"/>
  <c r="U68" i="27"/>
  <c r="AB69" i="27"/>
  <c r="AD68" i="27"/>
  <c r="AC68" i="27"/>
  <c r="AE67" i="27"/>
  <c r="AF67" i="27" s="1"/>
  <c r="S68" i="27"/>
  <c r="T68" i="27" s="1"/>
  <c r="D684" i="30"/>
  <c r="I684" i="30" s="1"/>
  <c r="B684" i="30"/>
  <c r="I69" i="27"/>
  <c r="Q69" i="27"/>
  <c r="R69" i="27"/>
  <c r="AT52" i="27"/>
  <c r="H49" i="30" s="1"/>
  <c r="BL54" i="27"/>
  <c r="BJ53" i="27"/>
  <c r="BK53" i="27" s="1"/>
  <c r="BE57" i="27"/>
  <c r="F53" i="30"/>
  <c r="BB56" i="27"/>
  <c r="BC56" i="27"/>
  <c r="BL56" i="27" s="1"/>
  <c r="E52" i="30"/>
  <c r="B62" i="30"/>
  <c r="AZ57" i="27"/>
  <c r="AU59" i="27"/>
  <c r="BA56" i="27"/>
  <c r="BI54" i="27"/>
  <c r="BH54" i="27"/>
  <c r="D54" i="30"/>
  <c r="I54" i="30" s="1"/>
  <c r="BD56" i="27"/>
  <c r="BG56" i="27" s="1"/>
  <c r="AY56" i="27"/>
  <c r="AQ67" i="27" l="1"/>
  <c r="AR67" i="27" s="1"/>
  <c r="AM69" i="27"/>
  <c r="AS68" i="27"/>
  <c r="G63" i="30"/>
  <c r="BF67" i="27"/>
  <c r="AO68" i="27"/>
  <c r="AP68" i="27"/>
  <c r="AN69" i="27"/>
  <c r="AA69" i="27"/>
  <c r="AG68" i="27"/>
  <c r="U69" i="27"/>
  <c r="AE68" i="27"/>
  <c r="AF68" i="27" s="1"/>
  <c r="AD69" i="27"/>
  <c r="AC69" i="27"/>
  <c r="D685" i="30"/>
  <c r="I685" i="30" s="1"/>
  <c r="B685" i="30"/>
  <c r="AT53" i="27"/>
  <c r="H50" i="30" s="1"/>
  <c r="R70" i="27"/>
  <c r="Q70" i="27"/>
  <c r="I70" i="27"/>
  <c r="S69" i="27"/>
  <c r="T69" i="27" s="1"/>
  <c r="BE58" i="27"/>
  <c r="F54" i="30"/>
  <c r="AZ58" i="27"/>
  <c r="B63" i="30"/>
  <c r="BB57" i="27"/>
  <c r="BC57" i="27"/>
  <c r="BL57" i="27" s="1"/>
  <c r="E53" i="30"/>
  <c r="BJ54" i="27"/>
  <c r="BK54" i="27" s="1"/>
  <c r="BA57" i="27"/>
  <c r="AY57" i="27"/>
  <c r="BD57" i="27"/>
  <c r="BG57" i="27" s="1"/>
  <c r="AU60" i="27"/>
  <c r="BI56" i="27"/>
  <c r="BH56" i="27"/>
  <c r="AZ59" i="27"/>
  <c r="AX56" i="27"/>
  <c r="D55" i="30"/>
  <c r="I55" i="30" s="1"/>
  <c r="BF68" i="27" l="1"/>
  <c r="G64" i="30"/>
  <c r="AM70" i="27"/>
  <c r="AS69" i="27"/>
  <c r="AN70" i="27"/>
  <c r="AO69" i="27"/>
  <c r="AP69" i="27"/>
  <c r="AQ68" i="27"/>
  <c r="AR68" i="27" s="1"/>
  <c r="AG69" i="27"/>
  <c r="AX57" i="27"/>
  <c r="S70" i="27"/>
  <c r="T70" i="27" s="1"/>
  <c r="U70" i="27"/>
  <c r="AC70" i="27"/>
  <c r="AD70" i="27"/>
  <c r="AB71" i="27"/>
  <c r="AE69" i="27"/>
  <c r="AF69" i="27" s="1"/>
  <c r="D686" i="30"/>
  <c r="I686" i="30" s="1"/>
  <c r="B686" i="30"/>
  <c r="I71" i="27"/>
  <c r="AT54" i="27"/>
  <c r="H51" i="30" s="1"/>
  <c r="R71" i="27"/>
  <c r="Q71" i="27"/>
  <c r="BJ56" i="27"/>
  <c r="BK56" i="27" s="1"/>
  <c r="BE59" i="27"/>
  <c r="F55" i="30"/>
  <c r="BB58" i="27"/>
  <c r="BC58" i="27"/>
  <c r="BL58" i="27" s="1"/>
  <c r="E54" i="30"/>
  <c r="B64" i="30"/>
  <c r="BA58" i="27"/>
  <c r="AU61" i="27"/>
  <c r="AY58" i="27"/>
  <c r="D56" i="30"/>
  <c r="I56" i="30" s="1"/>
  <c r="BI57" i="27"/>
  <c r="BH57" i="27"/>
  <c r="BD58" i="27"/>
  <c r="BG58" i="27" s="1"/>
  <c r="AS70" i="27" l="1"/>
  <c r="AM71" i="27"/>
  <c r="G65" i="30"/>
  <c r="BF69" i="27"/>
  <c r="AQ69" i="27"/>
  <c r="AR69" i="27" s="1"/>
  <c r="AN71" i="27"/>
  <c r="AP70" i="27"/>
  <c r="AO70" i="27"/>
  <c r="AG70" i="27"/>
  <c r="AA71" i="27"/>
  <c r="U71" i="27"/>
  <c r="AC71" i="27"/>
  <c r="AB72" i="27"/>
  <c r="AD71" i="27"/>
  <c r="AE70" i="27"/>
  <c r="AF70" i="27" s="1"/>
  <c r="D687" i="30"/>
  <c r="I687" i="30" s="1"/>
  <c r="B687" i="30"/>
  <c r="AT56" i="27"/>
  <c r="H52" i="30" s="1"/>
  <c r="S71" i="27"/>
  <c r="T71" i="27" s="1"/>
  <c r="Q72" i="27"/>
  <c r="R72" i="27"/>
  <c r="I72" i="27"/>
  <c r="AX58" i="27"/>
  <c r="BE60" i="27"/>
  <c r="F56" i="30"/>
  <c r="BB59" i="27"/>
  <c r="BC59" i="27"/>
  <c r="BL59" i="27" s="1"/>
  <c r="E55" i="30"/>
  <c r="B65" i="30"/>
  <c r="BJ57" i="27"/>
  <c r="BK57" i="27" s="1"/>
  <c r="AY59" i="27"/>
  <c r="AU62" i="27"/>
  <c r="D57" i="30"/>
  <c r="I57" i="30" s="1"/>
  <c r="BA59" i="27"/>
  <c r="AZ61" i="27"/>
  <c r="BD59" i="27"/>
  <c r="BG59" i="27" s="1"/>
  <c r="BI58" i="27"/>
  <c r="BH58" i="27"/>
  <c r="AY60" i="27"/>
  <c r="AZ60" i="27"/>
  <c r="AQ70" i="27" l="1"/>
  <c r="AR70" i="27" s="1"/>
  <c r="AS71" i="27"/>
  <c r="AM72" i="27"/>
  <c r="G66" i="30"/>
  <c r="BF70" i="27"/>
  <c r="AO71" i="27"/>
  <c r="AP71" i="27"/>
  <c r="AN72" i="27"/>
  <c r="AA72" i="27"/>
  <c r="AG71" i="27"/>
  <c r="U72" i="27"/>
  <c r="AB73" i="27"/>
  <c r="AC72" i="27"/>
  <c r="AD72" i="27"/>
  <c r="AE71" i="27"/>
  <c r="AF71" i="27" s="1"/>
  <c r="D688" i="30"/>
  <c r="I688" i="30" s="1"/>
  <c r="B688" i="30"/>
  <c r="I73" i="27"/>
  <c r="AT57" i="27"/>
  <c r="H53" i="30" s="1"/>
  <c r="Q73" i="27"/>
  <c r="R73" i="27"/>
  <c r="S72" i="27"/>
  <c r="T72" i="27" s="1"/>
  <c r="BE61" i="27"/>
  <c r="F57" i="30"/>
  <c r="B66" i="30"/>
  <c r="BB60" i="27"/>
  <c r="BC60" i="27"/>
  <c r="BL60" i="27" s="1"/>
  <c r="E56" i="30"/>
  <c r="BA60" i="27"/>
  <c r="AX60" i="27" s="1"/>
  <c r="AX59" i="27"/>
  <c r="BJ58" i="27"/>
  <c r="BK58" i="27" s="1"/>
  <c r="BD60" i="27"/>
  <c r="BG60" i="27" s="1"/>
  <c r="D58" i="30"/>
  <c r="I58" i="30" s="1"/>
  <c r="AU63" i="27"/>
  <c r="BI59" i="27"/>
  <c r="BH59" i="27"/>
  <c r="AM73" i="27" l="1"/>
  <c r="AS72" i="27"/>
  <c r="G67" i="30"/>
  <c r="BF71" i="27"/>
  <c r="AO72" i="27"/>
  <c r="AP72" i="27"/>
  <c r="AN73" i="27"/>
  <c r="AQ71" i="27"/>
  <c r="AR71" i="27" s="1"/>
  <c r="AG72" i="27"/>
  <c r="AA73" i="27"/>
  <c r="U73" i="27"/>
  <c r="AE72" i="27"/>
  <c r="AF72" i="27" s="1"/>
  <c r="AC73" i="27"/>
  <c r="AB74" i="27"/>
  <c r="AD73" i="27"/>
  <c r="D689" i="30"/>
  <c r="I689" i="30" s="1"/>
  <c r="B689" i="30"/>
  <c r="I74" i="27"/>
  <c r="S73" i="27"/>
  <c r="T73" i="27" s="1"/>
  <c r="AT58" i="27"/>
  <c r="H54" i="30" s="1"/>
  <c r="R74" i="27"/>
  <c r="Q74" i="27"/>
  <c r="BA61" i="27"/>
  <c r="BE62" i="27"/>
  <c r="F58" i="30"/>
  <c r="BB61" i="27"/>
  <c r="BC61" i="27"/>
  <c r="E57" i="30"/>
  <c r="B67" i="30"/>
  <c r="BJ59" i="27"/>
  <c r="BK59" i="27" s="1"/>
  <c r="AZ62" i="27"/>
  <c r="BD61" i="27"/>
  <c r="BG61" i="27" s="1"/>
  <c r="AY61" i="27"/>
  <c r="D59" i="30"/>
  <c r="I59" i="30" s="1"/>
  <c r="BI60" i="27"/>
  <c r="BH60" i="27"/>
  <c r="AU64" i="27"/>
  <c r="BF72" i="27" l="1"/>
  <c r="G68" i="30"/>
  <c r="AM74" i="27"/>
  <c r="AS73" i="27"/>
  <c r="AX61" i="27"/>
  <c r="S74" i="27"/>
  <c r="T74" i="27" s="1"/>
  <c r="AN74" i="27"/>
  <c r="AO73" i="27"/>
  <c r="AP73" i="27"/>
  <c r="AQ72" i="27"/>
  <c r="AR72" i="27" s="1"/>
  <c r="AG73" i="27"/>
  <c r="AA74" i="27"/>
  <c r="U74" i="27"/>
  <c r="AD74" i="27"/>
  <c r="AB75" i="27"/>
  <c r="AC74" i="27"/>
  <c r="AE73" i="27"/>
  <c r="AF73" i="27" s="1"/>
  <c r="D690" i="30"/>
  <c r="I690" i="30" s="1"/>
  <c r="B690" i="30"/>
  <c r="I75" i="27"/>
  <c r="Q75" i="27"/>
  <c r="R75" i="27"/>
  <c r="AT59" i="27"/>
  <c r="H55" i="30" s="1"/>
  <c r="BL61" i="27"/>
  <c r="BE63" i="27"/>
  <c r="F59" i="30"/>
  <c r="AZ63" i="27"/>
  <c r="B68" i="30"/>
  <c r="BC62" i="27"/>
  <c r="BB62" i="27"/>
  <c r="E58" i="30"/>
  <c r="AY62" i="27"/>
  <c r="BJ60" i="27"/>
  <c r="BK60" i="27" s="1"/>
  <c r="D60" i="30"/>
  <c r="I60" i="30" s="1"/>
  <c r="AU65" i="27"/>
  <c r="BD62" i="27"/>
  <c r="BG62" i="27" s="1"/>
  <c r="BA62" i="27"/>
  <c r="BI61" i="27"/>
  <c r="BH61" i="27"/>
  <c r="AE74" i="27" l="1"/>
  <c r="AF74" i="27" s="1"/>
  <c r="AM75" i="27"/>
  <c r="AS74" i="27"/>
  <c r="G69" i="30"/>
  <c r="BF73" i="27"/>
  <c r="AQ73" i="27"/>
  <c r="AR73" i="27" s="1"/>
  <c r="AO74" i="27"/>
  <c r="AN75" i="27"/>
  <c r="AP74" i="27"/>
  <c r="AG74" i="27"/>
  <c r="AA75" i="27"/>
  <c r="U75" i="27"/>
  <c r="AD75" i="27"/>
  <c r="AC75" i="27"/>
  <c r="AB76" i="27"/>
  <c r="D691" i="30"/>
  <c r="I691" i="30" s="1"/>
  <c r="B691" i="30"/>
  <c r="S75" i="27"/>
  <c r="T75" i="27" s="1"/>
  <c r="R76" i="27"/>
  <c r="Q76" i="27"/>
  <c r="AT60" i="27"/>
  <c r="H56" i="30" s="1"/>
  <c r="I76" i="27"/>
  <c r="BL62" i="27"/>
  <c r="AX62" i="27"/>
  <c r="BE64" i="27"/>
  <c r="F60" i="30"/>
  <c r="BB63" i="27"/>
  <c r="BC63" i="27"/>
  <c r="BL63" i="27" s="1"/>
  <c r="E59" i="30"/>
  <c r="B69" i="30"/>
  <c r="AZ64" i="27"/>
  <c r="BJ61" i="27"/>
  <c r="BK61" i="27" s="1"/>
  <c r="AY63" i="27"/>
  <c r="BA63" i="27"/>
  <c r="BD63" i="27"/>
  <c r="BG63" i="27" s="1"/>
  <c r="BH62" i="27"/>
  <c r="BI62" i="27"/>
  <c r="AU66" i="27"/>
  <c r="D61" i="30"/>
  <c r="I61" i="30" s="1"/>
  <c r="G70" i="30" l="1"/>
  <c r="BF74" i="27"/>
  <c r="S76" i="27"/>
  <c r="T76" i="27" s="1"/>
  <c r="AE75" i="27"/>
  <c r="AF75" i="27" s="1"/>
  <c r="AM76" i="27"/>
  <c r="AS75" i="27"/>
  <c r="AP75" i="27"/>
  <c r="AN76" i="27"/>
  <c r="AO75" i="27"/>
  <c r="AQ74" i="27"/>
  <c r="AR74" i="27" s="1"/>
  <c r="AA76" i="27"/>
  <c r="AG75" i="27"/>
  <c r="U76" i="27"/>
  <c r="AD76" i="27"/>
  <c r="AB77" i="27"/>
  <c r="AC76" i="27"/>
  <c r="D692" i="30"/>
  <c r="I692" i="30" s="1"/>
  <c r="B692" i="30"/>
  <c r="AT61" i="27"/>
  <c r="H57" i="30" s="1"/>
  <c r="R77" i="27"/>
  <c r="Q77" i="27"/>
  <c r="I77" i="27"/>
  <c r="BE65" i="27"/>
  <c r="F61" i="30"/>
  <c r="BC64" i="27"/>
  <c r="BB64" i="27"/>
  <c r="E60" i="30"/>
  <c r="B70" i="30"/>
  <c r="AZ65" i="27"/>
  <c r="AX63" i="27"/>
  <c r="BA64" i="27"/>
  <c r="AY64" i="27"/>
  <c r="D62" i="30"/>
  <c r="I62" i="30" s="1"/>
  <c r="BA65" i="27"/>
  <c r="AU67" i="27"/>
  <c r="BD64" i="27"/>
  <c r="BG64" i="27" s="1"/>
  <c r="BI63" i="27"/>
  <c r="BH63" i="27"/>
  <c r="BJ62" i="27"/>
  <c r="BK62" i="27" s="1"/>
  <c r="BL64" i="27" l="1"/>
  <c r="BF75" i="27"/>
  <c r="G71" i="30"/>
  <c r="AM77" i="27"/>
  <c r="AS76" i="27"/>
  <c r="AE76" i="27"/>
  <c r="AF76" i="27" s="1"/>
  <c r="AQ75" i="27"/>
  <c r="AR75" i="27" s="1"/>
  <c r="AN77" i="27"/>
  <c r="AP76" i="27"/>
  <c r="AO76" i="27"/>
  <c r="AA77" i="27"/>
  <c r="AG76" i="27"/>
  <c r="U77" i="27"/>
  <c r="AD77" i="27"/>
  <c r="AC77" i="27"/>
  <c r="AB78" i="27"/>
  <c r="D693" i="30"/>
  <c r="I693" i="30" s="1"/>
  <c r="B693" i="30"/>
  <c r="Q78" i="27"/>
  <c r="R78" i="27"/>
  <c r="AT62" i="27"/>
  <c r="H58" i="30" s="1"/>
  <c r="I78" i="27"/>
  <c r="S77" i="27"/>
  <c r="T77" i="27" s="1"/>
  <c r="AY65" i="27"/>
  <c r="AX65" i="27" s="1"/>
  <c r="AX64" i="27"/>
  <c r="BJ63" i="27"/>
  <c r="BK63" i="27" s="1"/>
  <c r="BE66" i="27"/>
  <c r="F62" i="30"/>
  <c r="BB65" i="27"/>
  <c r="BC65" i="27"/>
  <c r="BL65" i="27" s="1"/>
  <c r="E61" i="30"/>
  <c r="B71" i="30"/>
  <c r="AZ66" i="27"/>
  <c r="AU68" i="27"/>
  <c r="BI64" i="27"/>
  <c r="BH64" i="27"/>
  <c r="BD65" i="27"/>
  <c r="BG65" i="27" s="1"/>
  <c r="D63" i="30"/>
  <c r="I63" i="30" s="1"/>
  <c r="G72" i="30" l="1"/>
  <c r="BF76" i="27"/>
  <c r="AM78" i="27"/>
  <c r="AS77" i="27"/>
  <c r="AQ76" i="27"/>
  <c r="AR76" i="27" s="1"/>
  <c r="AE77" i="27"/>
  <c r="AF77" i="27" s="1"/>
  <c r="AO77" i="27"/>
  <c r="AN78" i="27"/>
  <c r="AP77" i="27"/>
  <c r="AA78" i="27"/>
  <c r="AG77" i="27"/>
  <c r="U78" i="27"/>
  <c r="AC78" i="27"/>
  <c r="AD78" i="27"/>
  <c r="AB79" i="27"/>
  <c r="D694" i="30"/>
  <c r="I694" i="30" s="1"/>
  <c r="B694" i="30"/>
  <c r="I79" i="27"/>
  <c r="AT63" i="27"/>
  <c r="H59" i="30" s="1"/>
  <c r="S78" i="27"/>
  <c r="T78" i="27" s="1"/>
  <c r="R79" i="27"/>
  <c r="Q79" i="27"/>
  <c r="BA66" i="27"/>
  <c r="AZ67" i="27"/>
  <c r="BE67" i="27"/>
  <c r="F63" i="30"/>
  <c r="B72" i="30"/>
  <c r="BC66" i="27"/>
  <c r="BB66" i="27"/>
  <c r="E62" i="30"/>
  <c r="BJ64" i="27"/>
  <c r="BK64" i="27" s="1"/>
  <c r="BA67" i="27"/>
  <c r="D64" i="30"/>
  <c r="I64" i="30" s="1"/>
  <c r="AY66" i="27"/>
  <c r="BD66" i="27"/>
  <c r="BG66" i="27" s="1"/>
  <c r="AU69" i="27"/>
  <c r="BI65" i="27"/>
  <c r="BH65" i="27"/>
  <c r="S79" i="27" l="1"/>
  <c r="T79" i="27" s="1"/>
  <c r="G73" i="30"/>
  <c r="BF77" i="27"/>
  <c r="AS78" i="27"/>
  <c r="AM79" i="27"/>
  <c r="AO78" i="27"/>
  <c r="AP78" i="27"/>
  <c r="AN79" i="27"/>
  <c r="AQ77" i="27"/>
  <c r="AR77" i="27" s="1"/>
  <c r="AX66" i="27"/>
  <c r="AG78" i="27"/>
  <c r="AA79" i="27"/>
  <c r="U79" i="27"/>
  <c r="AB80" i="27"/>
  <c r="AC79" i="27"/>
  <c r="AD79" i="27"/>
  <c r="AE78" i="27"/>
  <c r="AF78" i="27" s="1"/>
  <c r="D695" i="30"/>
  <c r="I695" i="30" s="1"/>
  <c r="B695" i="30"/>
  <c r="AT64" i="27"/>
  <c r="H60" i="30" s="1"/>
  <c r="I80" i="27"/>
  <c r="R80" i="27"/>
  <c r="Q80" i="27"/>
  <c r="BL66" i="27"/>
  <c r="BE68" i="27"/>
  <c r="F64" i="30"/>
  <c r="BB67" i="27"/>
  <c r="BC67" i="27"/>
  <c r="E63" i="30"/>
  <c r="B73" i="30"/>
  <c r="BJ65" i="27"/>
  <c r="BK65" i="27" s="1"/>
  <c r="BD67" i="27"/>
  <c r="BG67" i="27" s="1"/>
  <c r="AY67" i="27"/>
  <c r="AX67" i="27" s="1"/>
  <c r="AZ68" i="27"/>
  <c r="AU70" i="27"/>
  <c r="D65" i="30"/>
  <c r="I65" i="30" s="1"/>
  <c r="BI66" i="27"/>
  <c r="BH66" i="27"/>
  <c r="S80" i="27" l="1"/>
  <c r="T80" i="27" s="1"/>
  <c r="AS79" i="27"/>
  <c r="AM80" i="27"/>
  <c r="BF78" i="27"/>
  <c r="G74" i="30"/>
  <c r="AP79" i="27"/>
  <c r="AO79" i="27"/>
  <c r="AN80" i="27"/>
  <c r="AQ78" i="27"/>
  <c r="AR78" i="27" s="1"/>
  <c r="AA80" i="27"/>
  <c r="AG79" i="27"/>
  <c r="AE79" i="27"/>
  <c r="AF79" i="27" s="1"/>
  <c r="U80" i="27"/>
  <c r="AC80" i="27"/>
  <c r="AD80" i="27"/>
  <c r="AB81" i="27"/>
  <c r="D696" i="30"/>
  <c r="I696" i="30" s="1"/>
  <c r="B696" i="30"/>
  <c r="AT65" i="27"/>
  <c r="H61" i="30" s="1"/>
  <c r="I81" i="27"/>
  <c r="Q81" i="27"/>
  <c r="R81" i="27"/>
  <c r="BL67" i="27"/>
  <c r="BJ66" i="27"/>
  <c r="BK66" i="27" s="1"/>
  <c r="BE69" i="27"/>
  <c r="F65" i="30"/>
  <c r="B74" i="30"/>
  <c r="BC68" i="27"/>
  <c r="BB68" i="27"/>
  <c r="E64" i="30"/>
  <c r="AZ69" i="27"/>
  <c r="AY68" i="27"/>
  <c r="D66" i="30"/>
  <c r="I66" i="30" s="1"/>
  <c r="BD68" i="27"/>
  <c r="BG68" i="27" s="1"/>
  <c r="BA68" i="27"/>
  <c r="BI67" i="27"/>
  <c r="BH67" i="27"/>
  <c r="AU71" i="27"/>
  <c r="AQ79" i="27" l="1"/>
  <c r="AR79" i="27" s="1"/>
  <c r="BF79" i="27"/>
  <c r="G75" i="30"/>
  <c r="AM81" i="27"/>
  <c r="AS80" i="27"/>
  <c r="AO80" i="27"/>
  <c r="AN81" i="27"/>
  <c r="AP80" i="27"/>
  <c r="AG80" i="27"/>
  <c r="AA81" i="27"/>
  <c r="U81" i="27"/>
  <c r="AB82" i="27"/>
  <c r="AC81" i="27"/>
  <c r="AD81" i="27"/>
  <c r="AE80" i="27"/>
  <c r="AF80" i="27" s="1"/>
  <c r="D697" i="30"/>
  <c r="I697" i="30" s="1"/>
  <c r="B697" i="30"/>
  <c r="AT66" i="27"/>
  <c r="H62" i="30" s="1"/>
  <c r="Q82" i="27"/>
  <c r="R82" i="27"/>
  <c r="I82" i="27"/>
  <c r="S81" i="27"/>
  <c r="T81" i="27" s="1"/>
  <c r="BA69" i="27"/>
  <c r="BL68" i="27"/>
  <c r="AX68" i="27"/>
  <c r="BE70" i="27"/>
  <c r="F66" i="30"/>
  <c r="BB69" i="27"/>
  <c r="BC69" i="27"/>
  <c r="BL69" i="27" s="1"/>
  <c r="E65" i="30"/>
  <c r="B75" i="30"/>
  <c r="AY69" i="27"/>
  <c r="BJ67" i="27"/>
  <c r="BK67" i="27" s="1"/>
  <c r="AZ70" i="27"/>
  <c r="BI68" i="27"/>
  <c r="BH68" i="27"/>
  <c r="D67" i="30"/>
  <c r="I67" i="30" s="1"/>
  <c r="BD69" i="27"/>
  <c r="BG69" i="27" s="1"/>
  <c r="AU72" i="27"/>
  <c r="AM82" i="27" l="1"/>
  <c r="AS81" i="27"/>
  <c r="BF80" i="27"/>
  <c r="G76" i="30"/>
  <c r="AX69" i="27"/>
  <c r="AO81" i="27"/>
  <c r="AN82" i="27"/>
  <c r="AP81" i="27"/>
  <c r="AQ80" i="27"/>
  <c r="AR80" i="27" s="1"/>
  <c r="AG81" i="27"/>
  <c r="AA82" i="27"/>
  <c r="AE81" i="27"/>
  <c r="AF81" i="27" s="1"/>
  <c r="U82" i="27"/>
  <c r="AD82" i="27"/>
  <c r="AB83" i="27"/>
  <c r="AC82" i="27"/>
  <c r="D698" i="30"/>
  <c r="I698" i="30" s="1"/>
  <c r="B698" i="30"/>
  <c r="R83" i="27"/>
  <c r="Q83" i="27"/>
  <c r="S82" i="27"/>
  <c r="T82" i="27" s="1"/>
  <c r="AT67" i="27"/>
  <c r="H63" i="30" s="1"/>
  <c r="I83" i="27"/>
  <c r="BE71" i="27"/>
  <c r="F67" i="30"/>
  <c r="BB70" i="27"/>
  <c r="BC70" i="27"/>
  <c r="BL70" i="27" s="1"/>
  <c r="E66" i="30"/>
  <c r="B76" i="30"/>
  <c r="BA70" i="27"/>
  <c r="BJ68" i="27"/>
  <c r="BK68" i="27" s="1"/>
  <c r="AY70" i="27"/>
  <c r="D68" i="30"/>
  <c r="I68" i="30" s="1"/>
  <c r="BD70" i="27"/>
  <c r="BG70" i="27" s="1"/>
  <c r="AU73" i="27"/>
  <c r="AZ71" i="27"/>
  <c r="BI69" i="27"/>
  <c r="BH69" i="27"/>
  <c r="S83" i="27" l="1"/>
  <c r="T83" i="27" s="1"/>
  <c r="BF81" i="27"/>
  <c r="G77" i="30"/>
  <c r="AS82" i="27"/>
  <c r="AM83" i="27"/>
  <c r="AP82" i="27"/>
  <c r="AN83" i="27"/>
  <c r="AO82" i="27"/>
  <c r="AQ81" i="27"/>
  <c r="AR81" i="27" s="1"/>
  <c r="AE82" i="27"/>
  <c r="AF82" i="27" s="1"/>
  <c r="AA83" i="27"/>
  <c r="AG82" i="27"/>
  <c r="U83" i="27"/>
  <c r="AC83" i="27"/>
  <c r="AD83" i="27"/>
  <c r="AB84" i="27"/>
  <c r="D699" i="30"/>
  <c r="I699" i="30" s="1"/>
  <c r="B699" i="30"/>
  <c r="AT68" i="27"/>
  <c r="H64" i="30" s="1"/>
  <c r="I84" i="27"/>
  <c r="R84" i="27"/>
  <c r="Q84" i="27"/>
  <c r="AZ72" i="27"/>
  <c r="BE72" i="27"/>
  <c r="F68" i="30"/>
  <c r="B77" i="30"/>
  <c r="AX70" i="27"/>
  <c r="BB71" i="27"/>
  <c r="BC71" i="27"/>
  <c r="BL71" i="27" s="1"/>
  <c r="E67" i="30"/>
  <c r="BA71" i="27"/>
  <c r="BJ69" i="27"/>
  <c r="BK69" i="27" s="1"/>
  <c r="BD71" i="27"/>
  <c r="BG71" i="27" s="1"/>
  <c r="BI70" i="27"/>
  <c r="BH70" i="27"/>
  <c r="AU74" i="27"/>
  <c r="AY71" i="27"/>
  <c r="D69" i="30"/>
  <c r="I69" i="30" s="1"/>
  <c r="AQ82" i="27" l="1"/>
  <c r="AR82" i="27" s="1"/>
  <c r="AM84" i="27"/>
  <c r="AS83" i="27"/>
  <c r="G78" i="30"/>
  <c r="BF82" i="27"/>
  <c r="S84" i="27"/>
  <c r="T84" i="27" s="1"/>
  <c r="AP83" i="27"/>
  <c r="AO83" i="27"/>
  <c r="AN84" i="27"/>
  <c r="AA84" i="27"/>
  <c r="AG83" i="27"/>
  <c r="U84" i="27"/>
  <c r="AD84" i="27"/>
  <c r="AC84" i="27"/>
  <c r="AB85" i="27"/>
  <c r="AE83" i="27"/>
  <c r="AF83" i="27" s="1"/>
  <c r="D700" i="30"/>
  <c r="I700" i="30" s="1"/>
  <c r="B700" i="30"/>
  <c r="AT69" i="27"/>
  <c r="H65" i="30" s="1"/>
  <c r="Q85" i="27"/>
  <c r="R85" i="27"/>
  <c r="I85" i="27"/>
  <c r="BJ70" i="27"/>
  <c r="BK70" i="27" s="1"/>
  <c r="BE73" i="27"/>
  <c r="F69" i="30"/>
  <c r="AX71" i="27"/>
  <c r="BC72" i="27"/>
  <c r="BB72" i="27"/>
  <c r="E68" i="30"/>
  <c r="B78" i="30"/>
  <c r="AY72" i="27"/>
  <c r="AZ73" i="27"/>
  <c r="D70" i="30"/>
  <c r="I70" i="30" s="1"/>
  <c r="AU75" i="27"/>
  <c r="BA72" i="27"/>
  <c r="BD72" i="27"/>
  <c r="BG72" i="27" s="1"/>
  <c r="BI71" i="27"/>
  <c r="BH71" i="27"/>
  <c r="AQ83" i="27" l="1"/>
  <c r="AR83" i="27" s="1"/>
  <c r="AM85" i="27"/>
  <c r="AS84" i="27"/>
  <c r="G79" i="30"/>
  <c r="BF83" i="27"/>
  <c r="AE84" i="27"/>
  <c r="AF84" i="27" s="1"/>
  <c r="AP84" i="27"/>
  <c r="AO84" i="27"/>
  <c r="AN85" i="27"/>
  <c r="AG84" i="27"/>
  <c r="AA85" i="27"/>
  <c r="U85" i="27"/>
  <c r="AC85" i="27"/>
  <c r="AD85" i="27"/>
  <c r="AB86" i="27"/>
  <c r="D701" i="30"/>
  <c r="I701" i="30" s="1"/>
  <c r="B701" i="30"/>
  <c r="Q86" i="27"/>
  <c r="R86" i="27"/>
  <c r="S85" i="27"/>
  <c r="T85" i="27" s="1"/>
  <c r="AT70" i="27"/>
  <c r="H66" i="30" s="1"/>
  <c r="I86" i="27"/>
  <c r="BL72" i="27"/>
  <c r="AX72" i="27"/>
  <c r="BE74" i="27"/>
  <c r="F70" i="30"/>
  <c r="B79" i="30"/>
  <c r="BB73" i="27"/>
  <c r="BC73" i="27"/>
  <c r="E69" i="30"/>
  <c r="AY73" i="27"/>
  <c r="BH72" i="27"/>
  <c r="BI72" i="27"/>
  <c r="AU76" i="27"/>
  <c r="BA73" i="27"/>
  <c r="BD73" i="27"/>
  <c r="BG73" i="27" s="1"/>
  <c r="D71" i="30"/>
  <c r="I71" i="30" s="1"/>
  <c r="AZ74" i="27"/>
  <c r="BJ71" i="27"/>
  <c r="BK71" i="27" s="1"/>
  <c r="AQ84" i="27" l="1"/>
  <c r="AR84" i="27" s="1"/>
  <c r="G80" i="30"/>
  <c r="BF84" i="27"/>
  <c r="AM86" i="27"/>
  <c r="AS85" i="27"/>
  <c r="AO85" i="27"/>
  <c r="AP85" i="27"/>
  <c r="AN86" i="27"/>
  <c r="AG85" i="27"/>
  <c r="AA86" i="27"/>
  <c r="U86" i="27"/>
  <c r="AD86" i="27"/>
  <c r="AC86" i="27"/>
  <c r="AB87" i="27"/>
  <c r="AE85" i="27"/>
  <c r="AF85" i="27" s="1"/>
  <c r="D702" i="30"/>
  <c r="I702" i="30" s="1"/>
  <c r="B702" i="30"/>
  <c r="S86" i="27"/>
  <c r="T86" i="27" s="1"/>
  <c r="AT71" i="27"/>
  <c r="H67" i="30" s="1"/>
  <c r="I87" i="27"/>
  <c r="Q87" i="27"/>
  <c r="R87" i="27"/>
  <c r="AZ75" i="27"/>
  <c r="BL73" i="27"/>
  <c r="AX73" i="27"/>
  <c r="BE75" i="27"/>
  <c r="F71" i="30"/>
  <c r="B80" i="30"/>
  <c r="BB74" i="27"/>
  <c r="BC74" i="27"/>
  <c r="BL74" i="27" s="1"/>
  <c r="E70" i="30"/>
  <c r="AY74" i="27"/>
  <c r="BA74" i="27"/>
  <c r="D72" i="30"/>
  <c r="I72" i="30" s="1"/>
  <c r="BD74" i="27"/>
  <c r="BG74" i="27" s="1"/>
  <c r="BI73" i="27"/>
  <c r="BH73" i="27"/>
  <c r="BJ72" i="27"/>
  <c r="BK72" i="27" s="1"/>
  <c r="AU77" i="27"/>
  <c r="AS86" i="27" l="1"/>
  <c r="AM87" i="27"/>
  <c r="BF85" i="27"/>
  <c r="G81" i="30"/>
  <c r="AE86" i="27"/>
  <c r="AF86" i="27" s="1"/>
  <c r="AO86" i="27"/>
  <c r="AN87" i="27"/>
  <c r="AP86" i="27"/>
  <c r="AQ85" i="27"/>
  <c r="AR85" i="27" s="1"/>
  <c r="AG86" i="27"/>
  <c r="AA87" i="27"/>
  <c r="U87" i="27"/>
  <c r="AC87" i="27"/>
  <c r="AB88" i="27"/>
  <c r="AD87" i="27"/>
  <c r="D703" i="30"/>
  <c r="I703" i="30" s="1"/>
  <c r="B703" i="30"/>
  <c r="R88" i="27"/>
  <c r="Q88" i="27"/>
  <c r="S87" i="27"/>
  <c r="T87" i="27" s="1"/>
  <c r="I88" i="27"/>
  <c r="AT72" i="27"/>
  <c r="H68" i="30" s="1"/>
  <c r="AY75" i="27"/>
  <c r="AX74" i="27"/>
  <c r="BE76" i="27"/>
  <c r="F72" i="30"/>
  <c r="B81" i="30"/>
  <c r="BB75" i="27"/>
  <c r="BC75" i="27"/>
  <c r="BL75" i="27" s="1"/>
  <c r="E71" i="30"/>
  <c r="BJ73" i="27"/>
  <c r="BK73" i="27" s="1"/>
  <c r="BA75" i="27"/>
  <c r="BI74" i="27"/>
  <c r="BH74" i="27"/>
  <c r="BD75" i="27"/>
  <c r="BG75" i="27" s="1"/>
  <c r="AZ76" i="27"/>
  <c r="D73" i="30"/>
  <c r="I73" i="30" s="1"/>
  <c r="AU78" i="27"/>
  <c r="S88" i="27" l="1"/>
  <c r="T88" i="27" s="1"/>
  <c r="AS87" i="27"/>
  <c r="AM88" i="27"/>
  <c r="BF86" i="27"/>
  <c r="G82" i="30"/>
  <c r="BJ74" i="27"/>
  <c r="BK74" i="27" s="1"/>
  <c r="AT74" i="27" s="1"/>
  <c r="H70" i="30" s="1"/>
  <c r="AP87" i="27"/>
  <c r="AN88" i="27"/>
  <c r="AO87" i="27"/>
  <c r="AQ86" i="27"/>
  <c r="AR86" i="27" s="1"/>
  <c r="AA88" i="27"/>
  <c r="AG87" i="27"/>
  <c r="AX75" i="27"/>
  <c r="U88" i="27"/>
  <c r="AC88" i="27"/>
  <c r="AB89" i="27"/>
  <c r="AD88" i="27"/>
  <c r="AE87" i="27"/>
  <c r="AF87" i="27" s="1"/>
  <c r="D704" i="30"/>
  <c r="I704" i="30" s="1"/>
  <c r="B704" i="30"/>
  <c r="I89" i="27"/>
  <c r="AT73" i="27"/>
  <c r="H69" i="30" s="1"/>
  <c r="R89" i="27"/>
  <c r="Q89" i="27"/>
  <c r="AY76" i="27"/>
  <c r="BE77" i="27"/>
  <c r="F73" i="30"/>
  <c r="BC76" i="27"/>
  <c r="BL76" i="27" s="1"/>
  <c r="BB76" i="27"/>
  <c r="E72" i="30"/>
  <c r="B82" i="30"/>
  <c r="BA76" i="27"/>
  <c r="AU79" i="27"/>
  <c r="BD76" i="27"/>
  <c r="BG76" i="27" s="1"/>
  <c r="BA77" i="27"/>
  <c r="AZ77" i="27"/>
  <c r="D74" i="30"/>
  <c r="I74" i="30" s="1"/>
  <c r="BI75" i="27"/>
  <c r="BH75" i="27"/>
  <c r="AS88" i="27" l="1"/>
  <c r="AM89" i="27"/>
  <c r="G83" i="30"/>
  <c r="BF87" i="27"/>
  <c r="AQ87" i="27"/>
  <c r="AR87" i="27" s="1"/>
  <c r="S89" i="27"/>
  <c r="T89" i="27" s="1"/>
  <c r="AN89" i="27"/>
  <c r="AO88" i="27"/>
  <c r="AP88" i="27"/>
  <c r="AG88" i="27"/>
  <c r="AA89" i="27"/>
  <c r="AX76" i="27"/>
  <c r="U89" i="27"/>
  <c r="AB90" i="27"/>
  <c r="AD89" i="27"/>
  <c r="AC89" i="27"/>
  <c r="AE88" i="27"/>
  <c r="AF88" i="27" s="1"/>
  <c r="D705" i="30"/>
  <c r="I705" i="30" s="1"/>
  <c r="B705" i="30"/>
  <c r="Q90" i="27"/>
  <c r="R90" i="27"/>
  <c r="I90" i="27"/>
  <c r="BE78" i="27"/>
  <c r="F74" i="30"/>
  <c r="B83" i="30"/>
  <c r="BC77" i="27"/>
  <c r="BB77" i="27"/>
  <c r="E73" i="30"/>
  <c r="AY77" i="27"/>
  <c r="AX77" i="27" s="1"/>
  <c r="BJ75" i="27"/>
  <c r="BK75" i="27" s="1"/>
  <c r="D75" i="30"/>
  <c r="I75" i="30" s="1"/>
  <c r="BH76" i="27"/>
  <c r="BI76" i="27"/>
  <c r="BD77" i="27"/>
  <c r="BG77" i="27" s="1"/>
  <c r="AZ78" i="27"/>
  <c r="AU80" i="27"/>
  <c r="AE89" i="27" l="1"/>
  <c r="AF89" i="27" s="1"/>
  <c r="BF88" i="27"/>
  <c r="G84" i="30"/>
  <c r="AM90" i="27"/>
  <c r="AS89" i="27"/>
  <c r="AQ88" i="27"/>
  <c r="AR88" i="27" s="1"/>
  <c r="AO89" i="27"/>
  <c r="AN90" i="27"/>
  <c r="AP89" i="27"/>
  <c r="AG89" i="27"/>
  <c r="AA90" i="27"/>
  <c r="S90" i="27"/>
  <c r="T90" i="27" s="1"/>
  <c r="U90" i="27"/>
  <c r="AC90" i="27"/>
  <c r="AD90" i="27"/>
  <c r="AB91" i="27"/>
  <c r="D706" i="30"/>
  <c r="I706" i="30" s="1"/>
  <c r="B706" i="30"/>
  <c r="AT75" i="27"/>
  <c r="H71" i="30" s="1"/>
  <c r="Q91" i="27"/>
  <c r="R91" i="27"/>
  <c r="I91" i="27"/>
  <c r="BA78" i="27"/>
  <c r="BL77" i="27"/>
  <c r="BE79" i="27"/>
  <c r="F75" i="30"/>
  <c r="BB78" i="27"/>
  <c r="BC78" i="27"/>
  <c r="BL78" i="27" s="1"/>
  <c r="E74" i="30"/>
  <c r="B84" i="30"/>
  <c r="AZ79" i="27"/>
  <c r="BA79" i="27"/>
  <c r="BJ76" i="27"/>
  <c r="BK76" i="27" s="1"/>
  <c r="AU81" i="27"/>
  <c r="BD78" i="27"/>
  <c r="BG78" i="27" s="1"/>
  <c r="BH77" i="27"/>
  <c r="BI77" i="27"/>
  <c r="AY78" i="27"/>
  <c r="D76" i="30"/>
  <c r="I76" i="30" s="1"/>
  <c r="G85" i="30" l="1"/>
  <c r="BF89" i="27"/>
  <c r="AM91" i="27"/>
  <c r="AS90" i="27"/>
  <c r="AP90" i="27"/>
  <c r="AN91" i="27"/>
  <c r="AO90" i="27"/>
  <c r="AQ89" i="27"/>
  <c r="AR89" i="27" s="1"/>
  <c r="AA91" i="27"/>
  <c r="AG90" i="27"/>
  <c r="AX78" i="27"/>
  <c r="U91" i="27"/>
  <c r="AB92" i="27"/>
  <c r="AD91" i="27"/>
  <c r="AC91" i="27"/>
  <c r="AE90" i="27"/>
  <c r="AF90" i="27" s="1"/>
  <c r="D707" i="30"/>
  <c r="I707" i="30" s="1"/>
  <c r="B707" i="30"/>
  <c r="AT76" i="27"/>
  <c r="H72" i="30" s="1"/>
  <c r="Q92" i="27"/>
  <c r="R92" i="27"/>
  <c r="S91" i="27"/>
  <c r="T91" i="27" s="1"/>
  <c r="I92" i="27"/>
  <c r="BE80" i="27"/>
  <c r="F76" i="30"/>
  <c r="BB79" i="27"/>
  <c r="BC79" i="27"/>
  <c r="BL79" i="27" s="1"/>
  <c r="E75" i="30"/>
  <c r="B85" i="30"/>
  <c r="AY79" i="27"/>
  <c r="AX79" i="27" s="1"/>
  <c r="AZ80" i="27"/>
  <c r="AU82" i="27"/>
  <c r="BH78" i="27"/>
  <c r="BI78" i="27"/>
  <c r="BJ77" i="27"/>
  <c r="BK77" i="27" s="1"/>
  <c r="D77" i="30"/>
  <c r="I77" i="30" s="1"/>
  <c r="BD79" i="27"/>
  <c r="BG79" i="27" s="1"/>
  <c r="AQ90" i="27" l="1"/>
  <c r="AR90" i="27" s="1"/>
  <c r="BF90" i="27"/>
  <c r="G86" i="30"/>
  <c r="AM92" i="27"/>
  <c r="AS91" i="27"/>
  <c r="AP91" i="27"/>
  <c r="AO91" i="27"/>
  <c r="AN92" i="27"/>
  <c r="AG91" i="27"/>
  <c r="AA92" i="27"/>
  <c r="U92" i="27"/>
  <c r="AE91" i="27"/>
  <c r="AF91" i="27" s="1"/>
  <c r="AD92" i="27"/>
  <c r="AC92" i="27"/>
  <c r="AB93" i="27"/>
  <c r="D708" i="30"/>
  <c r="I708" i="30" s="1"/>
  <c r="B708" i="30"/>
  <c r="AT77" i="27"/>
  <c r="H73" i="30" s="1"/>
  <c r="Q93" i="27"/>
  <c r="R93" i="27"/>
  <c r="S92" i="27"/>
  <c r="T92" i="27" s="1"/>
  <c r="I93" i="27"/>
  <c r="BE81" i="27"/>
  <c r="F77" i="30"/>
  <c r="BC80" i="27"/>
  <c r="BL80" i="27" s="1"/>
  <c r="BB80" i="27"/>
  <c r="E76" i="30"/>
  <c r="B86" i="30"/>
  <c r="AZ81" i="27"/>
  <c r="BI79" i="27"/>
  <c r="BH79" i="27"/>
  <c r="AU83" i="27"/>
  <c r="AY80" i="27"/>
  <c r="BD80" i="27"/>
  <c r="BG80" i="27" s="1"/>
  <c r="BJ78" i="27"/>
  <c r="BK78" i="27" s="1"/>
  <c r="BA80" i="27"/>
  <c r="D78" i="30"/>
  <c r="I78" i="30" s="1"/>
  <c r="AQ91" i="27" l="1"/>
  <c r="AR91" i="27" s="1"/>
  <c r="BF91" i="27"/>
  <c r="G87" i="30"/>
  <c r="AS92" i="27"/>
  <c r="AM93" i="27"/>
  <c r="AP92" i="27"/>
  <c r="AN93" i="27"/>
  <c r="AO92" i="27"/>
  <c r="AG92" i="27"/>
  <c r="AA93" i="27"/>
  <c r="U93" i="27"/>
  <c r="AC93" i="27"/>
  <c r="AB94" i="27"/>
  <c r="AD93" i="27"/>
  <c r="AE92" i="27"/>
  <c r="AF92" i="27" s="1"/>
  <c r="D709" i="30"/>
  <c r="I709" i="30" s="1"/>
  <c r="B709" i="30"/>
  <c r="I94" i="27"/>
  <c r="Q94" i="27"/>
  <c r="R94" i="27"/>
  <c r="S93" i="27"/>
  <c r="T93" i="27" s="1"/>
  <c r="AT78" i="27"/>
  <c r="H74" i="30" s="1"/>
  <c r="BE82" i="27"/>
  <c r="F78" i="30"/>
  <c r="BB81" i="27"/>
  <c r="BC81" i="27"/>
  <c r="BL81" i="27" s="1"/>
  <c r="E77" i="30"/>
  <c r="B87" i="30"/>
  <c r="AZ82" i="27"/>
  <c r="BJ79" i="27"/>
  <c r="BK79" i="27" s="1"/>
  <c r="BA81" i="27"/>
  <c r="D79" i="30"/>
  <c r="I79" i="30" s="1"/>
  <c r="AX80" i="27"/>
  <c r="BD81" i="27"/>
  <c r="BG81" i="27" s="1"/>
  <c r="AU84" i="27"/>
  <c r="AY81" i="27"/>
  <c r="BI80" i="27"/>
  <c r="BH80" i="27"/>
  <c r="AQ92" i="27" l="1"/>
  <c r="AR92" i="27" s="1"/>
  <c r="AM94" i="27"/>
  <c r="AS93" i="27"/>
  <c r="G88" i="30"/>
  <c r="BF92" i="27"/>
  <c r="AP93" i="27"/>
  <c r="AO93" i="27"/>
  <c r="AN94" i="27"/>
  <c r="AG93" i="27"/>
  <c r="AA94" i="27"/>
  <c r="U94" i="27"/>
  <c r="AB95" i="27"/>
  <c r="AC94" i="27"/>
  <c r="AD94" i="27"/>
  <c r="AE93" i="27"/>
  <c r="AF93" i="27" s="1"/>
  <c r="D710" i="30"/>
  <c r="I710" i="30" s="1"/>
  <c r="B710" i="30"/>
  <c r="AT79" i="27"/>
  <c r="H75" i="30" s="1"/>
  <c r="S94" i="27"/>
  <c r="T94" i="27" s="1"/>
  <c r="I95" i="27"/>
  <c r="Q95" i="27"/>
  <c r="R95" i="27"/>
  <c r="BE83" i="27"/>
  <c r="F79" i="30"/>
  <c r="B88" i="30"/>
  <c r="BC82" i="27"/>
  <c r="BL82" i="27" s="1"/>
  <c r="BB82" i="27"/>
  <c r="E78" i="30"/>
  <c r="AY82" i="27"/>
  <c r="BA82" i="27"/>
  <c r="AX81" i="27"/>
  <c r="BJ80" i="27"/>
  <c r="BK80" i="27" s="1"/>
  <c r="AZ83" i="27"/>
  <c r="BD82" i="27"/>
  <c r="BG82" i="27" s="1"/>
  <c r="AU85" i="27"/>
  <c r="D80" i="30"/>
  <c r="I80" i="30" s="1"/>
  <c r="BI81" i="27"/>
  <c r="BH81" i="27"/>
  <c r="AQ93" i="27" l="1"/>
  <c r="AR93" i="27" s="1"/>
  <c r="BF93" i="27"/>
  <c r="G89" i="30"/>
  <c r="AM95" i="27"/>
  <c r="AS94" i="27"/>
  <c r="AN95" i="27"/>
  <c r="AP94" i="27"/>
  <c r="AO94" i="27"/>
  <c r="S95" i="27"/>
  <c r="T95" i="27" s="1"/>
  <c r="AG94" i="27"/>
  <c r="AA95" i="27"/>
  <c r="AE94" i="27"/>
  <c r="AF94" i="27" s="1"/>
  <c r="U95" i="27"/>
  <c r="AD95" i="27"/>
  <c r="AB96" i="27"/>
  <c r="AC95" i="27"/>
  <c r="D711" i="30"/>
  <c r="I711" i="30" s="1"/>
  <c r="B711" i="30"/>
  <c r="AT80" i="27"/>
  <c r="H76" i="30" s="1"/>
  <c r="I96" i="27"/>
  <c r="Q96" i="27"/>
  <c r="R96" i="27"/>
  <c r="AX82" i="27"/>
  <c r="BE84" i="27"/>
  <c r="F80" i="30"/>
  <c r="BB83" i="27"/>
  <c r="BC83" i="27"/>
  <c r="BL83" i="27" s="1"/>
  <c r="E79" i="30"/>
  <c r="B89" i="30"/>
  <c r="BA83" i="27"/>
  <c r="AY83" i="27"/>
  <c r="AU86" i="27"/>
  <c r="BJ81" i="27"/>
  <c r="BK81" i="27" s="1"/>
  <c r="BI82" i="27"/>
  <c r="BH82" i="27"/>
  <c r="AZ84" i="27"/>
  <c r="D81" i="30"/>
  <c r="I81" i="30" s="1"/>
  <c r="BD83" i="27"/>
  <c r="BG83" i="27" s="1"/>
  <c r="AQ94" i="27" l="1"/>
  <c r="AR94" i="27" s="1"/>
  <c r="AS95" i="27"/>
  <c r="AM96" i="27"/>
  <c r="BF94" i="27"/>
  <c r="G90" i="30"/>
  <c r="AN96" i="27"/>
  <c r="AP95" i="27"/>
  <c r="AO95" i="27"/>
  <c r="AE95" i="27"/>
  <c r="AF95" i="27" s="1"/>
  <c r="AA96" i="27"/>
  <c r="AG95" i="27"/>
  <c r="U96" i="27"/>
  <c r="AC96" i="27"/>
  <c r="AB97" i="27"/>
  <c r="AD96" i="27"/>
  <c r="D712" i="30"/>
  <c r="I712" i="30" s="1"/>
  <c r="B712" i="30"/>
  <c r="I97" i="27"/>
  <c r="S96" i="27"/>
  <c r="T96" i="27" s="1"/>
  <c r="AT81" i="27"/>
  <c r="H77" i="30" s="1"/>
  <c r="Q97" i="27"/>
  <c r="R97" i="27"/>
  <c r="AX83" i="27"/>
  <c r="BE85" i="27"/>
  <c r="F81" i="30"/>
  <c r="B90" i="30"/>
  <c r="BC84" i="27"/>
  <c r="BL84" i="27" s="1"/>
  <c r="BB84" i="27"/>
  <c r="E80" i="30"/>
  <c r="BJ82" i="27"/>
  <c r="BK82" i="27" s="1"/>
  <c r="D82" i="30"/>
  <c r="I82" i="30" s="1"/>
  <c r="AZ85" i="27"/>
  <c r="AY84" i="27"/>
  <c r="AU87" i="27"/>
  <c r="BD84" i="27"/>
  <c r="BG84" i="27" s="1"/>
  <c r="BA84" i="27"/>
  <c r="BI83" i="27"/>
  <c r="BH83" i="27"/>
  <c r="AQ95" i="27" l="1"/>
  <c r="AR95" i="27" s="1"/>
  <c r="AS96" i="27"/>
  <c r="AM97" i="27"/>
  <c r="G91" i="30"/>
  <c r="BF95" i="27"/>
  <c r="AN97" i="27"/>
  <c r="AP96" i="27"/>
  <c r="AO96" i="27"/>
  <c r="AG96" i="27"/>
  <c r="AA97" i="27"/>
  <c r="U97" i="27"/>
  <c r="AC97" i="27"/>
  <c r="AD97" i="27"/>
  <c r="AB98" i="27"/>
  <c r="AE96" i="27"/>
  <c r="AF96" i="27" s="1"/>
  <c r="D713" i="30"/>
  <c r="I713" i="30" s="1"/>
  <c r="B713" i="30"/>
  <c r="AT82" i="27"/>
  <c r="H78" i="30" s="1"/>
  <c r="I98" i="27"/>
  <c r="Q98" i="27"/>
  <c r="R98" i="27"/>
  <c r="S97" i="27"/>
  <c r="T97" i="27" s="1"/>
  <c r="AZ86" i="27"/>
  <c r="BE86" i="27"/>
  <c r="F82" i="30"/>
  <c r="BB85" i="27"/>
  <c r="BC85" i="27"/>
  <c r="BL85" i="27" s="1"/>
  <c r="E81" i="30"/>
  <c r="B91" i="30"/>
  <c r="BJ83" i="27"/>
  <c r="BK83" i="27" s="1"/>
  <c r="BA85" i="27"/>
  <c r="AY85" i="27"/>
  <c r="BI84" i="27"/>
  <c r="BH84" i="27"/>
  <c r="AU88" i="27"/>
  <c r="D83" i="30"/>
  <c r="I83" i="30" s="1"/>
  <c r="BD85" i="27"/>
  <c r="BG85" i="27" s="1"/>
  <c r="AX84" i="27"/>
  <c r="AQ96" i="27" l="1"/>
  <c r="AR96" i="27" s="1"/>
  <c r="G92" i="30"/>
  <c r="BF96" i="27"/>
  <c r="AM98" i="27"/>
  <c r="AS97" i="27"/>
  <c r="AO97" i="27"/>
  <c r="AP97" i="27"/>
  <c r="AN98" i="27"/>
  <c r="AA98" i="27"/>
  <c r="AG97" i="27"/>
  <c r="U98" i="27"/>
  <c r="AC98" i="27"/>
  <c r="AB99" i="27"/>
  <c r="AD98" i="27"/>
  <c r="AE97" i="27"/>
  <c r="AF97" i="27" s="1"/>
  <c r="D714" i="30"/>
  <c r="I714" i="30" s="1"/>
  <c r="B714" i="30"/>
  <c r="Q99" i="27"/>
  <c r="R99" i="27"/>
  <c r="S98" i="27"/>
  <c r="T98" i="27" s="1"/>
  <c r="I99" i="27"/>
  <c r="AT83" i="27"/>
  <c r="H79" i="30" s="1"/>
  <c r="BE87" i="27"/>
  <c r="F83" i="30"/>
  <c r="B92" i="30"/>
  <c r="AX85" i="27"/>
  <c r="BB86" i="27"/>
  <c r="BC86" i="27"/>
  <c r="BL86" i="27" s="1"/>
  <c r="E82" i="30"/>
  <c r="AZ87" i="27"/>
  <c r="BA86" i="27"/>
  <c r="BJ84" i="27"/>
  <c r="BK84" i="27" s="1"/>
  <c r="BI85" i="27"/>
  <c r="BH85" i="27"/>
  <c r="AY86" i="27"/>
  <c r="D84" i="30"/>
  <c r="I84" i="30" s="1"/>
  <c r="BD86" i="27"/>
  <c r="BG86" i="27" s="1"/>
  <c r="AU89" i="27"/>
  <c r="AS98" i="27" l="1"/>
  <c r="AM99" i="27"/>
  <c r="G93" i="30"/>
  <c r="BF97" i="27"/>
  <c r="AP98" i="27"/>
  <c r="AO98" i="27"/>
  <c r="AN99" i="27"/>
  <c r="AQ97" i="27"/>
  <c r="AR97" i="27" s="1"/>
  <c r="AG98" i="27"/>
  <c r="AA99" i="27"/>
  <c r="U99" i="27"/>
  <c r="AD99" i="27"/>
  <c r="AC99" i="27"/>
  <c r="AB100" i="27"/>
  <c r="AE98" i="27"/>
  <c r="AF98" i="27" s="1"/>
  <c r="D715" i="30"/>
  <c r="I715" i="30" s="1"/>
  <c r="B715" i="30"/>
  <c r="I100" i="27"/>
  <c r="S99" i="27"/>
  <c r="T99" i="27" s="1"/>
  <c r="AT84" i="27"/>
  <c r="H80" i="30" s="1"/>
  <c r="R100" i="27"/>
  <c r="Q100" i="27"/>
  <c r="BE88" i="27"/>
  <c r="F84" i="30"/>
  <c r="B93" i="30"/>
  <c r="BB87" i="27"/>
  <c r="BC87" i="27"/>
  <c r="BL87" i="27" s="1"/>
  <c r="E83" i="30"/>
  <c r="AX86" i="27"/>
  <c r="BJ85" i="27"/>
  <c r="BK85" i="27" s="1"/>
  <c r="AU90" i="27"/>
  <c r="BH86" i="27"/>
  <c r="BI86" i="27"/>
  <c r="AZ88" i="27"/>
  <c r="BA87" i="27"/>
  <c r="D85" i="30"/>
  <c r="I85" i="30" s="1"/>
  <c r="BD87" i="27"/>
  <c r="BG87" i="27" s="1"/>
  <c r="AY87" i="27"/>
  <c r="AE99" i="27" l="1"/>
  <c r="AF99" i="27" s="1"/>
  <c r="AQ98" i="27"/>
  <c r="AR98" i="27" s="1"/>
  <c r="AM100" i="27"/>
  <c r="AS99" i="27"/>
  <c r="BF98" i="27"/>
  <c r="G94" i="30"/>
  <c r="AN100" i="27"/>
  <c r="AO99" i="27"/>
  <c r="AP99" i="27"/>
  <c r="AA100" i="27"/>
  <c r="AG99" i="27"/>
  <c r="U100" i="27"/>
  <c r="AC100" i="27"/>
  <c r="AD100" i="27"/>
  <c r="AB101" i="27"/>
  <c r="S100" i="27"/>
  <c r="T100" i="27" s="1"/>
  <c r="D716" i="30"/>
  <c r="I716" i="30" s="1"/>
  <c r="B716" i="30"/>
  <c r="AT85" i="27"/>
  <c r="H81" i="30" s="1"/>
  <c r="Q101" i="27"/>
  <c r="R101" i="27"/>
  <c r="I101" i="27"/>
  <c r="BE89" i="27"/>
  <c r="F85" i="30"/>
  <c r="BB88" i="27"/>
  <c r="BC88" i="27"/>
  <c r="BL88" i="27" s="1"/>
  <c r="E84" i="30"/>
  <c r="B94" i="30"/>
  <c r="AX87" i="27"/>
  <c r="AZ89" i="27"/>
  <c r="BA88" i="27"/>
  <c r="BI87" i="27"/>
  <c r="BH87" i="27"/>
  <c r="AY88" i="27"/>
  <c r="D86" i="30"/>
  <c r="I86" i="30" s="1"/>
  <c r="BJ86" i="27"/>
  <c r="BK86" i="27" s="1"/>
  <c r="BD88" i="27"/>
  <c r="BG88" i="27" s="1"/>
  <c r="AU91" i="27"/>
  <c r="BF99" i="27" l="1"/>
  <c r="G95" i="30"/>
  <c r="AS100" i="27"/>
  <c r="AM101" i="27"/>
  <c r="AQ99" i="27"/>
  <c r="AR99" i="27" s="1"/>
  <c r="AN101" i="27"/>
  <c r="AO100" i="27"/>
  <c r="AP100" i="27"/>
  <c r="AG100" i="27"/>
  <c r="AA101" i="27"/>
  <c r="U101" i="27"/>
  <c r="AB102" i="27"/>
  <c r="AD101" i="27"/>
  <c r="AC101" i="27"/>
  <c r="AE100" i="27"/>
  <c r="AF100" i="27" s="1"/>
  <c r="D717" i="30"/>
  <c r="I717" i="30" s="1"/>
  <c r="B717" i="30"/>
  <c r="AT86" i="27"/>
  <c r="H82" i="30" s="1"/>
  <c r="Q102" i="27"/>
  <c r="R102" i="27"/>
  <c r="S101" i="27"/>
  <c r="T101" i="27" s="1"/>
  <c r="I102" i="27"/>
  <c r="BE90" i="27"/>
  <c r="F86" i="30"/>
  <c r="BB89" i="27"/>
  <c r="BC89" i="27"/>
  <c r="E85" i="30"/>
  <c r="B95" i="30"/>
  <c r="AX88" i="27"/>
  <c r="AZ90" i="27"/>
  <c r="BJ87" i="27"/>
  <c r="BK87" i="27" s="1"/>
  <c r="BA89" i="27"/>
  <c r="BH88" i="27"/>
  <c r="BI88" i="27"/>
  <c r="BD89" i="27"/>
  <c r="BG89" i="27" s="1"/>
  <c r="AU92" i="27"/>
  <c r="D87" i="30"/>
  <c r="I87" i="30" s="1"/>
  <c r="AZ91" i="27"/>
  <c r="AY89" i="27"/>
  <c r="AE101" i="27" l="1"/>
  <c r="AF101" i="27" s="1"/>
  <c r="AM102" i="27"/>
  <c r="AS101" i="27"/>
  <c r="G96" i="30"/>
  <c r="BF100" i="27"/>
  <c r="AQ100" i="27"/>
  <c r="AR100" i="27" s="1"/>
  <c r="AO101" i="27"/>
  <c r="AP101" i="27"/>
  <c r="AN102" i="27"/>
  <c r="AA102" i="27"/>
  <c r="AG101" i="27"/>
  <c r="U102" i="27"/>
  <c r="AC102" i="27"/>
  <c r="AB103" i="27"/>
  <c r="AD102" i="27"/>
  <c r="D718" i="30"/>
  <c r="I718" i="30" s="1"/>
  <c r="B718" i="30"/>
  <c r="R103" i="27"/>
  <c r="Q103" i="27"/>
  <c r="I103" i="27"/>
  <c r="S102" i="27"/>
  <c r="T102" i="27" s="1"/>
  <c r="AT87" i="27"/>
  <c r="H83" i="30" s="1"/>
  <c r="BL89" i="27"/>
  <c r="BE91" i="27"/>
  <c r="F87" i="30"/>
  <c r="BC90" i="27"/>
  <c r="BL90" i="27" s="1"/>
  <c r="BB90" i="27"/>
  <c r="E86" i="30"/>
  <c r="AX89" i="27"/>
  <c r="B96" i="30"/>
  <c r="BA90" i="27"/>
  <c r="AU93" i="27"/>
  <c r="BI89" i="27"/>
  <c r="BH89" i="27"/>
  <c r="BJ88" i="27"/>
  <c r="BK88" i="27" s="1"/>
  <c r="BD90" i="27"/>
  <c r="BG90" i="27" s="1"/>
  <c r="AY90" i="27"/>
  <c r="D88" i="30"/>
  <c r="I88" i="30" s="1"/>
  <c r="G97" i="30" l="1"/>
  <c r="BF101" i="27"/>
  <c r="AM103" i="27"/>
  <c r="AS102" i="27"/>
  <c r="S103" i="27"/>
  <c r="T103" i="27" s="1"/>
  <c r="AP102" i="27"/>
  <c r="AN103" i="27"/>
  <c r="AO102" i="27"/>
  <c r="AQ101" i="27"/>
  <c r="AR101" i="27" s="1"/>
  <c r="AG102" i="27"/>
  <c r="AA103" i="27"/>
  <c r="U103" i="27"/>
  <c r="AC103" i="27"/>
  <c r="AB104" i="27"/>
  <c r="AD103" i="27"/>
  <c r="AE102" i="27"/>
  <c r="AF102" i="27" s="1"/>
  <c r="D719" i="30"/>
  <c r="I719" i="30" s="1"/>
  <c r="B719" i="30"/>
  <c r="I104" i="27"/>
  <c r="AT88" i="27"/>
  <c r="H84" i="30" s="1"/>
  <c r="R104" i="27"/>
  <c r="Q104" i="27"/>
  <c r="BE92" i="27"/>
  <c r="F88" i="30"/>
  <c r="B97" i="30"/>
  <c r="BB91" i="27"/>
  <c r="BC91" i="27"/>
  <c r="E87" i="30"/>
  <c r="BA91" i="27"/>
  <c r="AX90" i="27"/>
  <c r="AZ92" i="27"/>
  <c r="AU94" i="27"/>
  <c r="AY91" i="27"/>
  <c r="BJ89" i="27"/>
  <c r="BK89" i="27" s="1"/>
  <c r="BH90" i="27"/>
  <c r="BI90" i="27"/>
  <c r="D89" i="30"/>
  <c r="I89" i="30" s="1"/>
  <c r="BD91" i="27"/>
  <c r="BG91" i="27" s="1"/>
  <c r="AQ102" i="27" l="1"/>
  <c r="AR102" i="27" s="1"/>
  <c r="BF102" i="27"/>
  <c r="G98" i="30"/>
  <c r="AM104" i="27"/>
  <c r="AS103" i="27"/>
  <c r="AN104" i="27"/>
  <c r="AP103" i="27"/>
  <c r="AO103" i="27"/>
  <c r="AG103" i="27"/>
  <c r="AA104" i="27"/>
  <c r="U104" i="27"/>
  <c r="AB105" i="27"/>
  <c r="AC104" i="27"/>
  <c r="AD104" i="27"/>
  <c r="AE103" i="27"/>
  <c r="AF103" i="27" s="1"/>
  <c r="S104" i="27"/>
  <c r="T104" i="27" s="1"/>
  <c r="D720" i="30"/>
  <c r="I720" i="30" s="1"/>
  <c r="B720" i="30"/>
  <c r="AT89" i="27"/>
  <c r="H85" i="30" s="1"/>
  <c r="I105" i="27"/>
  <c r="Q105" i="27"/>
  <c r="R105" i="27"/>
  <c r="BL91" i="27"/>
  <c r="BE93" i="27"/>
  <c r="F89" i="30"/>
  <c r="BC92" i="27"/>
  <c r="BB92" i="27"/>
  <c r="E88" i="30"/>
  <c r="AX91" i="27"/>
  <c r="B98" i="30"/>
  <c r="AZ93" i="27"/>
  <c r="D90" i="30"/>
  <c r="I90" i="30" s="1"/>
  <c r="AU95" i="27"/>
  <c r="AY92" i="27"/>
  <c r="BJ90" i="27"/>
  <c r="BK90" i="27" s="1"/>
  <c r="BI91" i="27"/>
  <c r="BH91" i="27"/>
  <c r="BA92" i="27"/>
  <c r="BD92" i="27"/>
  <c r="BG92" i="27" s="1"/>
  <c r="AQ103" i="27" l="1"/>
  <c r="AR103" i="27" s="1"/>
  <c r="BF103" i="27"/>
  <c r="G99" i="30"/>
  <c r="AM105" i="27"/>
  <c r="AS104" i="27"/>
  <c r="AP104" i="27"/>
  <c r="AO104" i="27"/>
  <c r="AN105" i="27"/>
  <c r="AA105" i="27"/>
  <c r="AG104" i="27"/>
  <c r="U105" i="27"/>
  <c r="AE104" i="27"/>
  <c r="AF104" i="27" s="1"/>
  <c r="AC105" i="27"/>
  <c r="AB106" i="27"/>
  <c r="AD105" i="27"/>
  <c r="D721" i="30"/>
  <c r="I721" i="30" s="1"/>
  <c r="B721" i="30"/>
  <c r="S105" i="27"/>
  <c r="T105" i="27" s="1"/>
  <c r="AT90" i="27"/>
  <c r="H86" i="30" s="1"/>
  <c r="I106" i="27"/>
  <c r="R106" i="27"/>
  <c r="Q106" i="27"/>
  <c r="BL92" i="27"/>
  <c r="AY93" i="27"/>
  <c r="BE94" i="27"/>
  <c r="F90" i="30"/>
  <c r="B99" i="30"/>
  <c r="BB93" i="27"/>
  <c r="BC93" i="27"/>
  <c r="E89" i="30"/>
  <c r="BJ91" i="27"/>
  <c r="BK91" i="27" s="1"/>
  <c r="AZ94" i="27"/>
  <c r="BA93" i="27"/>
  <c r="AX92" i="27"/>
  <c r="D91" i="30"/>
  <c r="I91" i="30" s="1"/>
  <c r="BH92" i="27"/>
  <c r="BI92" i="27"/>
  <c r="BD93" i="27"/>
  <c r="BG93" i="27" s="1"/>
  <c r="AU96" i="27"/>
  <c r="AQ104" i="27" l="1"/>
  <c r="AR104" i="27" s="1"/>
  <c r="S106" i="27"/>
  <c r="T106" i="27" s="1"/>
  <c r="BF104" i="27"/>
  <c r="G100" i="30"/>
  <c r="AS105" i="27"/>
  <c r="AM106" i="27"/>
  <c r="AX93" i="27"/>
  <c r="AO105" i="27"/>
  <c r="AN106" i="27"/>
  <c r="AP105" i="27"/>
  <c r="AG105" i="27"/>
  <c r="AA106" i="27"/>
  <c r="U106" i="27"/>
  <c r="AD106" i="27"/>
  <c r="AB107" i="27"/>
  <c r="AC106" i="27"/>
  <c r="AE105" i="27"/>
  <c r="AF105" i="27" s="1"/>
  <c r="D722" i="30"/>
  <c r="I722" i="30" s="1"/>
  <c r="B722" i="30"/>
  <c r="I107" i="27"/>
  <c r="AT91" i="27"/>
  <c r="H87" i="30" s="1"/>
  <c r="Q107" i="27"/>
  <c r="R107" i="27"/>
  <c r="BL93" i="27"/>
  <c r="BE95" i="27"/>
  <c r="F91" i="30"/>
  <c r="BC94" i="27"/>
  <c r="BB94" i="27"/>
  <c r="E90" i="30"/>
  <c r="B100" i="30"/>
  <c r="AZ95" i="27"/>
  <c r="AY94" i="27"/>
  <c r="BA94" i="27"/>
  <c r="D92" i="30"/>
  <c r="I92" i="30" s="1"/>
  <c r="AU97" i="27"/>
  <c r="BJ92" i="27"/>
  <c r="BK92" i="27" s="1"/>
  <c r="BD94" i="27"/>
  <c r="BG94" i="27" s="1"/>
  <c r="BI93" i="27"/>
  <c r="BH93" i="27"/>
  <c r="G101" i="30" l="1"/>
  <c r="BF105" i="27"/>
  <c r="AE106" i="27"/>
  <c r="AF106" i="27" s="1"/>
  <c r="AM107" i="27"/>
  <c r="AS106" i="27"/>
  <c r="AO106" i="27"/>
  <c r="AP106" i="27"/>
  <c r="AN107" i="27"/>
  <c r="AQ105" i="27"/>
  <c r="AR105" i="27" s="1"/>
  <c r="AG106" i="27"/>
  <c r="AA107" i="27"/>
  <c r="U107" i="27"/>
  <c r="AC107" i="27"/>
  <c r="AD107" i="27"/>
  <c r="AB108" i="27"/>
  <c r="D723" i="30"/>
  <c r="I723" i="30" s="1"/>
  <c r="B723" i="30"/>
  <c r="AT92" i="27"/>
  <c r="H88" i="30" s="1"/>
  <c r="Q108" i="27"/>
  <c r="R108" i="27"/>
  <c r="I108" i="27"/>
  <c r="S107" i="27"/>
  <c r="T107" i="27" s="1"/>
  <c r="AY95" i="27"/>
  <c r="BL94" i="27"/>
  <c r="AZ96" i="27"/>
  <c r="BE96" i="27"/>
  <c r="F92" i="30"/>
  <c r="BJ93" i="27"/>
  <c r="BK93" i="27" s="1"/>
  <c r="BC95" i="27"/>
  <c r="BL95" i="27" s="1"/>
  <c r="BB95" i="27"/>
  <c r="E91" i="30"/>
  <c r="B101" i="30"/>
  <c r="AX94" i="27"/>
  <c r="AU98" i="27"/>
  <c r="BI94" i="27"/>
  <c r="BH94" i="27"/>
  <c r="BA95" i="27"/>
  <c r="BD95" i="27"/>
  <c r="BG95" i="27" s="1"/>
  <c r="D93" i="30"/>
  <c r="I93" i="30" s="1"/>
  <c r="BF106" i="27" l="1"/>
  <c r="G102" i="30"/>
  <c r="AS107" i="27"/>
  <c r="AM108" i="27"/>
  <c r="AO107" i="27"/>
  <c r="AP107" i="27"/>
  <c r="AN108" i="27"/>
  <c r="AQ106" i="27"/>
  <c r="AR106" i="27" s="1"/>
  <c r="AG107" i="27"/>
  <c r="AA108" i="27"/>
  <c r="U108" i="27"/>
  <c r="AC108" i="27"/>
  <c r="AD108" i="27"/>
  <c r="AB109" i="27"/>
  <c r="AE107" i="27"/>
  <c r="AF107" i="27" s="1"/>
  <c r="D725" i="30"/>
  <c r="I725" i="30" s="1"/>
  <c r="D724" i="30"/>
  <c r="I724" i="30" s="1"/>
  <c r="B724" i="30"/>
  <c r="B725" i="30"/>
  <c r="R109" i="27"/>
  <c r="Q109" i="27"/>
  <c r="I109" i="27"/>
  <c r="S108" i="27"/>
  <c r="T108" i="27" s="1"/>
  <c r="AT93" i="27"/>
  <c r="H89" i="30" s="1"/>
  <c r="AX95" i="27"/>
  <c r="BE97" i="27"/>
  <c r="F93" i="30"/>
  <c r="BJ94" i="27"/>
  <c r="BK94" i="27" s="1"/>
  <c r="B102" i="30"/>
  <c r="BB96" i="27"/>
  <c r="BC96" i="27"/>
  <c r="E92" i="30"/>
  <c r="AZ97" i="27"/>
  <c r="AY96" i="27"/>
  <c r="BA96" i="27"/>
  <c r="BD96" i="27"/>
  <c r="BG96" i="27" s="1"/>
  <c r="AU99" i="27"/>
  <c r="BI95" i="27"/>
  <c r="BH95" i="27"/>
  <c r="D94" i="30"/>
  <c r="I94" i="30" s="1"/>
  <c r="S109" i="27" l="1"/>
  <c r="T109" i="27" s="1"/>
  <c r="AS108" i="27"/>
  <c r="AM109" i="27"/>
  <c r="G103" i="30"/>
  <c r="BF107" i="27"/>
  <c r="AN109" i="27"/>
  <c r="AO108" i="27"/>
  <c r="AP108" i="27"/>
  <c r="AQ107" i="27"/>
  <c r="AR107" i="27" s="1"/>
  <c r="AA109" i="27"/>
  <c r="AG108" i="27"/>
  <c r="AE108" i="27"/>
  <c r="AF108" i="27" s="1"/>
  <c r="U109" i="27"/>
  <c r="AC109" i="27"/>
  <c r="AB110" i="27"/>
  <c r="AD109" i="27"/>
  <c r="R110" i="27"/>
  <c r="Q110" i="27"/>
  <c r="AT94" i="27"/>
  <c r="H90" i="30" s="1"/>
  <c r="I110" i="27"/>
  <c r="BL96" i="27"/>
  <c r="AX96" i="27"/>
  <c r="BE98" i="27"/>
  <c r="F94" i="30"/>
  <c r="BC97" i="27"/>
  <c r="BL97" i="27" s="1"/>
  <c r="BB97" i="27"/>
  <c r="E93" i="30"/>
  <c r="B103" i="30"/>
  <c r="AY97" i="27"/>
  <c r="BJ95" i="27"/>
  <c r="BK95" i="27" s="1"/>
  <c r="AZ98" i="27"/>
  <c r="BA98" i="27"/>
  <c r="D95" i="30"/>
  <c r="I95" i="30" s="1"/>
  <c r="AU100" i="27"/>
  <c r="BH96" i="27"/>
  <c r="BI96" i="27"/>
  <c r="BA97" i="27"/>
  <c r="BD97" i="27"/>
  <c r="BG97" i="27" s="1"/>
  <c r="S110" i="27" l="1"/>
  <c r="T110" i="27" s="1"/>
  <c r="BF108" i="27"/>
  <c r="G104" i="30"/>
  <c r="AM110" i="27"/>
  <c r="AS109" i="27"/>
  <c r="AQ108" i="27"/>
  <c r="AR108" i="27" s="1"/>
  <c r="AN110" i="27"/>
  <c r="AO109" i="27"/>
  <c r="AP109" i="27"/>
  <c r="AA110" i="27"/>
  <c r="AG109" i="27"/>
  <c r="U110" i="27"/>
  <c r="AD110" i="27"/>
  <c r="AC110" i="27"/>
  <c r="AB111" i="27"/>
  <c r="AE109" i="27"/>
  <c r="AF109" i="27" s="1"/>
  <c r="AT95" i="27"/>
  <c r="H91" i="30" s="1"/>
  <c r="Q111" i="27"/>
  <c r="R111" i="27"/>
  <c r="I111" i="27"/>
  <c r="AX97" i="27"/>
  <c r="BE99" i="27"/>
  <c r="F95" i="30"/>
  <c r="B104" i="30"/>
  <c r="BB98" i="27"/>
  <c r="BC98" i="27"/>
  <c r="BL98" i="27" s="1"/>
  <c r="E94" i="30"/>
  <c r="AZ99" i="27"/>
  <c r="AY98" i="27"/>
  <c r="AX98" i="27" s="1"/>
  <c r="BD98" i="27"/>
  <c r="BG98" i="27" s="1"/>
  <c r="BJ96" i="27"/>
  <c r="BK96" i="27" s="1"/>
  <c r="BI97" i="27"/>
  <c r="BH97" i="27"/>
  <c r="AU101" i="27"/>
  <c r="D96" i="30"/>
  <c r="I96" i="30" s="1"/>
  <c r="AE110" i="27" l="1"/>
  <c r="AF110" i="27" s="1"/>
  <c r="AS110" i="27"/>
  <c r="AM111" i="27"/>
  <c r="BF109" i="27"/>
  <c r="G105" i="30"/>
  <c r="AQ109" i="27"/>
  <c r="AR109" i="27" s="1"/>
  <c r="AN111" i="27"/>
  <c r="AO110" i="27"/>
  <c r="AP110" i="27"/>
  <c r="AA111" i="27"/>
  <c r="AG110" i="27"/>
  <c r="U111" i="27"/>
  <c r="AB112" i="27"/>
  <c r="AD111" i="27"/>
  <c r="AC111" i="27"/>
  <c r="S111" i="27"/>
  <c r="T111" i="27" s="1"/>
  <c r="Q112" i="27"/>
  <c r="R112" i="27"/>
  <c r="AT96" i="27"/>
  <c r="H92" i="30" s="1"/>
  <c r="I112" i="27"/>
  <c r="BE100" i="27"/>
  <c r="F96" i="30"/>
  <c r="BB99" i="27"/>
  <c r="BC99" i="27"/>
  <c r="BL99" i="27" s="1"/>
  <c r="E95" i="30"/>
  <c r="B105" i="30"/>
  <c r="AY99" i="27"/>
  <c r="AZ100" i="27"/>
  <c r="BJ97" i="27"/>
  <c r="BK97" i="27" s="1"/>
  <c r="BA99" i="27"/>
  <c r="AY100" i="27"/>
  <c r="BI98" i="27"/>
  <c r="BH98" i="27"/>
  <c r="D97" i="30"/>
  <c r="I97" i="30" s="1"/>
  <c r="BD99" i="27"/>
  <c r="BG99" i="27" s="1"/>
  <c r="AU102" i="27"/>
  <c r="AE111" i="27" l="1"/>
  <c r="AF111" i="27" s="1"/>
  <c r="BF110" i="27"/>
  <c r="G106" i="30"/>
  <c r="AS111" i="27"/>
  <c r="AM112" i="27"/>
  <c r="AQ110" i="27"/>
  <c r="AR110" i="27" s="1"/>
  <c r="AO111" i="27"/>
  <c r="AP111" i="27"/>
  <c r="AN112" i="27"/>
  <c r="AA112" i="27"/>
  <c r="AG111" i="27"/>
  <c r="U112" i="27"/>
  <c r="AB113" i="27"/>
  <c r="AD112" i="27"/>
  <c r="AC112" i="27"/>
  <c r="AT97" i="27"/>
  <c r="H93" i="30" s="1"/>
  <c r="Q113" i="27"/>
  <c r="R113" i="27"/>
  <c r="I113" i="27"/>
  <c r="S112" i="27"/>
  <c r="T112" i="27" s="1"/>
  <c r="AX99" i="27"/>
  <c r="BE101" i="27"/>
  <c r="F97" i="30"/>
  <c r="B106" i="30"/>
  <c r="BB100" i="27"/>
  <c r="BC100" i="27"/>
  <c r="E96" i="30"/>
  <c r="BA100" i="27"/>
  <c r="AX100" i="27" s="1"/>
  <c r="BJ98" i="27"/>
  <c r="BK98" i="27" s="1"/>
  <c r="AZ101" i="27"/>
  <c r="AU103" i="27"/>
  <c r="BH99" i="27"/>
  <c r="BI99" i="27"/>
  <c r="D98" i="30"/>
  <c r="I98" i="30" s="1"/>
  <c r="BD100" i="27"/>
  <c r="BG100" i="27" s="1"/>
  <c r="AE112" i="27" l="1"/>
  <c r="AF112" i="27" s="1"/>
  <c r="AS112" i="27"/>
  <c r="AM113" i="27"/>
  <c r="BF111" i="27"/>
  <c r="G107" i="30"/>
  <c r="AN113" i="27"/>
  <c r="AO112" i="27"/>
  <c r="AP112" i="27"/>
  <c r="AQ111" i="27"/>
  <c r="AR111" i="27" s="1"/>
  <c r="AG112" i="27"/>
  <c r="AA113" i="27"/>
  <c r="U113" i="27"/>
  <c r="AD113" i="27"/>
  <c r="AB114" i="27"/>
  <c r="AC113" i="27"/>
  <c r="AT98" i="27"/>
  <c r="H94" i="30" s="1"/>
  <c r="Q114" i="27"/>
  <c r="R114" i="27"/>
  <c r="S113" i="27"/>
  <c r="T113" i="27" s="1"/>
  <c r="I114" i="27"/>
  <c r="BL100" i="27"/>
  <c r="AY101" i="27"/>
  <c r="BE102" i="27"/>
  <c r="F98" i="30"/>
  <c r="BB101" i="27"/>
  <c r="BC101" i="27"/>
  <c r="BL101" i="27" s="1"/>
  <c r="E97" i="30"/>
  <c r="B107" i="30"/>
  <c r="BA101" i="27"/>
  <c r="BJ99" i="27"/>
  <c r="BK99" i="27" s="1"/>
  <c r="BH100" i="27"/>
  <c r="BI100" i="27"/>
  <c r="AU104" i="27"/>
  <c r="D99" i="30"/>
  <c r="I99" i="30" s="1"/>
  <c r="BD101" i="27"/>
  <c r="BG101" i="27" s="1"/>
  <c r="AZ102" i="27"/>
  <c r="AZ103" i="27"/>
  <c r="AE113" i="27" l="1"/>
  <c r="AF113" i="27" s="1"/>
  <c r="AS113" i="27"/>
  <c r="AM114" i="27"/>
  <c r="G108" i="30"/>
  <c r="BF112" i="27"/>
  <c r="AQ112" i="27"/>
  <c r="AR112" i="27" s="1"/>
  <c r="AN114" i="27"/>
  <c r="AP113" i="27"/>
  <c r="AO113" i="27"/>
  <c r="AG113" i="27"/>
  <c r="AA114" i="27"/>
  <c r="S114" i="27"/>
  <c r="T114" i="27" s="1"/>
  <c r="U114" i="27"/>
  <c r="AB115" i="27"/>
  <c r="AD114" i="27"/>
  <c r="AC114" i="27"/>
  <c r="I115" i="27"/>
  <c r="AT99" i="27"/>
  <c r="H95" i="30" s="1"/>
  <c r="R115" i="27"/>
  <c r="Q115" i="27"/>
  <c r="AX101" i="27"/>
  <c r="BE103" i="27"/>
  <c r="F99" i="30"/>
  <c r="BC102" i="27"/>
  <c r="BB102" i="27"/>
  <c r="E98" i="30"/>
  <c r="B108" i="30"/>
  <c r="AY102" i="27"/>
  <c r="BA102" i="27"/>
  <c r="BJ100" i="27"/>
  <c r="BK100" i="27" s="1"/>
  <c r="AU105" i="27"/>
  <c r="BD102" i="27"/>
  <c r="BG102" i="27" s="1"/>
  <c r="D100" i="30"/>
  <c r="I100" i="30" s="1"/>
  <c r="BI101" i="27"/>
  <c r="BH101" i="27"/>
  <c r="AE114" i="27" l="1"/>
  <c r="AF114" i="27" s="1"/>
  <c r="AQ113" i="27"/>
  <c r="AR113" i="27" s="1"/>
  <c r="BF113" i="27"/>
  <c r="G109" i="30"/>
  <c r="AS114" i="27"/>
  <c r="AM115" i="27"/>
  <c r="AN115" i="27"/>
  <c r="AO114" i="27"/>
  <c r="AP114" i="27"/>
  <c r="AA115" i="27"/>
  <c r="AG114" i="27"/>
  <c r="U115" i="27"/>
  <c r="AC115" i="27"/>
  <c r="AD115" i="27"/>
  <c r="AB116" i="27"/>
  <c r="S115" i="27"/>
  <c r="T115" i="27" s="1"/>
  <c r="R116" i="27"/>
  <c r="Q116" i="27"/>
  <c r="AT100" i="27"/>
  <c r="H96" i="30" s="1"/>
  <c r="I116" i="27"/>
  <c r="BJ101" i="27"/>
  <c r="BK101" i="27" s="1"/>
  <c r="BL102" i="27"/>
  <c r="AX102" i="27"/>
  <c r="BE104" i="27"/>
  <c r="F100" i="30"/>
  <c r="B109" i="30"/>
  <c r="BB103" i="27"/>
  <c r="BC103" i="27"/>
  <c r="E99" i="30"/>
  <c r="AZ104" i="27"/>
  <c r="BD103" i="27"/>
  <c r="BG103" i="27" s="1"/>
  <c r="AU106" i="27"/>
  <c r="AY103" i="27"/>
  <c r="BI102" i="27"/>
  <c r="BH102" i="27"/>
  <c r="BA103" i="27"/>
  <c r="D101" i="30"/>
  <c r="I101" i="30" s="1"/>
  <c r="AM116" i="27" l="1"/>
  <c r="AS115" i="27"/>
  <c r="G110" i="30"/>
  <c r="BF114" i="27"/>
  <c r="AQ114" i="27"/>
  <c r="AR114" i="27" s="1"/>
  <c r="AO115" i="27"/>
  <c r="AN116" i="27"/>
  <c r="AP115" i="27"/>
  <c r="S116" i="27"/>
  <c r="T116" i="27" s="1"/>
  <c r="AG115" i="27"/>
  <c r="AA116" i="27"/>
  <c r="U116" i="27"/>
  <c r="AB117" i="27"/>
  <c r="AC116" i="27"/>
  <c r="AD116" i="27"/>
  <c r="AE115" i="27"/>
  <c r="AF115" i="27" s="1"/>
  <c r="I117" i="27"/>
  <c r="AT101" i="27"/>
  <c r="H97" i="30" s="1"/>
  <c r="Q117" i="27"/>
  <c r="R117" i="27"/>
  <c r="BJ102" i="27"/>
  <c r="BK102" i="27" s="1"/>
  <c r="BA104" i="27"/>
  <c r="BL103" i="27"/>
  <c r="BE105" i="27"/>
  <c r="F101" i="30"/>
  <c r="BB104" i="27"/>
  <c r="BC104" i="27"/>
  <c r="BL104" i="27" s="1"/>
  <c r="E100" i="30"/>
  <c r="B110" i="30"/>
  <c r="AY104" i="27"/>
  <c r="AX103" i="27"/>
  <c r="AZ105" i="27"/>
  <c r="AU107" i="27"/>
  <c r="D102" i="30"/>
  <c r="I102" i="30" s="1"/>
  <c r="BD104" i="27"/>
  <c r="BG104" i="27" s="1"/>
  <c r="BI103" i="27"/>
  <c r="BH103" i="27"/>
  <c r="AM117" i="27" l="1"/>
  <c r="AS116" i="27"/>
  <c r="G111" i="30"/>
  <c r="BF115" i="27"/>
  <c r="AX104" i="27"/>
  <c r="AP116" i="27"/>
  <c r="AN117" i="27"/>
  <c r="AO116" i="27"/>
  <c r="AQ115" i="27"/>
  <c r="AR115" i="27" s="1"/>
  <c r="AA117" i="27"/>
  <c r="AG116" i="27"/>
  <c r="U117" i="27"/>
  <c r="AE116" i="27"/>
  <c r="AF116" i="27" s="1"/>
  <c r="AD117" i="27"/>
  <c r="AB118" i="27"/>
  <c r="AC117" i="27"/>
  <c r="S117" i="27"/>
  <c r="T117" i="27" s="1"/>
  <c r="R118" i="27"/>
  <c r="Q118" i="27"/>
  <c r="AT102" i="27"/>
  <c r="H98" i="30" s="1"/>
  <c r="I118" i="27"/>
  <c r="BE106" i="27"/>
  <c r="F102" i="30"/>
  <c r="B111" i="30"/>
  <c r="BB105" i="27"/>
  <c r="BC105" i="27"/>
  <c r="BL105" i="27" s="1"/>
  <c r="E101" i="30"/>
  <c r="BA105" i="27"/>
  <c r="AY105" i="27"/>
  <c r="BJ103" i="27"/>
  <c r="BK103" i="27" s="1"/>
  <c r="AZ106" i="27"/>
  <c r="AU108" i="27"/>
  <c r="D103" i="30"/>
  <c r="I103" i="30" s="1"/>
  <c r="BI104" i="27"/>
  <c r="BH104" i="27"/>
  <c r="BD105" i="27"/>
  <c r="BG105" i="27" s="1"/>
  <c r="S118" i="27" l="1"/>
  <c r="T118" i="27" s="1"/>
  <c r="AQ116" i="27"/>
  <c r="AR116" i="27" s="1"/>
  <c r="G112" i="30"/>
  <c r="BF116" i="27"/>
  <c r="AM118" i="27"/>
  <c r="AS117" i="27"/>
  <c r="AO117" i="27"/>
  <c r="AP117" i="27"/>
  <c r="AN118" i="27"/>
  <c r="AE117" i="27"/>
  <c r="AF117" i="27" s="1"/>
  <c r="AA118" i="27"/>
  <c r="AG117" i="27"/>
  <c r="U118" i="27"/>
  <c r="AC118" i="27"/>
  <c r="AD118" i="27"/>
  <c r="AB119" i="27"/>
  <c r="Q119" i="27"/>
  <c r="R119" i="27"/>
  <c r="I119" i="27"/>
  <c r="AT103" i="27"/>
  <c r="H99" i="30" s="1"/>
  <c r="BE107" i="27"/>
  <c r="F103" i="30"/>
  <c r="BB106" i="27"/>
  <c r="BC106" i="27"/>
  <c r="BL106" i="27" s="1"/>
  <c r="E102" i="30"/>
  <c r="B112" i="30"/>
  <c r="AX105" i="27"/>
  <c r="BJ104" i="27"/>
  <c r="BK104" i="27" s="1"/>
  <c r="AY106" i="27"/>
  <c r="BD106" i="27"/>
  <c r="BG106" i="27" s="1"/>
  <c r="AU109" i="27"/>
  <c r="D104" i="30"/>
  <c r="I104" i="30" s="1"/>
  <c r="AZ107" i="27"/>
  <c r="BI105" i="27"/>
  <c r="BH105" i="27"/>
  <c r="BA106" i="27"/>
  <c r="G113" i="30" l="1"/>
  <c r="BF117" i="27"/>
  <c r="AM119" i="27"/>
  <c r="AS118" i="27"/>
  <c r="AO118" i="27"/>
  <c r="AP118" i="27"/>
  <c r="AN119" i="27"/>
  <c r="AQ117" i="27"/>
  <c r="AR117" i="27" s="1"/>
  <c r="AG118" i="27"/>
  <c r="AA119" i="27"/>
  <c r="U119" i="27"/>
  <c r="AD119" i="27"/>
  <c r="AB120" i="27"/>
  <c r="AC119" i="27"/>
  <c r="AE118" i="27"/>
  <c r="AF118" i="27" s="1"/>
  <c r="AT104" i="27"/>
  <c r="H100" i="30" s="1"/>
  <c r="S119" i="27"/>
  <c r="T119" i="27" s="1"/>
  <c r="Q120" i="27"/>
  <c r="R120" i="27"/>
  <c r="I120" i="27"/>
  <c r="AX106" i="27"/>
  <c r="AY107" i="27"/>
  <c r="BE108" i="27"/>
  <c r="F104" i="30"/>
  <c r="BC107" i="27"/>
  <c r="BB107" i="27"/>
  <c r="E103" i="30"/>
  <c r="B113" i="30"/>
  <c r="BJ105" i="27"/>
  <c r="BK105" i="27" s="1"/>
  <c r="D105" i="30"/>
  <c r="I105" i="30" s="1"/>
  <c r="BA107" i="27"/>
  <c r="BD107" i="27"/>
  <c r="BG107" i="27" s="1"/>
  <c r="AU110" i="27"/>
  <c r="BI106" i="27"/>
  <c r="BH106" i="27"/>
  <c r="AZ108" i="27"/>
  <c r="BF118" i="27" l="1"/>
  <c r="G114" i="30"/>
  <c r="AS119" i="27"/>
  <c r="AM120" i="27"/>
  <c r="AO119" i="27"/>
  <c r="AN120" i="27"/>
  <c r="AP119" i="27"/>
  <c r="AQ118" i="27"/>
  <c r="AR118" i="27" s="1"/>
  <c r="AA120" i="27"/>
  <c r="AG119" i="27"/>
  <c r="AE119" i="27"/>
  <c r="AF119" i="27" s="1"/>
  <c r="AX107" i="27"/>
  <c r="U120" i="27"/>
  <c r="AD120" i="27"/>
  <c r="AC120" i="27"/>
  <c r="AB121" i="27"/>
  <c r="AT105" i="27"/>
  <c r="H101" i="30" s="1"/>
  <c r="S120" i="27"/>
  <c r="T120" i="27" s="1"/>
  <c r="Q121" i="27"/>
  <c r="R121" i="27"/>
  <c r="I121" i="27"/>
  <c r="BL107" i="27"/>
  <c r="BE109" i="27"/>
  <c r="F105" i="30"/>
  <c r="BC108" i="27"/>
  <c r="BL108" i="27" s="1"/>
  <c r="BB108" i="27"/>
  <c r="E104" i="30"/>
  <c r="B114" i="30"/>
  <c r="BJ106" i="27"/>
  <c r="BK106" i="27" s="1"/>
  <c r="AZ109" i="27"/>
  <c r="BA108" i="27"/>
  <c r="BD108" i="27"/>
  <c r="BG108" i="27" s="1"/>
  <c r="AU111" i="27"/>
  <c r="D106" i="30"/>
  <c r="I106" i="30" s="1"/>
  <c r="BI107" i="27"/>
  <c r="BH107" i="27"/>
  <c r="AY108" i="27"/>
  <c r="G115" i="30" l="1"/>
  <c r="BF119" i="27"/>
  <c r="AS120" i="27"/>
  <c r="AM121" i="27"/>
  <c r="AN121" i="27"/>
  <c r="AP120" i="27"/>
  <c r="AO120" i="27"/>
  <c r="AQ119" i="27"/>
  <c r="AR119" i="27" s="1"/>
  <c r="AE120" i="27"/>
  <c r="AF120" i="27" s="1"/>
  <c r="AG120" i="27"/>
  <c r="AA121" i="27"/>
  <c r="U121" i="27"/>
  <c r="AC121" i="27"/>
  <c r="AB122" i="27"/>
  <c r="AD121" i="27"/>
  <c r="I122" i="27"/>
  <c r="Q122" i="27"/>
  <c r="R122" i="27"/>
  <c r="AT106" i="27"/>
  <c r="H102" i="30" s="1"/>
  <c r="S121" i="27"/>
  <c r="T121" i="27" s="1"/>
  <c r="BE110" i="27"/>
  <c r="F106" i="30"/>
  <c r="AX108" i="27"/>
  <c r="BJ107" i="27"/>
  <c r="BK107" i="27" s="1"/>
  <c r="B115" i="30"/>
  <c r="BB109" i="27"/>
  <c r="BC109" i="27"/>
  <c r="BL109" i="27" s="1"/>
  <c r="E105" i="30"/>
  <c r="AY109" i="27"/>
  <c r="D107" i="30"/>
  <c r="I107" i="30" s="1"/>
  <c r="BD109" i="27"/>
  <c r="BG109" i="27" s="1"/>
  <c r="BA109" i="27"/>
  <c r="AZ110" i="27"/>
  <c r="BI108" i="27"/>
  <c r="BH108" i="27"/>
  <c r="AU112" i="27"/>
  <c r="AQ120" i="27" l="1"/>
  <c r="AR120" i="27" s="1"/>
  <c r="G116" i="30"/>
  <c r="BF120" i="27"/>
  <c r="AM122" i="27"/>
  <c r="AS121" i="27"/>
  <c r="AP121" i="27"/>
  <c r="AN122" i="27"/>
  <c r="AO121" i="27"/>
  <c r="AA122" i="27"/>
  <c r="AG121" i="27"/>
  <c r="U122" i="27"/>
  <c r="AB123" i="27"/>
  <c r="AD122" i="27"/>
  <c r="AC122" i="27"/>
  <c r="AE121" i="27"/>
  <c r="AF121" i="27" s="1"/>
  <c r="AT107" i="27"/>
  <c r="H103" i="30" s="1"/>
  <c r="R123" i="27"/>
  <c r="Q123" i="27"/>
  <c r="S122" i="27"/>
  <c r="T122" i="27" s="1"/>
  <c r="I123" i="27"/>
  <c r="BE111" i="27"/>
  <c r="F107" i="30"/>
  <c r="BB110" i="27"/>
  <c r="BC110" i="27"/>
  <c r="BL110" i="27" s="1"/>
  <c r="E106" i="30"/>
  <c r="B116" i="30"/>
  <c r="AY110" i="27"/>
  <c r="AX109" i="27"/>
  <c r="BJ108" i="27"/>
  <c r="BK108" i="27" s="1"/>
  <c r="BA110" i="27"/>
  <c r="AZ111" i="27"/>
  <c r="BD110" i="27"/>
  <c r="BG110" i="27" s="1"/>
  <c r="D108" i="30"/>
  <c r="I108" i="30" s="1"/>
  <c r="AU113" i="27"/>
  <c r="BH109" i="27"/>
  <c r="BI109" i="27"/>
  <c r="AE122" i="27" l="1"/>
  <c r="AF122" i="27" s="1"/>
  <c r="AQ121" i="27"/>
  <c r="AR121" i="27" s="1"/>
  <c r="AS122" i="27"/>
  <c r="AM123" i="27"/>
  <c r="S123" i="27"/>
  <c r="T123" i="27" s="1"/>
  <c r="G117" i="30"/>
  <c r="BF121" i="27"/>
  <c r="AN123" i="27"/>
  <c r="AO122" i="27"/>
  <c r="AP122" i="27"/>
  <c r="AA123" i="27"/>
  <c r="AG122" i="27"/>
  <c r="U123" i="27"/>
  <c r="AC123" i="27"/>
  <c r="AB124" i="27"/>
  <c r="AD123" i="27"/>
  <c r="AT108" i="27"/>
  <c r="H104" i="30" s="1"/>
  <c r="I124" i="27"/>
  <c r="Q124" i="27"/>
  <c r="R124" i="27"/>
  <c r="AX110" i="27"/>
  <c r="BE112" i="27"/>
  <c r="F108" i="30"/>
  <c r="B117" i="30"/>
  <c r="BB111" i="27"/>
  <c r="BC111" i="27"/>
  <c r="BL111" i="27" s="1"/>
  <c r="E107" i="30"/>
  <c r="AZ112" i="27"/>
  <c r="BA111" i="27"/>
  <c r="AY111" i="27"/>
  <c r="BD111" i="27"/>
  <c r="BG111" i="27" s="1"/>
  <c r="AU114" i="27"/>
  <c r="BH110" i="27"/>
  <c r="BI110" i="27"/>
  <c r="BJ109" i="27"/>
  <c r="BK109" i="27" s="1"/>
  <c r="D109" i="30"/>
  <c r="I109" i="30" s="1"/>
  <c r="AM124" i="27" l="1"/>
  <c r="AS123" i="27"/>
  <c r="G118" i="30"/>
  <c r="BF122" i="27"/>
  <c r="AQ122" i="27"/>
  <c r="AR122" i="27" s="1"/>
  <c r="AO123" i="27"/>
  <c r="AP123" i="27"/>
  <c r="AN124" i="27"/>
  <c r="AA124" i="27"/>
  <c r="AG123" i="27"/>
  <c r="U124" i="27"/>
  <c r="AC124" i="27"/>
  <c r="AB125" i="27"/>
  <c r="AD124" i="27"/>
  <c r="AE123" i="27"/>
  <c r="AF123" i="27" s="1"/>
  <c r="I125" i="27"/>
  <c r="R125" i="27"/>
  <c r="Q125" i="27"/>
  <c r="AT109" i="27"/>
  <c r="H105" i="30" s="1"/>
  <c r="S124" i="27"/>
  <c r="T124" i="27" s="1"/>
  <c r="BE113" i="27"/>
  <c r="F109" i="30"/>
  <c r="AX111" i="27"/>
  <c r="BC112" i="27"/>
  <c r="BB112" i="27"/>
  <c r="E108" i="30"/>
  <c r="B118" i="30"/>
  <c r="AY112" i="27"/>
  <c r="BA112" i="27"/>
  <c r="BJ110" i="27"/>
  <c r="BK110" i="27" s="1"/>
  <c r="AZ114" i="27"/>
  <c r="BI111" i="27"/>
  <c r="BH111" i="27"/>
  <c r="BD112" i="27"/>
  <c r="BG112" i="27" s="1"/>
  <c r="D110" i="30"/>
  <c r="I110" i="30" s="1"/>
  <c r="AZ113" i="27"/>
  <c r="AU115" i="27"/>
  <c r="BF123" i="27" l="1"/>
  <c r="G119" i="30"/>
  <c r="AM125" i="27"/>
  <c r="AS124" i="27"/>
  <c r="S125" i="27"/>
  <c r="T125" i="27" s="1"/>
  <c r="AP124" i="27"/>
  <c r="AN125" i="27"/>
  <c r="AO124" i="27"/>
  <c r="AQ123" i="27"/>
  <c r="AR123" i="27" s="1"/>
  <c r="AG124" i="27"/>
  <c r="AA125" i="27"/>
  <c r="U125" i="27"/>
  <c r="AD125" i="27"/>
  <c r="AC125" i="27"/>
  <c r="AB126" i="27"/>
  <c r="AE124" i="27"/>
  <c r="AF124" i="27" s="1"/>
  <c r="AT110" i="27"/>
  <c r="H106" i="30" s="1"/>
  <c r="Q126" i="27"/>
  <c r="R126" i="27"/>
  <c r="I126" i="27"/>
  <c r="AY113" i="27"/>
  <c r="BL112" i="27"/>
  <c r="BE114" i="27"/>
  <c r="F110" i="30"/>
  <c r="B119" i="30"/>
  <c r="BB113" i="27"/>
  <c r="BC113" i="27"/>
  <c r="BL113" i="27" s="1"/>
  <c r="E109" i="30"/>
  <c r="AX112" i="27"/>
  <c r="BD113" i="27"/>
  <c r="BG113" i="27" s="1"/>
  <c r="D111" i="30"/>
  <c r="I111" i="30" s="1"/>
  <c r="AU116" i="27"/>
  <c r="BA113" i="27"/>
  <c r="BH112" i="27"/>
  <c r="BI112" i="27"/>
  <c r="BJ111" i="27"/>
  <c r="BK111" i="27" s="1"/>
  <c r="AE125" i="27" l="1"/>
  <c r="AF125" i="27" s="1"/>
  <c r="AQ124" i="27"/>
  <c r="AR124" i="27" s="1"/>
  <c r="G120" i="30"/>
  <c r="BF124" i="27"/>
  <c r="AM126" i="27"/>
  <c r="AS125" i="27"/>
  <c r="AO125" i="27"/>
  <c r="AP125" i="27"/>
  <c r="AN126" i="27"/>
  <c r="AG125" i="27"/>
  <c r="AA126" i="27"/>
  <c r="S126" i="27"/>
  <c r="T126" i="27" s="1"/>
  <c r="AX113" i="27"/>
  <c r="U126" i="27"/>
  <c r="AC126" i="27"/>
  <c r="AB127" i="27"/>
  <c r="AD126" i="27"/>
  <c r="Q127" i="27"/>
  <c r="R127" i="27"/>
  <c r="AT111" i="27"/>
  <c r="H107" i="30" s="1"/>
  <c r="I127" i="27"/>
  <c r="BE115" i="27"/>
  <c r="F111" i="30"/>
  <c r="BB114" i="27"/>
  <c r="BC114" i="27"/>
  <c r="BL114" i="27" s="1"/>
  <c r="E110" i="30"/>
  <c r="B120" i="30"/>
  <c r="BA114" i="27"/>
  <c r="AY114" i="27"/>
  <c r="AZ115" i="27"/>
  <c r="BD114" i="27"/>
  <c r="BG114" i="27" s="1"/>
  <c r="AU117" i="27"/>
  <c r="D112" i="30"/>
  <c r="I112" i="30" s="1"/>
  <c r="BA115" i="27"/>
  <c r="BJ112" i="27"/>
  <c r="BK112" i="27" s="1"/>
  <c r="BI113" i="27"/>
  <c r="BH113" i="27"/>
  <c r="BF125" i="27" l="1"/>
  <c r="G121" i="30"/>
  <c r="AS126" i="27"/>
  <c r="AM127" i="27"/>
  <c r="AN127" i="27"/>
  <c r="AO126" i="27"/>
  <c r="AP126" i="27"/>
  <c r="AQ125" i="27"/>
  <c r="AR125" i="27" s="1"/>
  <c r="AG126" i="27"/>
  <c r="AA127" i="27"/>
  <c r="S127" i="27"/>
  <c r="T127" i="27" s="1"/>
  <c r="U127" i="27"/>
  <c r="AC127" i="27"/>
  <c r="AB128" i="27"/>
  <c r="AD127" i="27"/>
  <c r="AE126" i="27"/>
  <c r="AF126" i="27" s="1"/>
  <c r="R128" i="27"/>
  <c r="Q128" i="27"/>
  <c r="AT112" i="27"/>
  <c r="H108" i="30" s="1"/>
  <c r="I128" i="27"/>
  <c r="AZ116" i="27"/>
  <c r="BE116" i="27"/>
  <c r="F112" i="30"/>
  <c r="BB115" i="27"/>
  <c r="BC115" i="27"/>
  <c r="E111" i="30"/>
  <c r="B121" i="30"/>
  <c r="AX114" i="27"/>
  <c r="AY115" i="27"/>
  <c r="AX115" i="27" s="1"/>
  <c r="BJ113" i="27"/>
  <c r="BK113" i="27" s="1"/>
  <c r="D113" i="30"/>
  <c r="I113" i="30" s="1"/>
  <c r="BI114" i="27"/>
  <c r="BH114" i="27"/>
  <c r="AU118" i="27"/>
  <c r="BD115" i="27"/>
  <c r="BG115" i="27" s="1"/>
  <c r="AM128" i="27" l="1"/>
  <c r="AS127" i="27"/>
  <c r="G122" i="30"/>
  <c r="BF126" i="27"/>
  <c r="AQ126" i="27"/>
  <c r="AR126" i="27" s="1"/>
  <c r="AN128" i="27"/>
  <c r="AO127" i="27"/>
  <c r="AP127" i="27"/>
  <c r="AG127" i="27"/>
  <c r="AA128" i="27"/>
  <c r="U128" i="27"/>
  <c r="AB129" i="27"/>
  <c r="AD128" i="27"/>
  <c r="AC128" i="27"/>
  <c r="AE127" i="27"/>
  <c r="AF127" i="27" s="1"/>
  <c r="S128" i="27"/>
  <c r="T128" i="27" s="1"/>
  <c r="AT113" i="27"/>
  <c r="H109" i="30" s="1"/>
  <c r="Q129" i="27"/>
  <c r="R129" i="27"/>
  <c r="I129" i="27"/>
  <c r="BL115" i="27"/>
  <c r="BE117" i="27"/>
  <c r="F113" i="30"/>
  <c r="BB116" i="27"/>
  <c r="BC116" i="27"/>
  <c r="BL116" i="27" s="1"/>
  <c r="E112" i="30"/>
  <c r="B122" i="30"/>
  <c r="AZ117" i="27"/>
  <c r="BH115" i="27"/>
  <c r="BI115" i="27"/>
  <c r="AY116" i="27"/>
  <c r="AU119" i="27"/>
  <c r="D114" i="30"/>
  <c r="I114" i="30" s="1"/>
  <c r="BJ114" i="27"/>
  <c r="BK114" i="27" s="1"/>
  <c r="BD116" i="27"/>
  <c r="BG116" i="27" s="1"/>
  <c r="BA116" i="27"/>
  <c r="AE128" i="27" l="1"/>
  <c r="AF128" i="27" s="1"/>
  <c r="AM129" i="27"/>
  <c r="AS128" i="27"/>
  <c r="G123" i="30"/>
  <c r="BF127" i="27"/>
  <c r="AQ127" i="27"/>
  <c r="AR127" i="27" s="1"/>
  <c r="AO128" i="27"/>
  <c r="AN129" i="27"/>
  <c r="AP128" i="27"/>
  <c r="AG128" i="27"/>
  <c r="AA129" i="27"/>
  <c r="S129" i="27"/>
  <c r="T129" i="27" s="1"/>
  <c r="U129" i="27"/>
  <c r="AD129" i="27"/>
  <c r="AB130" i="27"/>
  <c r="AC129" i="27"/>
  <c r="Q130" i="27"/>
  <c r="R130" i="27"/>
  <c r="AT114" i="27"/>
  <c r="H110" i="30" s="1"/>
  <c r="I130" i="27"/>
  <c r="BE118" i="27"/>
  <c r="F114" i="30"/>
  <c r="B123" i="30"/>
  <c r="BB117" i="27"/>
  <c r="BC117" i="27"/>
  <c r="BL117" i="27" s="1"/>
  <c r="E113" i="30"/>
  <c r="AX116" i="27"/>
  <c r="AY117" i="27"/>
  <c r="BI116" i="27"/>
  <c r="BH116" i="27"/>
  <c r="BJ115" i="27"/>
  <c r="BK115" i="27" s="1"/>
  <c r="BD117" i="27"/>
  <c r="BG117" i="27" s="1"/>
  <c r="D115" i="30"/>
  <c r="I115" i="30" s="1"/>
  <c r="AU120" i="27"/>
  <c r="BA117" i="27"/>
  <c r="AZ118" i="27"/>
  <c r="AE129" i="27" l="1"/>
  <c r="AF129" i="27" s="1"/>
  <c r="AS129" i="27"/>
  <c r="AM130" i="27"/>
  <c r="G124" i="30"/>
  <c r="BF128" i="27"/>
  <c r="AO129" i="27"/>
  <c r="AN130" i="27"/>
  <c r="AP129" i="27"/>
  <c r="AQ128" i="27"/>
  <c r="AR128" i="27" s="1"/>
  <c r="AG129" i="27"/>
  <c r="AA130" i="27"/>
  <c r="S130" i="27"/>
  <c r="T130" i="27" s="1"/>
  <c r="U130" i="27"/>
  <c r="AB131" i="27"/>
  <c r="AC130" i="27"/>
  <c r="AD130" i="27"/>
  <c r="AT115" i="27"/>
  <c r="H111" i="30" s="1"/>
  <c r="I131" i="27"/>
  <c r="Q131" i="27"/>
  <c r="R131" i="27"/>
  <c r="BE119" i="27"/>
  <c r="F115" i="30"/>
  <c r="BC118" i="27"/>
  <c r="BB118" i="27"/>
  <c r="E114" i="30"/>
  <c r="B124" i="30"/>
  <c r="AZ119" i="27"/>
  <c r="AX117" i="27"/>
  <c r="AY118" i="27"/>
  <c r="BA118" i="27"/>
  <c r="BJ116" i="27"/>
  <c r="BK116" i="27" s="1"/>
  <c r="D116" i="30"/>
  <c r="I116" i="30" s="1"/>
  <c r="AU121" i="27"/>
  <c r="BI117" i="27"/>
  <c r="BH117" i="27"/>
  <c r="BD118" i="27"/>
  <c r="BG118" i="27" s="1"/>
  <c r="AM131" i="27" l="1"/>
  <c r="AS130" i="27"/>
  <c r="BF129" i="27"/>
  <c r="G125" i="30"/>
  <c r="AO130" i="27"/>
  <c r="AP130" i="27"/>
  <c r="AN131" i="27"/>
  <c r="AQ129" i="27"/>
  <c r="AR129" i="27" s="1"/>
  <c r="AG130" i="27"/>
  <c r="AA131" i="27"/>
  <c r="U131" i="27"/>
  <c r="AE130" i="27"/>
  <c r="AF130" i="27" s="1"/>
  <c r="AB132" i="27"/>
  <c r="AD131" i="27"/>
  <c r="AC131" i="27"/>
  <c r="AT116" i="27"/>
  <c r="H112" i="30" s="1"/>
  <c r="I132" i="27"/>
  <c r="S131" i="27"/>
  <c r="T131" i="27" s="1"/>
  <c r="R132" i="27"/>
  <c r="Q132" i="27"/>
  <c r="BL118" i="27"/>
  <c r="BE120" i="27"/>
  <c r="F116" i="30"/>
  <c r="B125" i="30"/>
  <c r="BB119" i="27"/>
  <c r="BC119" i="27"/>
  <c r="E115" i="30"/>
  <c r="AX118" i="27"/>
  <c r="BJ117" i="27"/>
  <c r="BK117" i="27" s="1"/>
  <c r="AY119" i="27"/>
  <c r="BH118" i="27"/>
  <c r="BI118" i="27"/>
  <c r="AZ120" i="27"/>
  <c r="BA119" i="27"/>
  <c r="D117" i="30"/>
  <c r="I117" i="30" s="1"/>
  <c r="BD119" i="27"/>
  <c r="BG119" i="27" s="1"/>
  <c r="AU122" i="27"/>
  <c r="AM132" i="27" l="1"/>
  <c r="AS131" i="27"/>
  <c r="BF130" i="27"/>
  <c r="G126" i="30"/>
  <c r="AO131" i="27"/>
  <c r="AP131" i="27"/>
  <c r="AN132" i="27"/>
  <c r="AQ130" i="27"/>
  <c r="AR130" i="27" s="1"/>
  <c r="AE131" i="27"/>
  <c r="AF131" i="27" s="1"/>
  <c r="AA132" i="27"/>
  <c r="AG131" i="27"/>
  <c r="U132" i="27"/>
  <c r="AC132" i="27"/>
  <c r="AB133" i="27"/>
  <c r="AD132" i="27"/>
  <c r="AT117" i="27"/>
  <c r="H113" i="30" s="1"/>
  <c r="I133" i="27"/>
  <c r="Q133" i="27"/>
  <c r="R133" i="27"/>
  <c r="S132" i="27"/>
  <c r="T132" i="27" s="1"/>
  <c r="BL119" i="27"/>
  <c r="AX119" i="27"/>
  <c r="BE121" i="27"/>
  <c r="F117" i="30"/>
  <c r="BB120" i="27"/>
  <c r="BC120" i="27"/>
  <c r="BL120" i="27" s="1"/>
  <c r="E116" i="30"/>
  <c r="B126" i="30"/>
  <c r="BA120" i="27"/>
  <c r="AZ121" i="27"/>
  <c r="D118" i="30"/>
  <c r="I118" i="30" s="1"/>
  <c r="BD120" i="27"/>
  <c r="BG120" i="27" s="1"/>
  <c r="AY120" i="27"/>
  <c r="AU123" i="27"/>
  <c r="BI119" i="27"/>
  <c r="BH119" i="27"/>
  <c r="BJ118" i="27"/>
  <c r="BK118" i="27" s="1"/>
  <c r="G127" i="30" l="1"/>
  <c r="BF131" i="27"/>
  <c r="AS132" i="27"/>
  <c r="AM133" i="27"/>
  <c r="S133" i="27"/>
  <c r="T133" i="27" s="1"/>
  <c r="AO132" i="27"/>
  <c r="AP132" i="27"/>
  <c r="AN133" i="27"/>
  <c r="AQ131" i="27"/>
  <c r="AR131" i="27" s="1"/>
  <c r="AA133" i="27"/>
  <c r="AG132" i="27"/>
  <c r="U133" i="27"/>
  <c r="AB134" i="27"/>
  <c r="AD133" i="27"/>
  <c r="AC133" i="27"/>
  <c r="AE132" i="27"/>
  <c r="AF132" i="27" s="1"/>
  <c r="I134" i="27"/>
  <c r="R134" i="27"/>
  <c r="Q134" i="27"/>
  <c r="AT118" i="27"/>
  <c r="H114" i="30" s="1"/>
  <c r="BA121" i="27"/>
  <c r="BE122" i="27"/>
  <c r="F118" i="30"/>
  <c r="B127" i="30"/>
  <c r="BB121" i="27"/>
  <c r="BC121" i="27"/>
  <c r="BL121" i="27" s="1"/>
  <c r="E117" i="30"/>
  <c r="AX120" i="27"/>
  <c r="BJ119" i="27"/>
  <c r="BK119" i="27" s="1"/>
  <c r="AY121" i="27"/>
  <c r="BD121" i="27"/>
  <c r="BG121" i="27" s="1"/>
  <c r="AZ122" i="27"/>
  <c r="D119" i="30"/>
  <c r="I119" i="30" s="1"/>
  <c r="AU124" i="27"/>
  <c r="BH120" i="27"/>
  <c r="BI120" i="27"/>
  <c r="S134" i="27" l="1"/>
  <c r="T134" i="27" s="1"/>
  <c r="AE133" i="27"/>
  <c r="AF133" i="27" s="1"/>
  <c r="AS133" i="27"/>
  <c r="AM134" i="27"/>
  <c r="BF132" i="27"/>
  <c r="G128" i="30"/>
  <c r="AP133" i="27"/>
  <c r="AO133" i="27"/>
  <c r="AN134" i="27"/>
  <c r="AQ132" i="27"/>
  <c r="AR132" i="27" s="1"/>
  <c r="AG133" i="27"/>
  <c r="AA134" i="27"/>
  <c r="U134" i="27"/>
  <c r="AX121" i="27"/>
  <c r="AD134" i="27"/>
  <c r="AB135" i="27"/>
  <c r="AC134" i="27"/>
  <c r="AT119" i="27"/>
  <c r="H115" i="30" s="1"/>
  <c r="Q135" i="27"/>
  <c r="R135" i="27"/>
  <c r="I135" i="27"/>
  <c r="AZ123" i="27"/>
  <c r="BE123" i="27"/>
  <c r="F119" i="30"/>
  <c r="BC122" i="27"/>
  <c r="BL122" i="27" s="1"/>
  <c r="BB122" i="27"/>
  <c r="E118" i="30"/>
  <c r="B128" i="30"/>
  <c r="BA122" i="27"/>
  <c r="AY122" i="27"/>
  <c r="BI121" i="27"/>
  <c r="BH121" i="27"/>
  <c r="BD122" i="27"/>
  <c r="BG122" i="27" s="1"/>
  <c r="AU125" i="27"/>
  <c r="D120" i="30"/>
  <c r="I120" i="30" s="1"/>
  <c r="BJ120" i="27"/>
  <c r="BK120" i="27" s="1"/>
  <c r="AM135" i="27" l="1"/>
  <c r="AS134" i="27"/>
  <c r="BF133" i="27"/>
  <c r="G129" i="30"/>
  <c r="AE134" i="27"/>
  <c r="AF134" i="27" s="1"/>
  <c r="AN135" i="27"/>
  <c r="AO134" i="27"/>
  <c r="AP134" i="27"/>
  <c r="AQ133" i="27"/>
  <c r="AR133" i="27" s="1"/>
  <c r="AA135" i="27"/>
  <c r="AG134" i="27"/>
  <c r="U135" i="27"/>
  <c r="AB136" i="27"/>
  <c r="AC135" i="27"/>
  <c r="AD135" i="27"/>
  <c r="Q136" i="27"/>
  <c r="R136" i="27"/>
  <c r="S135" i="27"/>
  <c r="T135" i="27" s="1"/>
  <c r="I136" i="27"/>
  <c r="AT120" i="27"/>
  <c r="H116" i="30" s="1"/>
  <c r="BE124" i="27"/>
  <c r="F120" i="30"/>
  <c r="B129" i="30"/>
  <c r="BB123" i="27"/>
  <c r="BC123" i="27"/>
  <c r="BL123" i="27" s="1"/>
  <c r="E119" i="30"/>
  <c r="BJ121" i="27"/>
  <c r="BK121" i="27" s="1"/>
  <c r="AX122" i="27"/>
  <c r="BH122" i="27"/>
  <c r="BI122" i="27"/>
  <c r="AZ124" i="27"/>
  <c r="AU126" i="27"/>
  <c r="D121" i="30"/>
  <c r="I121" i="30" s="1"/>
  <c r="BA123" i="27"/>
  <c r="BD123" i="27"/>
  <c r="BG123" i="27" s="1"/>
  <c r="AY123" i="27"/>
  <c r="AQ134" i="27" l="1"/>
  <c r="AR134" i="27" s="1"/>
  <c r="BF134" i="27"/>
  <c r="G130" i="30"/>
  <c r="AS135" i="27"/>
  <c r="AM136" i="27"/>
  <c r="AO135" i="27"/>
  <c r="AN136" i="27"/>
  <c r="AP135" i="27"/>
  <c r="AA136" i="27"/>
  <c r="AG135" i="27"/>
  <c r="U136" i="27"/>
  <c r="AE135" i="27"/>
  <c r="AF135" i="27" s="1"/>
  <c r="AB137" i="27"/>
  <c r="AC136" i="27"/>
  <c r="AD136" i="27"/>
  <c r="AT121" i="27"/>
  <c r="H117" i="30" s="1"/>
  <c r="S136" i="27"/>
  <c r="T136" i="27" s="1"/>
  <c r="I137" i="27"/>
  <c r="Q137" i="27"/>
  <c r="R137" i="27"/>
  <c r="AX123" i="27"/>
  <c r="BE125" i="27"/>
  <c r="F121" i="30"/>
  <c r="BC124" i="27"/>
  <c r="BL124" i="27" s="1"/>
  <c r="BB124" i="27"/>
  <c r="E120" i="30"/>
  <c r="BA124" i="27"/>
  <c r="B130" i="30"/>
  <c r="AY124" i="27"/>
  <c r="AZ125" i="27"/>
  <c r="BI123" i="27"/>
  <c r="BH123" i="27"/>
  <c r="BD124" i="27"/>
  <c r="BG124" i="27" s="1"/>
  <c r="AU127" i="27"/>
  <c r="D122" i="30"/>
  <c r="I122" i="30" s="1"/>
  <c r="BJ122" i="27"/>
  <c r="BK122" i="27" s="1"/>
  <c r="BF135" i="27" l="1"/>
  <c r="G131" i="30"/>
  <c r="AM137" i="27"/>
  <c r="AS136" i="27"/>
  <c r="AN137" i="27"/>
  <c r="AO136" i="27"/>
  <c r="AP136" i="27"/>
  <c r="AQ135" i="27"/>
  <c r="AR135" i="27" s="1"/>
  <c r="AA137" i="27"/>
  <c r="AG136" i="27"/>
  <c r="U137" i="27"/>
  <c r="AX124" i="27"/>
  <c r="AE136" i="27"/>
  <c r="AF136" i="27" s="1"/>
  <c r="AD137" i="27"/>
  <c r="AB138" i="27"/>
  <c r="AC137" i="27"/>
  <c r="AT122" i="27"/>
  <c r="H118" i="30" s="1"/>
  <c r="S137" i="27"/>
  <c r="T137" i="27" s="1"/>
  <c r="R138" i="27"/>
  <c r="Q138" i="27"/>
  <c r="I138" i="27"/>
  <c r="BE126" i="27"/>
  <c r="F122" i="30"/>
  <c r="BC125" i="27"/>
  <c r="BL125" i="27" s="1"/>
  <c r="BB125" i="27"/>
  <c r="E121" i="30"/>
  <c r="B131" i="30"/>
  <c r="AZ126" i="27"/>
  <c r="AY125" i="27"/>
  <c r="BI124" i="27"/>
  <c r="BH124" i="27"/>
  <c r="BA125" i="27"/>
  <c r="BD125" i="27"/>
  <c r="BG125" i="27" s="1"/>
  <c r="D123" i="30"/>
  <c r="I123" i="30" s="1"/>
  <c r="BJ123" i="27"/>
  <c r="BK123" i="27" s="1"/>
  <c r="AU128" i="27"/>
  <c r="S138" i="27" l="1"/>
  <c r="T138" i="27" s="1"/>
  <c r="AQ136" i="27"/>
  <c r="AR136" i="27" s="1"/>
  <c r="AS137" i="27"/>
  <c r="AM138" i="27"/>
  <c r="G132" i="30"/>
  <c r="BF136" i="27"/>
  <c r="AP137" i="27"/>
  <c r="AN138" i="27"/>
  <c r="AO137" i="27"/>
  <c r="AE137" i="27"/>
  <c r="AF137" i="27" s="1"/>
  <c r="AG137" i="27"/>
  <c r="AA138" i="27"/>
  <c r="U138" i="27"/>
  <c r="AC138" i="27"/>
  <c r="AD138" i="27"/>
  <c r="AB139" i="27"/>
  <c r="Q139" i="27"/>
  <c r="R139" i="27"/>
  <c r="AT123" i="27"/>
  <c r="H119" i="30" s="1"/>
  <c r="I139" i="27"/>
  <c r="AZ127" i="27"/>
  <c r="AX125" i="27"/>
  <c r="BE127" i="27"/>
  <c r="F123" i="30"/>
  <c r="BJ124" i="27"/>
  <c r="BK124" i="27" s="1"/>
  <c r="BC126" i="27"/>
  <c r="BB126" i="27"/>
  <c r="E122" i="30"/>
  <c r="B132" i="30"/>
  <c r="D124" i="30"/>
  <c r="I124" i="30" s="1"/>
  <c r="BA126" i="27"/>
  <c r="AY126" i="27"/>
  <c r="AU129" i="27"/>
  <c r="BH125" i="27"/>
  <c r="BI125" i="27"/>
  <c r="BD126" i="27"/>
  <c r="BG126" i="27" s="1"/>
  <c r="AQ137" i="27" l="1"/>
  <c r="AR137" i="27" s="1"/>
  <c r="AS138" i="27"/>
  <c r="AM139" i="27"/>
  <c r="BF137" i="27"/>
  <c r="G133" i="30"/>
  <c r="AP138" i="27"/>
  <c r="AO138" i="27"/>
  <c r="AN139" i="27"/>
  <c r="AA139" i="27"/>
  <c r="AG138" i="27"/>
  <c r="U139" i="27"/>
  <c r="AD139" i="27"/>
  <c r="AB140" i="27"/>
  <c r="AC139" i="27"/>
  <c r="AE138" i="27"/>
  <c r="AF138" i="27" s="1"/>
  <c r="AT124" i="27"/>
  <c r="H120" i="30" s="1"/>
  <c r="R140" i="27"/>
  <c r="Q140" i="27"/>
  <c r="S139" i="27"/>
  <c r="T139" i="27" s="1"/>
  <c r="I140" i="27"/>
  <c r="BL126" i="27"/>
  <c r="BE128" i="27"/>
  <c r="F124" i="30"/>
  <c r="BB127" i="27"/>
  <c r="BC127" i="27"/>
  <c r="BL127" i="27" s="1"/>
  <c r="E123" i="30"/>
  <c r="B133" i="30"/>
  <c r="AY127" i="27"/>
  <c r="AX126" i="27"/>
  <c r="AZ128" i="27"/>
  <c r="BJ125" i="27"/>
  <c r="BK125" i="27" s="1"/>
  <c r="BD127" i="27"/>
  <c r="BG127" i="27" s="1"/>
  <c r="BA127" i="27"/>
  <c r="AU130" i="27"/>
  <c r="BH126" i="27"/>
  <c r="BI126" i="27"/>
  <c r="D125" i="30"/>
  <c r="I125" i="30" s="1"/>
  <c r="AQ138" i="27" l="1"/>
  <c r="AR138" i="27" s="1"/>
  <c r="G134" i="30"/>
  <c r="BF138" i="27"/>
  <c r="AM140" i="27"/>
  <c r="AS139" i="27"/>
  <c r="AE139" i="27"/>
  <c r="AF139" i="27" s="1"/>
  <c r="AP139" i="27"/>
  <c r="AN140" i="27"/>
  <c r="AO139" i="27"/>
  <c r="S140" i="27"/>
  <c r="T140" i="27" s="1"/>
  <c r="AG139" i="27"/>
  <c r="AA140" i="27"/>
  <c r="AX127" i="27"/>
  <c r="U140" i="27"/>
  <c r="AB141" i="27"/>
  <c r="AD140" i="27"/>
  <c r="AC140" i="27"/>
  <c r="Q141" i="27"/>
  <c r="R141" i="27"/>
  <c r="I141" i="27"/>
  <c r="AT125" i="27"/>
  <c r="H121" i="30" s="1"/>
  <c r="BE129" i="27"/>
  <c r="F125" i="30"/>
  <c r="BB128" i="27"/>
  <c r="BC128" i="27"/>
  <c r="BL128" i="27" s="1"/>
  <c r="E124" i="30"/>
  <c r="B134" i="30"/>
  <c r="AZ129" i="27"/>
  <c r="AY128" i="27"/>
  <c r="BA128" i="27"/>
  <c r="BI127" i="27"/>
  <c r="BH127" i="27"/>
  <c r="BD128" i="27"/>
  <c r="BG128" i="27" s="1"/>
  <c r="BJ126" i="27"/>
  <c r="BK126" i="27" s="1"/>
  <c r="AU131" i="27"/>
  <c r="D126" i="30"/>
  <c r="I126" i="30" s="1"/>
  <c r="AQ139" i="27" l="1"/>
  <c r="AR139" i="27" s="1"/>
  <c r="BF139" i="27"/>
  <c r="G135" i="30"/>
  <c r="AS140" i="27"/>
  <c r="AM141" i="27"/>
  <c r="AN141" i="27"/>
  <c r="AO140" i="27"/>
  <c r="AP140" i="27"/>
  <c r="AE140" i="27"/>
  <c r="AF140" i="27" s="1"/>
  <c r="AG140" i="27"/>
  <c r="AA141" i="27"/>
  <c r="U141" i="27"/>
  <c r="BJ127" i="27"/>
  <c r="BK127" i="27" s="1"/>
  <c r="AT127" i="27" s="1"/>
  <c r="H123" i="30" s="1"/>
  <c r="AC141" i="27"/>
  <c r="AD141" i="27"/>
  <c r="AB142" i="27"/>
  <c r="AT126" i="27"/>
  <c r="H122" i="30" s="1"/>
  <c r="R142" i="27"/>
  <c r="Q142" i="27"/>
  <c r="S141" i="27"/>
  <c r="T141" i="27" s="1"/>
  <c r="I142" i="27"/>
  <c r="AX128" i="27"/>
  <c r="BE130" i="27"/>
  <c r="F126" i="30"/>
  <c r="BB129" i="27"/>
  <c r="BC129" i="27"/>
  <c r="E125" i="30"/>
  <c r="B135" i="30"/>
  <c r="AY129" i="27"/>
  <c r="BD129" i="27"/>
  <c r="BG129" i="27" s="1"/>
  <c r="BI128" i="27"/>
  <c r="BH128" i="27"/>
  <c r="AZ130" i="27"/>
  <c r="AU132" i="27"/>
  <c r="BA129" i="27"/>
  <c r="D127" i="30"/>
  <c r="I127" i="30" s="1"/>
  <c r="G136" i="30" l="1"/>
  <c r="BF140" i="27"/>
  <c r="AQ140" i="27"/>
  <c r="AR140" i="27" s="1"/>
  <c r="AM142" i="27"/>
  <c r="AS141" i="27"/>
  <c r="AO141" i="27"/>
  <c r="AN142" i="27"/>
  <c r="AP141" i="27"/>
  <c r="AA142" i="27"/>
  <c r="AG141" i="27"/>
  <c r="U142" i="27"/>
  <c r="AC142" i="27"/>
  <c r="AB143" i="27"/>
  <c r="AD142" i="27"/>
  <c r="AE141" i="27"/>
  <c r="AF141" i="27" s="1"/>
  <c r="I143" i="27"/>
  <c r="S142" i="27"/>
  <c r="T142" i="27" s="1"/>
  <c r="R143" i="27"/>
  <c r="Q143" i="27"/>
  <c r="BL129" i="27"/>
  <c r="AX129" i="27"/>
  <c r="BE131" i="27"/>
  <c r="F127" i="30"/>
  <c r="B136" i="30"/>
  <c r="BB130" i="27"/>
  <c r="BC130" i="27"/>
  <c r="BL130" i="27" s="1"/>
  <c r="E126" i="30"/>
  <c r="BA130" i="27"/>
  <c r="BJ128" i="27"/>
  <c r="BK128" i="27" s="1"/>
  <c r="BD130" i="27"/>
  <c r="BG130" i="27" s="1"/>
  <c r="AY130" i="27"/>
  <c r="AU133" i="27"/>
  <c r="BI129" i="27"/>
  <c r="BH129" i="27"/>
  <c r="D128" i="30"/>
  <c r="I128" i="30" s="1"/>
  <c r="AZ131" i="27"/>
  <c r="G137" i="30" l="1"/>
  <c r="BF141" i="27"/>
  <c r="AM143" i="27"/>
  <c r="AS142" i="27"/>
  <c r="AP142" i="27"/>
  <c r="AO142" i="27"/>
  <c r="AN143" i="27"/>
  <c r="AQ141" i="27"/>
  <c r="AR141" i="27" s="1"/>
  <c r="AG142" i="27"/>
  <c r="AA143" i="27"/>
  <c r="U143" i="27"/>
  <c r="AB144" i="27"/>
  <c r="AC143" i="27"/>
  <c r="AD143" i="27"/>
  <c r="AE142" i="27"/>
  <c r="AF142" i="27" s="1"/>
  <c r="S143" i="27"/>
  <c r="T143" i="27" s="1"/>
  <c r="R144" i="27"/>
  <c r="Q144" i="27"/>
  <c r="AT128" i="27"/>
  <c r="H124" i="30" s="1"/>
  <c r="I144" i="27"/>
  <c r="AX130" i="27"/>
  <c r="AY131" i="27"/>
  <c r="BA131" i="27"/>
  <c r="BE132" i="27"/>
  <c r="F128" i="30"/>
  <c r="BB131" i="27"/>
  <c r="BC131" i="27"/>
  <c r="BL131" i="27" s="1"/>
  <c r="E127" i="30"/>
  <c r="B137" i="30"/>
  <c r="BJ129" i="27"/>
  <c r="BK129" i="27" s="1"/>
  <c r="BD131" i="27"/>
  <c r="BG131" i="27" s="1"/>
  <c r="BH130" i="27"/>
  <c r="BI130" i="27"/>
  <c r="AZ132" i="27"/>
  <c r="AU134" i="27"/>
  <c r="D129" i="30"/>
  <c r="I129" i="30" s="1"/>
  <c r="AQ142" i="27" l="1"/>
  <c r="AR142" i="27" s="1"/>
  <c r="AM144" i="27"/>
  <c r="AS143" i="27"/>
  <c r="G138" i="30"/>
  <c r="BF142" i="27"/>
  <c r="S144" i="27"/>
  <c r="T144" i="27" s="1"/>
  <c r="AO143" i="27"/>
  <c r="AP143" i="27"/>
  <c r="AN144" i="27"/>
  <c r="AG143" i="27"/>
  <c r="AA144" i="27"/>
  <c r="AX131" i="27"/>
  <c r="U144" i="27"/>
  <c r="AE143" i="27"/>
  <c r="AF143" i="27" s="1"/>
  <c r="AB145" i="27"/>
  <c r="AD144" i="27"/>
  <c r="AC144" i="27"/>
  <c r="Q145" i="27"/>
  <c r="R145" i="27"/>
  <c r="AT129" i="27"/>
  <c r="H125" i="30" s="1"/>
  <c r="I145" i="27"/>
  <c r="BE133" i="27"/>
  <c r="F129" i="30"/>
  <c r="BC132" i="27"/>
  <c r="BL132" i="27" s="1"/>
  <c r="BB132" i="27"/>
  <c r="E128" i="30"/>
  <c r="B138" i="30"/>
  <c r="AZ133" i="27"/>
  <c r="AY132" i="27"/>
  <c r="BD132" i="27"/>
  <c r="BG132" i="27" s="1"/>
  <c r="D130" i="30"/>
  <c r="I130" i="30" s="1"/>
  <c r="BJ130" i="27"/>
  <c r="BK130" i="27" s="1"/>
  <c r="BI131" i="27"/>
  <c r="BH131" i="27"/>
  <c r="BA132" i="27"/>
  <c r="AU135" i="27"/>
  <c r="BF143" i="27" l="1"/>
  <c r="G139" i="30"/>
  <c r="AM145" i="27"/>
  <c r="AS144" i="27"/>
  <c r="AN145" i="27"/>
  <c r="AP144" i="27"/>
  <c r="AO144" i="27"/>
  <c r="AQ143" i="27"/>
  <c r="AR143" i="27" s="1"/>
  <c r="AE144" i="27"/>
  <c r="AF144" i="27" s="1"/>
  <c r="AA145" i="27"/>
  <c r="AG144" i="27"/>
  <c r="S145" i="27"/>
  <c r="T145" i="27" s="1"/>
  <c r="U145" i="27"/>
  <c r="AD145" i="27"/>
  <c r="AC145" i="27"/>
  <c r="AB146" i="27"/>
  <c r="AT130" i="27"/>
  <c r="H126" i="30" s="1"/>
  <c r="I146" i="27"/>
  <c r="R146" i="27"/>
  <c r="Q146" i="27"/>
  <c r="BE134" i="27"/>
  <c r="F130" i="30"/>
  <c r="BB133" i="27"/>
  <c r="BC133" i="27"/>
  <c r="BL133" i="27" s="1"/>
  <c r="E129" i="30"/>
  <c r="B139" i="30"/>
  <c r="AY133" i="27"/>
  <c r="AZ134" i="27"/>
  <c r="BJ131" i="27"/>
  <c r="BK131" i="27" s="1"/>
  <c r="D131" i="30"/>
  <c r="I131" i="30" s="1"/>
  <c r="BA133" i="27"/>
  <c r="AX132" i="27"/>
  <c r="AU136" i="27"/>
  <c r="BD133" i="27"/>
  <c r="BG133" i="27" s="1"/>
  <c r="BI132" i="27"/>
  <c r="BH132" i="27"/>
  <c r="S146" i="27" l="1"/>
  <c r="T146" i="27" s="1"/>
  <c r="AM146" i="27"/>
  <c r="AS145" i="27"/>
  <c r="G140" i="30"/>
  <c r="BF144" i="27"/>
  <c r="AQ144" i="27"/>
  <c r="AR144" i="27" s="1"/>
  <c r="AO145" i="27"/>
  <c r="AP145" i="27"/>
  <c r="AN146" i="27"/>
  <c r="AE145" i="27"/>
  <c r="AF145" i="27" s="1"/>
  <c r="AX133" i="27"/>
  <c r="AG145" i="27"/>
  <c r="AA146" i="27"/>
  <c r="U146" i="27"/>
  <c r="AB147" i="27"/>
  <c r="AC146" i="27"/>
  <c r="AD146" i="27"/>
  <c r="I147" i="27"/>
  <c r="AT131" i="27"/>
  <c r="H127" i="30" s="1"/>
  <c r="R147" i="27"/>
  <c r="Q147" i="27"/>
  <c r="BE135" i="27"/>
  <c r="F131" i="30"/>
  <c r="BC134" i="27"/>
  <c r="BB134" i="27"/>
  <c r="E130" i="30"/>
  <c r="B140" i="30"/>
  <c r="BJ132" i="27"/>
  <c r="BK132" i="27" s="1"/>
  <c r="BA134" i="27"/>
  <c r="AY134" i="27"/>
  <c r="D132" i="30"/>
  <c r="I132" i="30" s="1"/>
  <c r="BD134" i="27"/>
  <c r="BG134" i="27" s="1"/>
  <c r="AU137" i="27"/>
  <c r="BI133" i="27"/>
  <c r="BH133" i="27"/>
  <c r="AZ135" i="27"/>
  <c r="S147" i="27" l="1"/>
  <c r="T147" i="27" s="1"/>
  <c r="G141" i="30"/>
  <c r="BF145" i="27"/>
  <c r="AQ145" i="27"/>
  <c r="AR145" i="27" s="1"/>
  <c r="AM147" i="27"/>
  <c r="AS146" i="27"/>
  <c r="AP146" i="27"/>
  <c r="AN147" i="27"/>
  <c r="AO146" i="27"/>
  <c r="AA147" i="27"/>
  <c r="AG146" i="27"/>
  <c r="U147" i="27"/>
  <c r="AE146" i="27"/>
  <c r="AF146" i="27" s="1"/>
  <c r="AC147" i="27"/>
  <c r="AB148" i="27"/>
  <c r="AD147" i="27"/>
  <c r="Q148" i="27"/>
  <c r="R148" i="27"/>
  <c r="AT132" i="27"/>
  <c r="H128" i="30" s="1"/>
  <c r="I148" i="27"/>
  <c r="AX134" i="27"/>
  <c r="BL134" i="27"/>
  <c r="BE136" i="27"/>
  <c r="F132" i="30"/>
  <c r="B141" i="30"/>
  <c r="BB135" i="27"/>
  <c r="BC135" i="27"/>
  <c r="BL135" i="27" s="1"/>
  <c r="E131" i="30"/>
  <c r="AZ136" i="27"/>
  <c r="AY135" i="27"/>
  <c r="BJ133" i="27"/>
  <c r="BK133" i="27" s="1"/>
  <c r="D133" i="30"/>
  <c r="I133" i="30" s="1"/>
  <c r="AU138" i="27"/>
  <c r="BA135" i="27"/>
  <c r="BI134" i="27"/>
  <c r="BH134" i="27"/>
  <c r="BD135" i="27"/>
  <c r="BG135" i="27" s="1"/>
  <c r="AQ146" i="27" l="1"/>
  <c r="AR146" i="27" s="1"/>
  <c r="BF146" i="27"/>
  <c r="G142" i="30"/>
  <c r="AM148" i="27"/>
  <c r="AS147" i="27"/>
  <c r="AP147" i="27"/>
  <c r="AO147" i="27"/>
  <c r="AN148" i="27"/>
  <c r="AA148" i="27"/>
  <c r="AG147" i="27"/>
  <c r="U148" i="27"/>
  <c r="AD148" i="27"/>
  <c r="AB149" i="27"/>
  <c r="AC148" i="27"/>
  <c r="AE147" i="27"/>
  <c r="AF147" i="27" s="1"/>
  <c r="AT133" i="27"/>
  <c r="H129" i="30" s="1"/>
  <c r="I149" i="27"/>
  <c r="S148" i="27"/>
  <c r="T148" i="27" s="1"/>
  <c r="R149" i="27"/>
  <c r="Q149" i="27"/>
  <c r="BA136" i="27"/>
  <c r="AY136" i="27"/>
  <c r="AX135" i="27"/>
  <c r="BE137" i="27"/>
  <c r="F133" i="30"/>
  <c r="BC136" i="27"/>
  <c r="BB136" i="27"/>
  <c r="E132" i="30"/>
  <c r="B142" i="30"/>
  <c r="AZ137" i="27"/>
  <c r="BD136" i="27"/>
  <c r="BG136" i="27" s="1"/>
  <c r="D134" i="30"/>
  <c r="I134" i="30" s="1"/>
  <c r="AU139" i="27"/>
  <c r="BH135" i="27"/>
  <c r="BI135" i="27"/>
  <c r="BJ134" i="27"/>
  <c r="BK134" i="27" s="1"/>
  <c r="AQ147" i="27" l="1"/>
  <c r="AR147" i="27" s="1"/>
  <c r="BF147" i="27"/>
  <c r="G143" i="30"/>
  <c r="AM149" i="27"/>
  <c r="AS148" i="27"/>
  <c r="AE148" i="27"/>
  <c r="AF148" i="27" s="1"/>
  <c r="AP148" i="27"/>
  <c r="AO148" i="27"/>
  <c r="AN149" i="27"/>
  <c r="AX136" i="27"/>
  <c r="AG148" i="27"/>
  <c r="AA149" i="27"/>
  <c r="U149" i="27"/>
  <c r="AC149" i="27"/>
  <c r="AD149" i="27"/>
  <c r="AB150" i="27"/>
  <c r="S149" i="27"/>
  <c r="T149" i="27" s="1"/>
  <c r="AT134" i="27"/>
  <c r="H130" i="30" s="1"/>
  <c r="I150" i="27"/>
  <c r="Q150" i="27"/>
  <c r="R150" i="27"/>
  <c r="BL136" i="27"/>
  <c r="BE138" i="27"/>
  <c r="F134" i="30"/>
  <c r="BC137" i="27"/>
  <c r="BL137" i="27" s="1"/>
  <c r="BB137" i="27"/>
  <c r="E133" i="30"/>
  <c r="B143" i="30"/>
  <c r="AY137" i="27"/>
  <c r="AZ138" i="27"/>
  <c r="BD137" i="27"/>
  <c r="BG137" i="27" s="1"/>
  <c r="BA137" i="27"/>
  <c r="BJ135" i="27"/>
  <c r="BK135" i="27" s="1"/>
  <c r="AU140" i="27"/>
  <c r="BH136" i="27"/>
  <c r="BI136" i="27"/>
  <c r="D135" i="30"/>
  <c r="I135" i="30" s="1"/>
  <c r="AQ148" i="27" l="1"/>
  <c r="AR148" i="27" s="1"/>
  <c r="AX137" i="27"/>
  <c r="BF148" i="27"/>
  <c r="G144" i="30"/>
  <c r="AM150" i="27"/>
  <c r="AS149" i="27"/>
  <c r="AN150" i="27"/>
  <c r="AO149" i="27"/>
  <c r="AP149" i="27"/>
  <c r="AA150" i="27"/>
  <c r="AG149" i="27"/>
  <c r="U150" i="27"/>
  <c r="AC150" i="27"/>
  <c r="AB151" i="27"/>
  <c r="AD150" i="27"/>
  <c r="AE149" i="27"/>
  <c r="AF149" i="27" s="1"/>
  <c r="I151" i="27"/>
  <c r="AT135" i="27"/>
  <c r="H131" i="30" s="1"/>
  <c r="S150" i="27"/>
  <c r="T150" i="27" s="1"/>
  <c r="Q151" i="27"/>
  <c r="R151" i="27"/>
  <c r="BE139" i="27"/>
  <c r="F135" i="30"/>
  <c r="BB138" i="27"/>
  <c r="BC138" i="27"/>
  <c r="BL138" i="27" s="1"/>
  <c r="E134" i="30"/>
  <c r="B144" i="30"/>
  <c r="AZ139" i="27"/>
  <c r="AY138" i="27"/>
  <c r="D136" i="30"/>
  <c r="I136" i="30" s="1"/>
  <c r="BA138" i="27"/>
  <c r="BD138" i="27"/>
  <c r="BG138" i="27" s="1"/>
  <c r="BJ136" i="27"/>
  <c r="BK136" i="27" s="1"/>
  <c r="AU141" i="27"/>
  <c r="BI137" i="27"/>
  <c r="BH137" i="27"/>
  <c r="G145" i="30" l="1"/>
  <c r="BF149" i="27"/>
  <c r="AM151" i="27"/>
  <c r="AS150" i="27"/>
  <c r="AQ149" i="27"/>
  <c r="AR149" i="27" s="1"/>
  <c r="AO150" i="27"/>
  <c r="AP150" i="27"/>
  <c r="AN151" i="27"/>
  <c r="AX138" i="27"/>
  <c r="AA151" i="27"/>
  <c r="AG150" i="27"/>
  <c r="U151" i="27"/>
  <c r="AC151" i="27"/>
  <c r="AD151" i="27"/>
  <c r="AB152" i="27"/>
  <c r="AE150" i="27"/>
  <c r="AF150" i="27" s="1"/>
  <c r="Q152" i="27"/>
  <c r="R152" i="27"/>
  <c r="I152" i="27"/>
  <c r="AT136" i="27"/>
  <c r="H132" i="30" s="1"/>
  <c r="S151" i="27"/>
  <c r="T151" i="27" s="1"/>
  <c r="BE140" i="27"/>
  <c r="F136" i="30"/>
  <c r="BB139" i="27"/>
  <c r="BC139" i="27"/>
  <c r="BL139" i="27" s="1"/>
  <c r="E135" i="30"/>
  <c r="B145" i="30"/>
  <c r="BA139" i="27"/>
  <c r="BJ137" i="27"/>
  <c r="BK137" i="27" s="1"/>
  <c r="BD139" i="27"/>
  <c r="BG139" i="27" s="1"/>
  <c r="AZ140" i="27"/>
  <c r="AY139" i="27"/>
  <c r="D137" i="30"/>
  <c r="I137" i="30" s="1"/>
  <c r="BH138" i="27"/>
  <c r="BI138" i="27"/>
  <c r="AU142" i="27"/>
  <c r="BF150" i="27" l="1"/>
  <c r="G146" i="30"/>
  <c r="AQ150" i="27"/>
  <c r="AR150" i="27" s="1"/>
  <c r="AM152" i="27"/>
  <c r="AS151" i="27"/>
  <c r="AP151" i="27"/>
  <c r="AN152" i="27"/>
  <c r="AO151" i="27"/>
  <c r="AA152" i="27"/>
  <c r="AG151" i="27"/>
  <c r="U152" i="27"/>
  <c r="AB153" i="27"/>
  <c r="AD152" i="27"/>
  <c r="AC152" i="27"/>
  <c r="AE151" i="27"/>
  <c r="AF151" i="27" s="1"/>
  <c r="I153" i="27"/>
  <c r="S152" i="27"/>
  <c r="T152" i="27" s="1"/>
  <c r="AT137" i="27"/>
  <c r="H133" i="30" s="1"/>
  <c r="Q153" i="27"/>
  <c r="R153" i="27"/>
  <c r="AY140" i="27"/>
  <c r="AX139" i="27"/>
  <c r="BE141" i="27"/>
  <c r="F137" i="30"/>
  <c r="BC140" i="27"/>
  <c r="BB140" i="27"/>
  <c r="E136" i="30"/>
  <c r="B146" i="30"/>
  <c r="AZ141" i="27"/>
  <c r="D138" i="30"/>
  <c r="I138" i="30" s="1"/>
  <c r="BA140" i="27"/>
  <c r="AU143" i="27"/>
  <c r="BJ138" i="27"/>
  <c r="BK138" i="27" s="1"/>
  <c r="BI139" i="27"/>
  <c r="BH139" i="27"/>
  <c r="BD140" i="27"/>
  <c r="BG140" i="27" s="1"/>
  <c r="AE152" i="27" l="1"/>
  <c r="AF152" i="27" s="1"/>
  <c r="AQ151" i="27"/>
  <c r="AR151" i="27" s="1"/>
  <c r="AM153" i="27"/>
  <c r="AS152" i="27"/>
  <c r="BF151" i="27"/>
  <c r="G147" i="30"/>
  <c r="AN153" i="27"/>
  <c r="AO152" i="27"/>
  <c r="AP152" i="27"/>
  <c r="AA153" i="27"/>
  <c r="AG152" i="27"/>
  <c r="S153" i="27"/>
  <c r="T153" i="27" s="1"/>
  <c r="AX140" i="27"/>
  <c r="U153" i="27"/>
  <c r="AD153" i="27"/>
  <c r="AB154" i="27"/>
  <c r="AC153" i="27"/>
  <c r="I154" i="27"/>
  <c r="AT138" i="27"/>
  <c r="H134" i="30" s="1"/>
  <c r="R154" i="27"/>
  <c r="Q154" i="27"/>
  <c r="BL140" i="27"/>
  <c r="BE142" i="27"/>
  <c r="F138" i="30"/>
  <c r="BB141" i="27"/>
  <c r="BC141" i="27"/>
  <c r="E137" i="30"/>
  <c r="B147" i="30"/>
  <c r="BJ139" i="27"/>
  <c r="BK139" i="27" s="1"/>
  <c r="AZ142" i="27"/>
  <c r="AY141" i="27"/>
  <c r="BD141" i="27"/>
  <c r="BG141" i="27" s="1"/>
  <c r="BH140" i="27"/>
  <c r="BI140" i="27"/>
  <c r="AU144" i="27"/>
  <c r="D139" i="30"/>
  <c r="I139" i="30" s="1"/>
  <c r="BA141" i="27"/>
  <c r="BF152" i="27" l="1"/>
  <c r="G148" i="30"/>
  <c r="AM154" i="27"/>
  <c r="AS153" i="27"/>
  <c r="AQ152" i="27"/>
  <c r="AR152" i="27" s="1"/>
  <c r="AN154" i="27"/>
  <c r="AO153" i="27"/>
  <c r="AP153" i="27"/>
  <c r="AE153" i="27"/>
  <c r="AF153" i="27" s="1"/>
  <c r="AA154" i="27"/>
  <c r="AG153" i="27"/>
  <c r="U154" i="27"/>
  <c r="AB155" i="27"/>
  <c r="AD154" i="27"/>
  <c r="AC154" i="27"/>
  <c r="AT139" i="27"/>
  <c r="H135" i="30" s="1"/>
  <c r="I155" i="27"/>
  <c r="S154" i="27"/>
  <c r="T154" i="27" s="1"/>
  <c r="Q155" i="27"/>
  <c r="R155" i="27"/>
  <c r="BL141" i="27"/>
  <c r="BE143" i="27"/>
  <c r="F139" i="30"/>
  <c r="BC142" i="27"/>
  <c r="BL142" i="27" s="1"/>
  <c r="BB142" i="27"/>
  <c r="E138" i="30"/>
  <c r="B148" i="30"/>
  <c r="AZ143" i="27"/>
  <c r="BJ140" i="27"/>
  <c r="BK140" i="27" s="1"/>
  <c r="BD142" i="27"/>
  <c r="BG142" i="27" s="1"/>
  <c r="BH141" i="27"/>
  <c r="BI141" i="27"/>
  <c r="AX141" i="27"/>
  <c r="AU145" i="27"/>
  <c r="D140" i="30"/>
  <c r="I140" i="30" s="1"/>
  <c r="AY142" i="27"/>
  <c r="BA142" i="27"/>
  <c r="AE154" i="27" l="1"/>
  <c r="AF154" i="27" s="1"/>
  <c r="BF153" i="27"/>
  <c r="G149" i="30"/>
  <c r="AM155" i="27"/>
  <c r="AS154" i="27"/>
  <c r="AQ153" i="27"/>
  <c r="AR153" i="27" s="1"/>
  <c r="AN155" i="27"/>
  <c r="AP154" i="27"/>
  <c r="AO154" i="27"/>
  <c r="AG154" i="27"/>
  <c r="AA155" i="27"/>
  <c r="U155" i="27"/>
  <c r="AC155" i="27"/>
  <c r="AB156" i="27"/>
  <c r="AD155" i="27"/>
  <c r="S155" i="27"/>
  <c r="T155" i="27" s="1"/>
  <c r="I156" i="27"/>
  <c r="Q156" i="27"/>
  <c r="R156" i="27"/>
  <c r="AT140" i="27"/>
  <c r="H136" i="30" s="1"/>
  <c r="BE144" i="27"/>
  <c r="F140" i="30"/>
  <c r="BB143" i="27"/>
  <c r="BC143" i="27"/>
  <c r="E139" i="30"/>
  <c r="B149" i="30"/>
  <c r="AY143" i="27"/>
  <c r="AX142" i="27"/>
  <c r="AZ144" i="27"/>
  <c r="BJ141" i="27"/>
  <c r="BK141" i="27" s="1"/>
  <c r="AU146" i="27"/>
  <c r="BA143" i="27"/>
  <c r="D141" i="30"/>
  <c r="I141" i="30" s="1"/>
  <c r="BD143" i="27"/>
  <c r="BG143" i="27" s="1"/>
  <c r="AY144" i="27"/>
  <c r="BI142" i="27"/>
  <c r="BH142" i="27"/>
  <c r="AQ154" i="27" l="1"/>
  <c r="AR154" i="27" s="1"/>
  <c r="G150" i="30"/>
  <c r="BF154" i="27"/>
  <c r="AM156" i="27"/>
  <c r="AS155" i="27"/>
  <c r="AO155" i="27"/>
  <c r="AN156" i="27"/>
  <c r="AP155" i="27"/>
  <c r="S156" i="27"/>
  <c r="T156" i="27" s="1"/>
  <c r="AG155" i="27"/>
  <c r="AA156" i="27"/>
  <c r="U156" i="27"/>
  <c r="AB157" i="27"/>
  <c r="AD156" i="27"/>
  <c r="AC156" i="27"/>
  <c r="AE155" i="27"/>
  <c r="AF155" i="27" s="1"/>
  <c r="AT141" i="27"/>
  <c r="H137" i="30" s="1"/>
  <c r="Q157" i="27"/>
  <c r="R157" i="27"/>
  <c r="I157" i="27"/>
  <c r="BL143" i="27"/>
  <c r="AX143" i="27"/>
  <c r="BE145" i="27"/>
  <c r="F141" i="30"/>
  <c r="BB144" i="27"/>
  <c r="BC144" i="27"/>
  <c r="E140" i="30"/>
  <c r="B150" i="30"/>
  <c r="BJ142" i="27"/>
  <c r="BK142" i="27" s="1"/>
  <c r="AZ145" i="27"/>
  <c r="BA144" i="27"/>
  <c r="AX144" i="27" s="1"/>
  <c r="AU147" i="27"/>
  <c r="BI143" i="27"/>
  <c r="BH143" i="27"/>
  <c r="BD144" i="27"/>
  <c r="BG144" i="27" s="1"/>
  <c r="D142" i="30"/>
  <c r="I142" i="30" s="1"/>
  <c r="AE156" i="27" l="1"/>
  <c r="AF156" i="27" s="1"/>
  <c r="AM157" i="27"/>
  <c r="AS156" i="27"/>
  <c r="BF155" i="27"/>
  <c r="G151" i="30"/>
  <c r="AN157" i="27"/>
  <c r="AO156" i="27"/>
  <c r="AP156" i="27"/>
  <c r="AQ155" i="27"/>
  <c r="AR155" i="27" s="1"/>
  <c r="AA157" i="27"/>
  <c r="AG156" i="27"/>
  <c r="U157" i="27"/>
  <c r="AC157" i="27"/>
  <c r="AD157" i="27"/>
  <c r="AB158" i="27"/>
  <c r="S157" i="27"/>
  <c r="T157" i="27" s="1"/>
  <c r="I158" i="27"/>
  <c r="AT142" i="27"/>
  <c r="H138" i="30" s="1"/>
  <c r="Q158" i="27"/>
  <c r="R158" i="27"/>
  <c r="BL144" i="27"/>
  <c r="AY145" i="27"/>
  <c r="BE146" i="27"/>
  <c r="F142" i="30"/>
  <c r="BB145" i="27"/>
  <c r="BC145" i="27"/>
  <c r="BL145" i="27" s="1"/>
  <c r="E141" i="30"/>
  <c r="B151" i="30"/>
  <c r="BJ143" i="27"/>
  <c r="BK143" i="27" s="1"/>
  <c r="BA145" i="27"/>
  <c r="AZ146" i="27"/>
  <c r="AY146" i="27"/>
  <c r="BD145" i="27"/>
  <c r="BG145" i="27" s="1"/>
  <c r="D143" i="30"/>
  <c r="I143" i="30" s="1"/>
  <c r="BH144" i="27"/>
  <c r="BI144" i="27"/>
  <c r="AU148" i="27"/>
  <c r="AQ156" i="27" l="1"/>
  <c r="AR156" i="27" s="1"/>
  <c r="BF156" i="27"/>
  <c r="G152" i="30"/>
  <c r="AM158" i="27"/>
  <c r="AS157" i="27"/>
  <c r="AP157" i="27"/>
  <c r="AN158" i="27"/>
  <c r="AO157" i="27"/>
  <c r="AG157" i="27"/>
  <c r="AA158" i="27"/>
  <c r="AX145" i="27"/>
  <c r="U158" i="27"/>
  <c r="AD158" i="27"/>
  <c r="AC158" i="27"/>
  <c r="AB159" i="27"/>
  <c r="AE157" i="27"/>
  <c r="AF157" i="27" s="1"/>
  <c r="AT143" i="27"/>
  <c r="H139" i="30" s="1"/>
  <c r="Q159" i="27"/>
  <c r="R159" i="27"/>
  <c r="I159" i="27"/>
  <c r="S158" i="27"/>
  <c r="T158" i="27" s="1"/>
  <c r="BE147" i="27"/>
  <c r="F143" i="30"/>
  <c r="B152" i="30"/>
  <c r="BB146" i="27"/>
  <c r="BC146" i="27"/>
  <c r="BL146" i="27" s="1"/>
  <c r="E142" i="30"/>
  <c r="AZ147" i="27"/>
  <c r="BJ144" i="27"/>
  <c r="BK144" i="27" s="1"/>
  <c r="BA146" i="27"/>
  <c r="AX146" i="27" s="1"/>
  <c r="BI145" i="27"/>
  <c r="BH145" i="27"/>
  <c r="AU149" i="27"/>
  <c r="BD146" i="27"/>
  <c r="BG146" i="27" s="1"/>
  <c r="D144" i="30"/>
  <c r="I144" i="30" s="1"/>
  <c r="AE158" i="27" l="1"/>
  <c r="AF158" i="27" s="1"/>
  <c r="AQ157" i="27"/>
  <c r="AR157" i="27" s="1"/>
  <c r="AS158" i="27"/>
  <c r="AM159" i="27"/>
  <c r="BF157" i="27"/>
  <c r="G153" i="30"/>
  <c r="AN159" i="27"/>
  <c r="AP158" i="27"/>
  <c r="AO158" i="27"/>
  <c r="AA159" i="27"/>
  <c r="AG158" i="27"/>
  <c r="U159" i="27"/>
  <c r="AB160" i="27"/>
  <c r="AD159" i="27"/>
  <c r="AC159" i="27"/>
  <c r="I160" i="27"/>
  <c r="S159" i="27"/>
  <c r="T159" i="27" s="1"/>
  <c r="Q160" i="27"/>
  <c r="R160" i="27"/>
  <c r="AT144" i="27"/>
  <c r="H140" i="30" s="1"/>
  <c r="AY147" i="27"/>
  <c r="BE148" i="27"/>
  <c r="F144" i="30"/>
  <c r="BC147" i="27"/>
  <c r="BB147" i="27"/>
  <c r="E143" i="30"/>
  <c r="BJ145" i="27"/>
  <c r="BK145" i="27" s="1"/>
  <c r="B153" i="30"/>
  <c r="AZ148" i="27"/>
  <c r="BH146" i="27"/>
  <c r="BI146" i="27"/>
  <c r="AU150" i="27"/>
  <c r="BA147" i="27"/>
  <c r="D145" i="30"/>
  <c r="I145" i="30" s="1"/>
  <c r="BD147" i="27"/>
  <c r="BG147" i="27" s="1"/>
  <c r="AQ158" i="27" l="1"/>
  <c r="AR158" i="27" s="1"/>
  <c r="AE159" i="27"/>
  <c r="AF159" i="27" s="1"/>
  <c r="AS159" i="27"/>
  <c r="AM160" i="27"/>
  <c r="BF158" i="27"/>
  <c r="G154" i="30"/>
  <c r="AP159" i="27"/>
  <c r="AN160" i="27"/>
  <c r="AO159" i="27"/>
  <c r="AA160" i="27"/>
  <c r="AG159" i="27"/>
  <c r="S160" i="27"/>
  <c r="T160" i="27" s="1"/>
  <c r="AX147" i="27"/>
  <c r="U160" i="27"/>
  <c r="AD160" i="27"/>
  <c r="AC160" i="27"/>
  <c r="AB161" i="27"/>
  <c r="AT145" i="27"/>
  <c r="H141" i="30" s="1"/>
  <c r="I161" i="27"/>
  <c r="Q161" i="27"/>
  <c r="R161" i="27"/>
  <c r="BL147" i="27"/>
  <c r="BE149" i="27"/>
  <c r="F145" i="30"/>
  <c r="B154" i="30"/>
  <c r="BB148" i="27"/>
  <c r="BC148" i="27"/>
  <c r="E144" i="30"/>
  <c r="BA148" i="27"/>
  <c r="AZ149" i="27"/>
  <c r="AY148" i="27"/>
  <c r="BD148" i="27"/>
  <c r="BG148" i="27" s="1"/>
  <c r="AU151" i="27"/>
  <c r="BH147" i="27"/>
  <c r="BI147" i="27"/>
  <c r="D146" i="30"/>
  <c r="I146" i="30" s="1"/>
  <c r="BJ146" i="27"/>
  <c r="BK146" i="27" s="1"/>
  <c r="AE160" i="27" l="1"/>
  <c r="AF160" i="27" s="1"/>
  <c r="AQ159" i="27"/>
  <c r="AR159" i="27" s="1"/>
  <c r="AS160" i="27"/>
  <c r="AM161" i="27"/>
  <c r="BF159" i="27"/>
  <c r="G155" i="30"/>
  <c r="S161" i="27"/>
  <c r="T161" i="27" s="1"/>
  <c r="AN161" i="27"/>
  <c r="AP160" i="27"/>
  <c r="AO160" i="27"/>
  <c r="AA161" i="27"/>
  <c r="AG160" i="27"/>
  <c r="U161" i="27"/>
  <c r="AB162" i="27"/>
  <c r="AC161" i="27"/>
  <c r="AD161" i="27"/>
  <c r="I162" i="27"/>
  <c r="Q162" i="27"/>
  <c r="R162" i="27"/>
  <c r="AT146" i="27"/>
  <c r="H142" i="30" s="1"/>
  <c r="BL148" i="27"/>
  <c r="AX148" i="27"/>
  <c r="AZ150" i="27"/>
  <c r="BE150" i="27"/>
  <c r="F146" i="30"/>
  <c r="BB149" i="27"/>
  <c r="BC149" i="27"/>
  <c r="E145" i="30"/>
  <c r="B155" i="30"/>
  <c r="AY149" i="27"/>
  <c r="BJ147" i="27"/>
  <c r="BK147" i="27" s="1"/>
  <c r="BI148" i="27"/>
  <c r="BH148" i="27"/>
  <c r="AZ151" i="27"/>
  <c r="D147" i="30"/>
  <c r="I147" i="30" s="1"/>
  <c r="BD149" i="27"/>
  <c r="BG149" i="27" s="1"/>
  <c r="AU152" i="27"/>
  <c r="BA149" i="27"/>
  <c r="AQ160" i="27" l="1"/>
  <c r="AR160" i="27" s="1"/>
  <c r="AS161" i="27"/>
  <c r="AM162" i="27"/>
  <c r="BF160" i="27"/>
  <c r="G156" i="30"/>
  <c r="AO161" i="27"/>
  <c r="AN162" i="27"/>
  <c r="AP161" i="27"/>
  <c r="AA162" i="27"/>
  <c r="AG161" i="27"/>
  <c r="U162" i="27"/>
  <c r="AE161" i="27"/>
  <c r="AF161" i="27" s="1"/>
  <c r="AD162" i="27"/>
  <c r="AB163" i="27"/>
  <c r="AC162" i="27"/>
  <c r="AT147" i="27"/>
  <c r="H143" i="30" s="1"/>
  <c r="S162" i="27"/>
  <c r="T162" i="27" s="1"/>
  <c r="R163" i="27"/>
  <c r="Q163" i="27"/>
  <c r="I163" i="27"/>
  <c r="BL149" i="27"/>
  <c r="AX149" i="27"/>
  <c r="BE151" i="27"/>
  <c r="F147" i="30"/>
  <c r="BC150" i="27"/>
  <c r="BB150" i="27"/>
  <c r="E146" i="30"/>
  <c r="B156" i="30"/>
  <c r="BJ148" i="27"/>
  <c r="BK148" i="27" s="1"/>
  <c r="AY150" i="27"/>
  <c r="BI149" i="27"/>
  <c r="BH149" i="27"/>
  <c r="AU153" i="27"/>
  <c r="D148" i="30"/>
  <c r="I148" i="30" s="1"/>
  <c r="BD150" i="27"/>
  <c r="BG150" i="27" s="1"/>
  <c r="BA150" i="27"/>
  <c r="AE162" i="27" l="1"/>
  <c r="AF162" i="27" s="1"/>
  <c r="BF161" i="27"/>
  <c r="G157" i="30"/>
  <c r="AS162" i="27"/>
  <c r="AM163" i="27"/>
  <c r="AN163" i="27"/>
  <c r="AP162" i="27"/>
  <c r="AO162" i="27"/>
  <c r="AQ161" i="27"/>
  <c r="AR161" i="27" s="1"/>
  <c r="AG162" i="27"/>
  <c r="AA163" i="27"/>
  <c r="U163" i="27"/>
  <c r="AC163" i="27"/>
  <c r="AB164" i="27"/>
  <c r="AD163" i="27"/>
  <c r="I164" i="27"/>
  <c r="S163" i="27"/>
  <c r="T163" i="27" s="1"/>
  <c r="AT148" i="27"/>
  <c r="H144" i="30" s="1"/>
  <c r="Q164" i="27"/>
  <c r="R164" i="27"/>
  <c r="BL150" i="27"/>
  <c r="AX150" i="27"/>
  <c r="BE152" i="27"/>
  <c r="F148" i="30"/>
  <c r="BB151" i="27"/>
  <c r="BC151" i="27"/>
  <c r="BL151" i="27" s="1"/>
  <c r="E147" i="30"/>
  <c r="B157" i="30"/>
  <c r="AY151" i="27"/>
  <c r="AZ152" i="27"/>
  <c r="BJ149" i="27"/>
  <c r="BK149" i="27" s="1"/>
  <c r="BA151" i="27"/>
  <c r="D149" i="30"/>
  <c r="I149" i="30" s="1"/>
  <c r="AU154" i="27"/>
  <c r="BD151" i="27"/>
  <c r="BG151" i="27" s="1"/>
  <c r="BI150" i="27"/>
  <c r="BH150" i="27"/>
  <c r="AQ162" i="27" l="1"/>
  <c r="AR162" i="27" s="1"/>
  <c r="G158" i="30"/>
  <c r="BF162" i="27"/>
  <c r="AS163" i="27"/>
  <c r="AM164" i="27"/>
  <c r="AP163" i="27"/>
  <c r="AN164" i="27"/>
  <c r="AO163" i="27"/>
  <c r="AA164" i="27"/>
  <c r="AG163" i="27"/>
  <c r="U164" i="27"/>
  <c r="AC164" i="27"/>
  <c r="AB165" i="27"/>
  <c r="AD164" i="27"/>
  <c r="AE163" i="27"/>
  <c r="AF163" i="27" s="1"/>
  <c r="AT149" i="27"/>
  <c r="H145" i="30" s="1"/>
  <c r="I165" i="27"/>
  <c r="R165" i="27"/>
  <c r="Q165" i="27"/>
  <c r="S164" i="27"/>
  <c r="T164" i="27" s="1"/>
  <c r="BE153" i="27"/>
  <c r="F149" i="30"/>
  <c r="B158" i="30"/>
  <c r="BC152" i="27"/>
  <c r="BB152" i="27"/>
  <c r="E148" i="30"/>
  <c r="AX151" i="27"/>
  <c r="AY152" i="27"/>
  <c r="AZ153" i="27"/>
  <c r="BJ150" i="27"/>
  <c r="BK150" i="27" s="1"/>
  <c r="BI151" i="27"/>
  <c r="BH151" i="27"/>
  <c r="BA152" i="27"/>
  <c r="BD152" i="27"/>
  <c r="BG152" i="27" s="1"/>
  <c r="D150" i="30"/>
  <c r="I150" i="30" s="1"/>
  <c r="AU155" i="27"/>
  <c r="S165" i="27" l="1"/>
  <c r="T165" i="27" s="1"/>
  <c r="AQ163" i="27"/>
  <c r="AR163" i="27" s="1"/>
  <c r="G159" i="30"/>
  <c r="BF163" i="27"/>
  <c r="AM165" i="27"/>
  <c r="AS164" i="27"/>
  <c r="AN165" i="27"/>
  <c r="AP164" i="27"/>
  <c r="AO164" i="27"/>
  <c r="AA165" i="27"/>
  <c r="AG164" i="27"/>
  <c r="U165" i="27"/>
  <c r="AB166" i="27"/>
  <c r="AD165" i="27"/>
  <c r="AC165" i="27"/>
  <c r="AE164" i="27"/>
  <c r="AF164" i="27" s="1"/>
  <c r="Q166" i="27"/>
  <c r="R166" i="27"/>
  <c r="AT150" i="27"/>
  <c r="H146" i="30" s="1"/>
  <c r="I166" i="27"/>
  <c r="BL152" i="27"/>
  <c r="AX152" i="27"/>
  <c r="BE154" i="27"/>
  <c r="F150" i="30"/>
  <c r="BB153" i="27"/>
  <c r="BC153" i="27"/>
  <c r="BL153" i="27" s="1"/>
  <c r="E149" i="30"/>
  <c r="B159" i="30"/>
  <c r="BJ151" i="27"/>
  <c r="BK151" i="27" s="1"/>
  <c r="AY153" i="27"/>
  <c r="D151" i="30"/>
  <c r="I151" i="30" s="1"/>
  <c r="AZ154" i="27"/>
  <c r="AU156" i="27"/>
  <c r="BA153" i="27"/>
  <c r="BH152" i="27"/>
  <c r="BI152" i="27"/>
  <c r="BD153" i="27"/>
  <c r="BG153" i="27" s="1"/>
  <c r="AE165" i="27" l="1"/>
  <c r="AF165" i="27" s="1"/>
  <c r="AQ164" i="27"/>
  <c r="AR164" i="27" s="1"/>
  <c r="AM166" i="27"/>
  <c r="AS165" i="27"/>
  <c r="G160" i="30"/>
  <c r="BF164" i="27"/>
  <c r="AN166" i="27"/>
  <c r="AP165" i="27"/>
  <c r="AO165" i="27"/>
  <c r="AA166" i="27"/>
  <c r="AG165" i="27"/>
  <c r="U166" i="27"/>
  <c r="AB167" i="27"/>
  <c r="AC166" i="27"/>
  <c r="AD166" i="27"/>
  <c r="S166" i="27"/>
  <c r="T166" i="27" s="1"/>
  <c r="AT151" i="27"/>
  <c r="H147" i="30" s="1"/>
  <c r="I167" i="27"/>
  <c r="Q167" i="27"/>
  <c r="R167" i="27"/>
  <c r="AX153" i="27"/>
  <c r="BE155" i="27"/>
  <c r="F151" i="30"/>
  <c r="BB154" i="27"/>
  <c r="BC154" i="27"/>
  <c r="E150" i="30"/>
  <c r="B160" i="30"/>
  <c r="BD154" i="27"/>
  <c r="BG154" i="27" s="1"/>
  <c r="BJ152" i="27"/>
  <c r="BK152" i="27" s="1"/>
  <c r="AZ155" i="27"/>
  <c r="BI153" i="27"/>
  <c r="BH153" i="27"/>
  <c r="D152" i="30"/>
  <c r="I152" i="30" s="1"/>
  <c r="AU157" i="27"/>
  <c r="BA154" i="27"/>
  <c r="AY154" i="27"/>
  <c r="BF165" i="27" l="1"/>
  <c r="G161" i="30"/>
  <c r="AM167" i="27"/>
  <c r="AS166" i="27"/>
  <c r="AQ165" i="27"/>
  <c r="AR165" i="27" s="1"/>
  <c r="AP166" i="27"/>
  <c r="AO166" i="27"/>
  <c r="AN167" i="27"/>
  <c r="AA167" i="27"/>
  <c r="AG166" i="27"/>
  <c r="U167" i="27"/>
  <c r="AE166" i="27"/>
  <c r="AF166" i="27" s="1"/>
  <c r="AC167" i="27"/>
  <c r="AD167" i="27"/>
  <c r="AB168" i="27"/>
  <c r="Q168" i="27"/>
  <c r="R168" i="27"/>
  <c r="I168" i="27"/>
  <c r="AT152" i="27"/>
  <c r="H148" i="30" s="1"/>
  <c r="S167" i="27"/>
  <c r="T167" i="27" s="1"/>
  <c r="BL154" i="27"/>
  <c r="AX154" i="27"/>
  <c r="BE156" i="27"/>
  <c r="F152" i="30"/>
  <c r="BC155" i="27"/>
  <c r="BB155" i="27"/>
  <c r="E151" i="30"/>
  <c r="B161" i="30"/>
  <c r="BJ153" i="27"/>
  <c r="BK153" i="27" s="1"/>
  <c r="D153" i="30"/>
  <c r="I153" i="30" s="1"/>
  <c r="BA155" i="27"/>
  <c r="BH154" i="27"/>
  <c r="BI154" i="27"/>
  <c r="AY155" i="27"/>
  <c r="AZ156" i="27"/>
  <c r="AU158" i="27"/>
  <c r="BD155" i="27"/>
  <c r="BG155" i="27" s="1"/>
  <c r="G162" i="30" l="1"/>
  <c r="BF166" i="27"/>
  <c r="AS167" i="27"/>
  <c r="AM168" i="27"/>
  <c r="AO167" i="27"/>
  <c r="AP167" i="27"/>
  <c r="AN168" i="27"/>
  <c r="AQ166" i="27"/>
  <c r="AR166" i="27" s="1"/>
  <c r="AG167" i="27"/>
  <c r="AA168" i="27"/>
  <c r="U168" i="27"/>
  <c r="AC168" i="27"/>
  <c r="AD168" i="27"/>
  <c r="AB169" i="27"/>
  <c r="AE167" i="27"/>
  <c r="AF167" i="27" s="1"/>
  <c r="S168" i="27"/>
  <c r="T168" i="27" s="1"/>
  <c r="Q169" i="27"/>
  <c r="R169" i="27"/>
  <c r="AT153" i="27"/>
  <c r="H149" i="30" s="1"/>
  <c r="I169" i="27"/>
  <c r="BL155" i="27"/>
  <c r="AX155" i="27"/>
  <c r="BE157" i="27"/>
  <c r="F153" i="30"/>
  <c r="BB156" i="27"/>
  <c r="BC156" i="27"/>
  <c r="E152" i="30"/>
  <c r="B162" i="30"/>
  <c r="BA156" i="27"/>
  <c r="AZ157" i="27"/>
  <c r="BI155" i="27"/>
  <c r="BH155" i="27"/>
  <c r="BJ154" i="27"/>
  <c r="BK154" i="27" s="1"/>
  <c r="AY156" i="27"/>
  <c r="BD156" i="27"/>
  <c r="BG156" i="27" s="1"/>
  <c r="AU159" i="27"/>
  <c r="D154" i="30"/>
  <c r="I154" i="30" s="1"/>
  <c r="AM169" i="27" l="1"/>
  <c r="AS168" i="27"/>
  <c r="G163" i="30"/>
  <c r="BF167" i="27"/>
  <c r="AO168" i="27"/>
  <c r="AP168" i="27"/>
  <c r="AN169" i="27"/>
  <c r="AQ167" i="27"/>
  <c r="AR167" i="27" s="1"/>
  <c r="AA169" i="27"/>
  <c r="AG168" i="27"/>
  <c r="U169" i="27"/>
  <c r="AC169" i="27"/>
  <c r="AB170" i="27"/>
  <c r="AD169" i="27"/>
  <c r="AE168" i="27"/>
  <c r="AF168" i="27" s="1"/>
  <c r="S169" i="27"/>
  <c r="T169" i="27" s="1"/>
  <c r="R170" i="27"/>
  <c r="Q170" i="27"/>
  <c r="AT154" i="27"/>
  <c r="H150" i="30" s="1"/>
  <c r="I170" i="27"/>
  <c r="BL156" i="27"/>
  <c r="AZ158" i="27"/>
  <c r="BE158" i="27"/>
  <c r="F154" i="30"/>
  <c r="BB157" i="27"/>
  <c r="BC157" i="27"/>
  <c r="BL157" i="27" s="1"/>
  <c r="E153" i="30"/>
  <c r="AX156" i="27"/>
  <c r="B163" i="30"/>
  <c r="AY157" i="27"/>
  <c r="BA157" i="27"/>
  <c r="BJ155" i="27"/>
  <c r="BK155" i="27" s="1"/>
  <c r="BI156" i="27"/>
  <c r="BH156" i="27"/>
  <c r="BD157" i="27"/>
  <c r="BG157" i="27" s="1"/>
  <c r="D155" i="30"/>
  <c r="I155" i="30" s="1"/>
  <c r="AU160" i="27"/>
  <c r="AS169" i="27" l="1"/>
  <c r="AM170" i="27"/>
  <c r="BF168" i="27"/>
  <c r="G164" i="30"/>
  <c r="AN170" i="27"/>
  <c r="AP169" i="27"/>
  <c r="AO169" i="27"/>
  <c r="AQ168" i="27"/>
  <c r="AR168" i="27" s="1"/>
  <c r="AA170" i="27"/>
  <c r="AG169" i="27"/>
  <c r="U170" i="27"/>
  <c r="AC170" i="27"/>
  <c r="AB171" i="27"/>
  <c r="AD170" i="27"/>
  <c r="AE169" i="27"/>
  <c r="AF169" i="27" s="1"/>
  <c r="S170" i="27"/>
  <c r="T170" i="27" s="1"/>
  <c r="I171" i="27"/>
  <c r="Q171" i="27"/>
  <c r="R171" i="27"/>
  <c r="AT155" i="27"/>
  <c r="H151" i="30" s="1"/>
  <c r="AX157" i="27"/>
  <c r="BE159" i="27"/>
  <c r="F155" i="30"/>
  <c r="B164" i="30"/>
  <c r="BB158" i="27"/>
  <c r="BC158" i="27"/>
  <c r="BL158" i="27" s="1"/>
  <c r="E154" i="30"/>
  <c r="AZ159" i="27"/>
  <c r="BJ156" i="27"/>
  <c r="BK156" i="27" s="1"/>
  <c r="AY158" i="27"/>
  <c r="BA158" i="27"/>
  <c r="BI157" i="27"/>
  <c r="BH157" i="27"/>
  <c r="AU161" i="27"/>
  <c r="D156" i="30"/>
  <c r="I156" i="30" s="1"/>
  <c r="BD158" i="27"/>
  <c r="BG158" i="27" s="1"/>
  <c r="AS170" i="27" l="1"/>
  <c r="AM171" i="27"/>
  <c r="G165" i="30"/>
  <c r="BF169" i="27"/>
  <c r="AQ169" i="27"/>
  <c r="AR169" i="27" s="1"/>
  <c r="AN171" i="27"/>
  <c r="AP170" i="27"/>
  <c r="AO170" i="27"/>
  <c r="AA171" i="27"/>
  <c r="AG170" i="27"/>
  <c r="U171" i="27"/>
  <c r="AB172" i="27"/>
  <c r="AD171" i="27"/>
  <c r="AC171" i="27"/>
  <c r="AE170" i="27"/>
  <c r="AF170" i="27" s="1"/>
  <c r="Q172" i="27"/>
  <c r="R172" i="27"/>
  <c r="AT156" i="27"/>
  <c r="H152" i="30" s="1"/>
  <c r="I172" i="27"/>
  <c r="S171" i="27"/>
  <c r="T171" i="27" s="1"/>
  <c r="AY159" i="27"/>
  <c r="AX158" i="27"/>
  <c r="BE160" i="27"/>
  <c r="F156" i="30"/>
  <c r="BB159" i="27"/>
  <c r="BC159" i="27"/>
  <c r="BL159" i="27" s="1"/>
  <c r="E155" i="30"/>
  <c r="B165" i="30"/>
  <c r="AZ160" i="27"/>
  <c r="BJ157" i="27"/>
  <c r="BK157" i="27" s="1"/>
  <c r="BI158" i="27"/>
  <c r="BH158" i="27"/>
  <c r="BA159" i="27"/>
  <c r="BD159" i="27"/>
  <c r="BG159" i="27" s="1"/>
  <c r="D157" i="30"/>
  <c r="I157" i="30" s="1"/>
  <c r="AU162" i="27"/>
  <c r="AQ170" i="27" l="1"/>
  <c r="AR170" i="27" s="1"/>
  <c r="AS171" i="27"/>
  <c r="AM172" i="27"/>
  <c r="G166" i="30"/>
  <c r="BF170" i="27"/>
  <c r="AE171" i="27"/>
  <c r="AF171" i="27" s="1"/>
  <c r="AO171" i="27"/>
  <c r="AP171" i="27"/>
  <c r="AN172" i="27"/>
  <c r="AA172" i="27"/>
  <c r="AG171" i="27"/>
  <c r="AX159" i="27"/>
  <c r="U172" i="27"/>
  <c r="AB173" i="27"/>
  <c r="AC172" i="27"/>
  <c r="AD172" i="27"/>
  <c r="AT157" i="27"/>
  <c r="H153" i="30" s="1"/>
  <c r="R173" i="27"/>
  <c r="Q173" i="27"/>
  <c r="I173" i="27"/>
  <c r="S172" i="27"/>
  <c r="T172" i="27" s="1"/>
  <c r="BJ158" i="27"/>
  <c r="BK158" i="27" s="1"/>
  <c r="BE161" i="27"/>
  <c r="F157" i="30"/>
  <c r="B166" i="30"/>
  <c r="BB160" i="27"/>
  <c r="BC160" i="27"/>
  <c r="E156" i="30"/>
  <c r="AY160" i="27"/>
  <c r="BA160" i="27"/>
  <c r="AZ161" i="27"/>
  <c r="D158" i="30"/>
  <c r="I158" i="30" s="1"/>
  <c r="AU163" i="27"/>
  <c r="BD160" i="27"/>
  <c r="BG160" i="27" s="1"/>
  <c r="BI159" i="27"/>
  <c r="BH159" i="27"/>
  <c r="AQ171" i="27" l="1"/>
  <c r="AR171" i="27" s="1"/>
  <c r="AM173" i="27"/>
  <c r="AS172" i="27"/>
  <c r="BF171" i="27"/>
  <c r="G167" i="30"/>
  <c r="S173" i="27"/>
  <c r="T173" i="27" s="1"/>
  <c r="AO172" i="27"/>
  <c r="AP172" i="27"/>
  <c r="AN173" i="27"/>
  <c r="AG172" i="27"/>
  <c r="AA173" i="27"/>
  <c r="U173" i="27"/>
  <c r="AE172" i="27"/>
  <c r="AF172" i="27" s="1"/>
  <c r="AC173" i="27"/>
  <c r="AD173" i="27"/>
  <c r="AB174" i="27"/>
  <c r="Q174" i="27"/>
  <c r="R174" i="27"/>
  <c r="AT158" i="27"/>
  <c r="H154" i="30" s="1"/>
  <c r="I174" i="27"/>
  <c r="BL160" i="27"/>
  <c r="BE162" i="27"/>
  <c r="F158" i="30"/>
  <c r="BB161" i="27"/>
  <c r="BC161" i="27"/>
  <c r="BL161" i="27" s="1"/>
  <c r="E157" i="30"/>
  <c r="B167" i="30"/>
  <c r="AZ162" i="27"/>
  <c r="BJ159" i="27"/>
  <c r="BK159" i="27" s="1"/>
  <c r="AX160" i="27"/>
  <c r="AY161" i="27"/>
  <c r="AU164" i="27"/>
  <c r="BA161" i="27"/>
  <c r="BD161" i="27"/>
  <c r="BG161" i="27" s="1"/>
  <c r="D159" i="30"/>
  <c r="I159" i="30" s="1"/>
  <c r="BH160" i="27"/>
  <c r="BI160" i="27"/>
  <c r="G168" i="30" l="1"/>
  <c r="BF172" i="27"/>
  <c r="AM174" i="27"/>
  <c r="AS173" i="27"/>
  <c r="AP173" i="27"/>
  <c r="AO173" i="27"/>
  <c r="AN174" i="27"/>
  <c r="AQ172" i="27"/>
  <c r="AR172" i="27" s="1"/>
  <c r="AG173" i="27"/>
  <c r="AA174" i="27"/>
  <c r="U174" i="27"/>
  <c r="AC174" i="27"/>
  <c r="AD174" i="27"/>
  <c r="AB175" i="27"/>
  <c r="AE173" i="27"/>
  <c r="AF173" i="27" s="1"/>
  <c r="AT159" i="27"/>
  <c r="H155" i="30" s="1"/>
  <c r="I175" i="27"/>
  <c r="S174" i="27"/>
  <c r="T174" i="27" s="1"/>
  <c r="R175" i="27"/>
  <c r="Q175" i="27"/>
  <c r="AX161" i="27"/>
  <c r="BE163" i="27"/>
  <c r="F159" i="30"/>
  <c r="B168" i="30"/>
  <c r="BC162" i="27"/>
  <c r="BL162" i="27" s="1"/>
  <c r="BB162" i="27"/>
  <c r="E158" i="30"/>
  <c r="BA162" i="27"/>
  <c r="AZ163" i="27"/>
  <c r="BI161" i="27"/>
  <c r="BH161" i="27"/>
  <c r="BJ160" i="27"/>
  <c r="BK160" i="27" s="1"/>
  <c r="AY162" i="27"/>
  <c r="BD162" i="27"/>
  <c r="BG162" i="27" s="1"/>
  <c r="D160" i="30"/>
  <c r="I160" i="30" s="1"/>
  <c r="AU165" i="27"/>
  <c r="AQ173" i="27" l="1"/>
  <c r="AR173" i="27" s="1"/>
  <c r="G169" i="30"/>
  <c r="BF173" i="27"/>
  <c r="AM175" i="27"/>
  <c r="AS174" i="27"/>
  <c r="S175" i="27"/>
  <c r="T175" i="27" s="1"/>
  <c r="AN175" i="27"/>
  <c r="AO174" i="27"/>
  <c r="AP174" i="27"/>
  <c r="AA175" i="27"/>
  <c r="AG174" i="27"/>
  <c r="U175" i="27"/>
  <c r="AC175" i="27"/>
  <c r="AD175" i="27"/>
  <c r="AB176" i="27"/>
  <c r="AE174" i="27"/>
  <c r="AF174" i="27" s="1"/>
  <c r="I176" i="27"/>
  <c r="Q176" i="27"/>
  <c r="R176" i="27"/>
  <c r="AT160" i="27"/>
  <c r="H156" i="30" s="1"/>
  <c r="BE164" i="27"/>
  <c r="F160" i="30"/>
  <c r="BB163" i="27"/>
  <c r="BC163" i="27"/>
  <c r="BL163" i="27" s="1"/>
  <c r="E159" i="30"/>
  <c r="AX162" i="27"/>
  <c r="B169" i="30"/>
  <c r="BJ161" i="27"/>
  <c r="BK161" i="27" s="1"/>
  <c r="AZ164" i="27"/>
  <c r="AY163" i="27"/>
  <c r="BA163" i="27"/>
  <c r="BA164" i="27"/>
  <c r="BI162" i="27"/>
  <c r="BH162" i="27"/>
  <c r="D161" i="30"/>
  <c r="I161" i="30" s="1"/>
  <c r="AU166" i="27"/>
  <c r="BD163" i="27"/>
  <c r="BG163" i="27" s="1"/>
  <c r="BF174" i="27" l="1"/>
  <c r="G170" i="30"/>
  <c r="AM176" i="27"/>
  <c r="AS175" i="27"/>
  <c r="AQ174" i="27"/>
  <c r="AR174" i="27" s="1"/>
  <c r="AN176" i="27"/>
  <c r="AP175" i="27"/>
  <c r="AO175" i="27"/>
  <c r="AA176" i="27"/>
  <c r="AG175" i="27"/>
  <c r="U176" i="27"/>
  <c r="AD176" i="27"/>
  <c r="AB177" i="27"/>
  <c r="AC176" i="27"/>
  <c r="AE175" i="27"/>
  <c r="AF175" i="27" s="1"/>
  <c r="Q177" i="27"/>
  <c r="R177" i="27"/>
  <c r="I177" i="27"/>
  <c r="AT161" i="27"/>
  <c r="H157" i="30" s="1"/>
  <c r="S176" i="27"/>
  <c r="T176" i="27" s="1"/>
  <c r="BE165" i="27"/>
  <c r="F161" i="30"/>
  <c r="B170" i="30"/>
  <c r="BC164" i="27"/>
  <c r="BB164" i="27"/>
  <c r="E160" i="30"/>
  <c r="BJ162" i="27"/>
  <c r="BK162" i="27" s="1"/>
  <c r="AZ165" i="27"/>
  <c r="AX163" i="27"/>
  <c r="D162" i="30"/>
  <c r="I162" i="30" s="1"/>
  <c r="AY164" i="27"/>
  <c r="AX164" i="27" s="1"/>
  <c r="BD164" i="27"/>
  <c r="BG164" i="27" s="1"/>
  <c r="BI163" i="27"/>
  <c r="BH163" i="27"/>
  <c r="AU167" i="27"/>
  <c r="AY165" i="27"/>
  <c r="AE176" i="27" l="1"/>
  <c r="AF176" i="27" s="1"/>
  <c r="AQ175" i="27"/>
  <c r="AR175" i="27" s="1"/>
  <c r="BF175" i="27"/>
  <c r="G171" i="30"/>
  <c r="AM177" i="27"/>
  <c r="AS176" i="27"/>
  <c r="AN177" i="27"/>
  <c r="AP176" i="27"/>
  <c r="AO176" i="27"/>
  <c r="AG176" i="27"/>
  <c r="AA177" i="27"/>
  <c r="U177" i="27"/>
  <c r="AC177" i="27"/>
  <c r="AD177" i="27"/>
  <c r="AB178" i="27"/>
  <c r="AT162" i="27"/>
  <c r="H158" i="30" s="1"/>
  <c r="I178" i="27"/>
  <c r="R178" i="27"/>
  <c r="Q178" i="27"/>
  <c r="S177" i="27"/>
  <c r="T177" i="27" s="1"/>
  <c r="BL164" i="27"/>
  <c r="BE166" i="27"/>
  <c r="F162" i="30"/>
  <c r="BC165" i="27"/>
  <c r="BB165" i="27"/>
  <c r="E161" i="30"/>
  <c r="B171" i="30"/>
  <c r="BA165" i="27"/>
  <c r="AX165" i="27" s="1"/>
  <c r="BH164" i="27"/>
  <c r="BI164" i="27"/>
  <c r="D163" i="30"/>
  <c r="I163" i="30" s="1"/>
  <c r="AU168" i="27"/>
  <c r="BD165" i="27"/>
  <c r="BG165" i="27" s="1"/>
  <c r="BJ163" i="27"/>
  <c r="BK163" i="27" s="1"/>
  <c r="AZ166" i="27"/>
  <c r="S178" i="27" l="1"/>
  <c r="T178" i="27" s="1"/>
  <c r="AQ176" i="27"/>
  <c r="AR176" i="27" s="1"/>
  <c r="AS177" i="27"/>
  <c r="AM178" i="27"/>
  <c r="BF176" i="27"/>
  <c r="G172" i="30"/>
  <c r="AO177" i="27"/>
  <c r="AP177" i="27"/>
  <c r="AN178" i="27"/>
  <c r="AA178" i="27"/>
  <c r="AG177" i="27"/>
  <c r="U178" i="27"/>
  <c r="AD178" i="27"/>
  <c r="AB179" i="27"/>
  <c r="AC178" i="27"/>
  <c r="AE177" i="27"/>
  <c r="AF177" i="27" s="1"/>
  <c r="AT163" i="27"/>
  <c r="H159" i="30" s="1"/>
  <c r="Q179" i="27"/>
  <c r="R179" i="27"/>
  <c r="I179" i="27"/>
  <c r="BL165" i="27"/>
  <c r="BE167" i="27"/>
  <c r="F163" i="30"/>
  <c r="B172" i="30"/>
  <c r="BC166" i="27"/>
  <c r="BB166" i="27"/>
  <c r="E162" i="30"/>
  <c r="BA166" i="27"/>
  <c r="BD166" i="27"/>
  <c r="BG166" i="27" s="1"/>
  <c r="D164" i="30"/>
  <c r="I164" i="30" s="1"/>
  <c r="AU169" i="27"/>
  <c r="AZ167" i="27"/>
  <c r="AY166" i="27"/>
  <c r="BI165" i="27"/>
  <c r="BH165" i="27"/>
  <c r="BJ164" i="27"/>
  <c r="BK164" i="27" s="1"/>
  <c r="G173" i="30" l="1"/>
  <c r="BF177" i="27"/>
  <c r="AS178" i="27"/>
  <c r="AM179" i="27"/>
  <c r="AE178" i="27"/>
  <c r="AF178" i="27" s="1"/>
  <c r="AO178" i="27"/>
  <c r="AP178" i="27"/>
  <c r="AN179" i="27"/>
  <c r="AQ177" i="27"/>
  <c r="AR177" i="27" s="1"/>
  <c r="S179" i="27"/>
  <c r="T179" i="27" s="1"/>
  <c r="AA179" i="27"/>
  <c r="AG178" i="27"/>
  <c r="U179" i="27"/>
  <c r="AB180" i="27"/>
  <c r="AC179" i="27"/>
  <c r="AD179" i="27"/>
  <c r="R180" i="27"/>
  <c r="Q180" i="27"/>
  <c r="I180" i="27"/>
  <c r="AT164" i="27"/>
  <c r="H160" i="30" s="1"/>
  <c r="BL166" i="27"/>
  <c r="BJ165" i="27"/>
  <c r="BK165" i="27" s="1"/>
  <c r="BE168" i="27"/>
  <c r="F164" i="30"/>
  <c r="BB167" i="27"/>
  <c r="BC167" i="27"/>
  <c r="BL167" i="27" s="1"/>
  <c r="E163" i="30"/>
  <c r="AX166" i="27"/>
  <c r="B173" i="30"/>
  <c r="AZ168" i="27"/>
  <c r="AY167" i="27"/>
  <c r="AU170" i="27"/>
  <c r="BA167" i="27"/>
  <c r="D165" i="30"/>
  <c r="I165" i="30" s="1"/>
  <c r="BD167" i="27"/>
  <c r="BG167" i="27" s="1"/>
  <c r="BI166" i="27"/>
  <c r="BH166" i="27"/>
  <c r="BF178" i="27" l="1"/>
  <c r="G174" i="30"/>
  <c r="S180" i="27"/>
  <c r="T180" i="27" s="1"/>
  <c r="AM180" i="27"/>
  <c r="AS179" i="27"/>
  <c r="AN180" i="27"/>
  <c r="AP179" i="27"/>
  <c r="AO179" i="27"/>
  <c r="AQ178" i="27"/>
  <c r="AR178" i="27" s="1"/>
  <c r="AA180" i="27"/>
  <c r="AG179" i="27"/>
  <c r="U180" i="27"/>
  <c r="AE179" i="27"/>
  <c r="AF179" i="27" s="1"/>
  <c r="AD180" i="27"/>
  <c r="AB181" i="27"/>
  <c r="AC180" i="27"/>
  <c r="R181" i="27"/>
  <c r="Q181" i="27"/>
  <c r="I181" i="27"/>
  <c r="AT165" i="27"/>
  <c r="H161" i="30" s="1"/>
  <c r="AX167" i="27"/>
  <c r="BE169" i="27"/>
  <c r="F165" i="30"/>
  <c r="BC168" i="27"/>
  <c r="BL168" i="27" s="1"/>
  <c r="BB168" i="27"/>
  <c r="E164" i="30"/>
  <c r="B174" i="30"/>
  <c r="AY168" i="27"/>
  <c r="BA168" i="27"/>
  <c r="AZ169" i="27"/>
  <c r="BD168" i="27"/>
  <c r="BG168" i="27" s="1"/>
  <c r="D166" i="30"/>
  <c r="I166" i="30" s="1"/>
  <c r="BI167" i="27"/>
  <c r="BH167" i="27"/>
  <c r="AU171" i="27"/>
  <c r="BJ166" i="27"/>
  <c r="BK166" i="27" s="1"/>
  <c r="AE180" i="27" l="1"/>
  <c r="AF180" i="27" s="1"/>
  <c r="AQ179" i="27"/>
  <c r="AR179" i="27" s="1"/>
  <c r="BF179" i="27"/>
  <c r="G175" i="30"/>
  <c r="AM181" i="27"/>
  <c r="AS180" i="27"/>
  <c r="AP180" i="27"/>
  <c r="AN181" i="27"/>
  <c r="AO180" i="27"/>
  <c r="AG180" i="27"/>
  <c r="AA181" i="27"/>
  <c r="S181" i="27"/>
  <c r="T181" i="27" s="1"/>
  <c r="U181" i="27"/>
  <c r="AB182" i="27"/>
  <c r="AC181" i="27"/>
  <c r="AD181" i="27"/>
  <c r="AT166" i="27"/>
  <c r="H162" i="30" s="1"/>
  <c r="I182" i="27"/>
  <c r="Q182" i="27"/>
  <c r="R182" i="27"/>
  <c r="AY169" i="27"/>
  <c r="AX168" i="27"/>
  <c r="BE170" i="27"/>
  <c r="F166" i="30"/>
  <c r="B175" i="30"/>
  <c r="BB169" i="27"/>
  <c r="BC169" i="27"/>
  <c r="E165" i="30"/>
  <c r="BJ167" i="27"/>
  <c r="BK167" i="27" s="1"/>
  <c r="BA169" i="27"/>
  <c r="BI168" i="27"/>
  <c r="BH168" i="27"/>
  <c r="AZ170" i="27"/>
  <c r="D167" i="30"/>
  <c r="I167" i="30" s="1"/>
  <c r="AU172" i="27"/>
  <c r="BD169" i="27"/>
  <c r="BG169" i="27" s="1"/>
  <c r="BF180" i="27" l="1"/>
  <c r="G176" i="30"/>
  <c r="AQ180" i="27"/>
  <c r="AR180" i="27" s="1"/>
  <c r="AM182" i="27"/>
  <c r="AS181" i="27"/>
  <c r="AO181" i="27"/>
  <c r="AN182" i="27"/>
  <c r="AP181" i="27"/>
  <c r="AA182" i="27"/>
  <c r="AG181" i="27"/>
  <c r="AX169" i="27"/>
  <c r="U182" i="27"/>
  <c r="AE181" i="27"/>
  <c r="AF181" i="27" s="1"/>
  <c r="AB183" i="27"/>
  <c r="AC182" i="27"/>
  <c r="AD182" i="27"/>
  <c r="I183" i="27"/>
  <c r="R183" i="27"/>
  <c r="Q183" i="27"/>
  <c r="AT167" i="27"/>
  <c r="H163" i="30" s="1"/>
  <c r="S182" i="27"/>
  <c r="T182" i="27" s="1"/>
  <c r="BL169" i="27"/>
  <c r="BE171" i="27"/>
  <c r="F167" i="30"/>
  <c r="BB170" i="27"/>
  <c r="BC170" i="27"/>
  <c r="BL170" i="27" s="1"/>
  <c r="E166" i="30"/>
  <c r="B176" i="30"/>
  <c r="BJ168" i="27"/>
  <c r="BK168" i="27" s="1"/>
  <c r="AY170" i="27"/>
  <c r="BD170" i="27"/>
  <c r="BG170" i="27" s="1"/>
  <c r="AZ171" i="27"/>
  <c r="BH169" i="27"/>
  <c r="BI169" i="27"/>
  <c r="AU173" i="27"/>
  <c r="D168" i="30"/>
  <c r="I168" i="30" s="1"/>
  <c r="BA170" i="27"/>
  <c r="S183" i="27" l="1"/>
  <c r="T183" i="27" s="1"/>
  <c r="BF181" i="27"/>
  <c r="G177" i="30"/>
  <c r="AS182" i="27"/>
  <c r="AM183" i="27"/>
  <c r="AP182" i="27"/>
  <c r="AN183" i="27"/>
  <c r="AO182" i="27"/>
  <c r="AQ181" i="27"/>
  <c r="AR181" i="27" s="1"/>
  <c r="AA183" i="27"/>
  <c r="AG182" i="27"/>
  <c r="AE182" i="27"/>
  <c r="AF182" i="27" s="1"/>
  <c r="U183" i="27"/>
  <c r="AC183" i="27"/>
  <c r="AB184" i="27"/>
  <c r="AD183" i="27"/>
  <c r="Q184" i="27"/>
  <c r="R184" i="27"/>
  <c r="AT168" i="27"/>
  <c r="H164" i="30" s="1"/>
  <c r="I184" i="27"/>
  <c r="AZ172" i="27"/>
  <c r="AX170" i="27"/>
  <c r="BE172" i="27"/>
  <c r="F168" i="30"/>
  <c r="BB171" i="27"/>
  <c r="BC171" i="27"/>
  <c r="BL171" i="27" s="1"/>
  <c r="E167" i="30"/>
  <c r="B177" i="30"/>
  <c r="BA171" i="27"/>
  <c r="AU174" i="27"/>
  <c r="BI170" i="27"/>
  <c r="BH170" i="27"/>
  <c r="D169" i="30"/>
  <c r="I169" i="30" s="1"/>
  <c r="AY171" i="27"/>
  <c r="BD171" i="27"/>
  <c r="BG171" i="27" s="1"/>
  <c r="BJ169" i="27"/>
  <c r="BK169" i="27" s="1"/>
  <c r="AQ182" i="27" l="1"/>
  <c r="AR182" i="27" s="1"/>
  <c r="AM184" i="27"/>
  <c r="AS183" i="27"/>
  <c r="G178" i="30"/>
  <c r="BF182" i="27"/>
  <c r="AO183" i="27"/>
  <c r="AP183" i="27"/>
  <c r="AN184" i="27"/>
  <c r="AA184" i="27"/>
  <c r="AG183" i="27"/>
  <c r="U184" i="27"/>
  <c r="AC184" i="27"/>
  <c r="AD184" i="27"/>
  <c r="AB185" i="27"/>
  <c r="AE183" i="27"/>
  <c r="AF183" i="27" s="1"/>
  <c r="S184" i="27"/>
  <c r="T184" i="27" s="1"/>
  <c r="R185" i="27"/>
  <c r="Q185" i="27"/>
  <c r="I185" i="27"/>
  <c r="AT169" i="27"/>
  <c r="H165" i="30" s="1"/>
  <c r="AZ173" i="27"/>
  <c r="BE173" i="27"/>
  <c r="F169" i="30"/>
  <c r="BC172" i="27"/>
  <c r="BL172" i="27" s="1"/>
  <c r="BB172" i="27"/>
  <c r="E168" i="30"/>
  <c r="B178" i="30"/>
  <c r="AY172" i="27"/>
  <c r="BA172" i="27"/>
  <c r="AX171" i="27"/>
  <c r="BD172" i="27"/>
  <c r="BG172" i="27" s="1"/>
  <c r="BI171" i="27"/>
  <c r="BH171" i="27"/>
  <c r="BJ170" i="27"/>
  <c r="BK170" i="27" s="1"/>
  <c r="AU175" i="27"/>
  <c r="D170" i="30"/>
  <c r="I170" i="30" s="1"/>
  <c r="S185" i="27" l="1"/>
  <c r="T185" i="27" s="1"/>
  <c r="AM185" i="27"/>
  <c r="AS184" i="27"/>
  <c r="BF183" i="27"/>
  <c r="G179" i="30"/>
  <c r="AP184" i="27"/>
  <c r="AN185" i="27"/>
  <c r="AO184" i="27"/>
  <c r="AQ183" i="27"/>
  <c r="AR183" i="27" s="1"/>
  <c r="AA185" i="27"/>
  <c r="AG184" i="27"/>
  <c r="U185" i="27"/>
  <c r="AC185" i="27"/>
  <c r="AB186" i="27"/>
  <c r="AD185" i="27"/>
  <c r="AE184" i="27"/>
  <c r="AF184" i="27" s="1"/>
  <c r="I186" i="27"/>
  <c r="Q186" i="27"/>
  <c r="R186" i="27"/>
  <c r="AT170" i="27"/>
  <c r="H166" i="30" s="1"/>
  <c r="BE174" i="27"/>
  <c r="F170" i="30"/>
  <c r="BB173" i="27"/>
  <c r="BC173" i="27"/>
  <c r="BL173" i="27" s="1"/>
  <c r="E169" i="30"/>
  <c r="B179" i="30"/>
  <c r="AX172" i="27"/>
  <c r="AZ174" i="27"/>
  <c r="BJ171" i="27"/>
  <c r="BK171" i="27" s="1"/>
  <c r="AY173" i="27"/>
  <c r="AU176" i="27"/>
  <c r="BD173" i="27"/>
  <c r="BG173" i="27" s="1"/>
  <c r="BA173" i="27"/>
  <c r="D171" i="30"/>
  <c r="I171" i="30" s="1"/>
  <c r="BI172" i="27"/>
  <c r="BH172" i="27"/>
  <c r="AQ184" i="27" l="1"/>
  <c r="AR184" i="27" s="1"/>
  <c r="AM186" i="27"/>
  <c r="AS185" i="27"/>
  <c r="BF184" i="27"/>
  <c r="G180" i="30"/>
  <c r="AO185" i="27"/>
  <c r="AN186" i="27"/>
  <c r="AP185" i="27"/>
  <c r="AG185" i="27"/>
  <c r="AA186" i="27"/>
  <c r="U186" i="27"/>
  <c r="AD186" i="27"/>
  <c r="AB187" i="27"/>
  <c r="AC186" i="27"/>
  <c r="AE185" i="27"/>
  <c r="AF185" i="27" s="1"/>
  <c r="S186" i="27"/>
  <c r="T186" i="27" s="1"/>
  <c r="I187" i="27"/>
  <c r="AT171" i="27"/>
  <c r="H167" i="30" s="1"/>
  <c r="R187" i="27"/>
  <c r="Q187" i="27"/>
  <c r="AZ175" i="27"/>
  <c r="AX173" i="27"/>
  <c r="BE175" i="27"/>
  <c r="F171" i="30"/>
  <c r="B180" i="30"/>
  <c r="BB174" i="27"/>
  <c r="BC174" i="27"/>
  <c r="BL174" i="27" s="1"/>
  <c r="E170" i="30"/>
  <c r="BA174" i="27"/>
  <c r="BJ172" i="27"/>
  <c r="BK172" i="27" s="1"/>
  <c r="D172" i="30"/>
  <c r="I172" i="30" s="1"/>
  <c r="BD174" i="27"/>
  <c r="BG174" i="27" s="1"/>
  <c r="AU177" i="27"/>
  <c r="BI173" i="27"/>
  <c r="BH173" i="27"/>
  <c r="AY174" i="27"/>
  <c r="S187" i="27" l="1"/>
  <c r="T187" i="27" s="1"/>
  <c r="G181" i="30"/>
  <c r="BF185" i="27"/>
  <c r="AM187" i="27"/>
  <c r="AS186" i="27"/>
  <c r="AE186" i="27"/>
  <c r="AF186" i="27" s="1"/>
  <c r="AP186" i="27"/>
  <c r="AO186" i="27"/>
  <c r="AN187" i="27"/>
  <c r="AQ185" i="27"/>
  <c r="AR185" i="27" s="1"/>
  <c r="AG186" i="27"/>
  <c r="AA187" i="27"/>
  <c r="U187" i="27"/>
  <c r="AD187" i="27"/>
  <c r="AC187" i="27"/>
  <c r="AB188" i="27"/>
  <c r="Q188" i="27"/>
  <c r="R188" i="27"/>
  <c r="I188" i="27"/>
  <c r="AT172" i="27"/>
  <c r="H168" i="30" s="1"/>
  <c r="AX174" i="27"/>
  <c r="BJ173" i="27"/>
  <c r="BK173" i="27" s="1"/>
  <c r="BA175" i="27"/>
  <c r="BE176" i="27"/>
  <c r="F172" i="30"/>
  <c r="BB175" i="27"/>
  <c r="BC175" i="27"/>
  <c r="BL175" i="27" s="1"/>
  <c r="E171" i="30"/>
  <c r="B181" i="30"/>
  <c r="AY175" i="27"/>
  <c r="AZ176" i="27"/>
  <c r="D173" i="30"/>
  <c r="I173" i="30" s="1"/>
  <c r="AU178" i="27"/>
  <c r="BD175" i="27"/>
  <c r="BG175" i="27" s="1"/>
  <c r="BH174" i="27"/>
  <c r="BI174" i="27"/>
  <c r="AE187" i="27" l="1"/>
  <c r="AF187" i="27" s="1"/>
  <c r="AQ186" i="27"/>
  <c r="AR186" i="27" s="1"/>
  <c r="AM188" i="27"/>
  <c r="AS187" i="27"/>
  <c r="BF186" i="27"/>
  <c r="G182" i="30"/>
  <c r="AO187" i="27"/>
  <c r="AP187" i="27"/>
  <c r="AN188" i="27"/>
  <c r="AG187" i="27"/>
  <c r="AA188" i="27"/>
  <c r="AX175" i="27"/>
  <c r="U188" i="27"/>
  <c r="AC188" i="27"/>
  <c r="AD188" i="27"/>
  <c r="AB189" i="27"/>
  <c r="S188" i="27"/>
  <c r="T188" i="27" s="1"/>
  <c r="AT173" i="27"/>
  <c r="H169" i="30" s="1"/>
  <c r="I189" i="27"/>
  <c r="R189" i="27"/>
  <c r="Q189" i="27"/>
  <c r="BE177" i="27"/>
  <c r="F173" i="30"/>
  <c r="B182" i="30"/>
  <c r="BB176" i="27"/>
  <c r="BC176" i="27"/>
  <c r="BL176" i="27" s="1"/>
  <c r="E172" i="30"/>
  <c r="AZ177" i="27"/>
  <c r="AU179" i="27"/>
  <c r="AY176" i="27"/>
  <c r="BJ174" i="27"/>
  <c r="BK174" i="27" s="1"/>
  <c r="BI175" i="27"/>
  <c r="BH175" i="27"/>
  <c r="BA176" i="27"/>
  <c r="BD176" i="27"/>
  <c r="BG176" i="27" s="1"/>
  <c r="D174" i="30"/>
  <c r="I174" i="30" s="1"/>
  <c r="S189" i="27" l="1"/>
  <c r="T189" i="27" s="1"/>
  <c r="AS188" i="27"/>
  <c r="AM189" i="27"/>
  <c r="G183" i="30"/>
  <c r="BF187" i="27"/>
  <c r="AP188" i="27"/>
  <c r="AO188" i="27"/>
  <c r="AN189" i="27"/>
  <c r="AQ187" i="27"/>
  <c r="AR187" i="27" s="1"/>
  <c r="AG188" i="27"/>
  <c r="AA189" i="27"/>
  <c r="U189" i="27"/>
  <c r="AB190" i="27"/>
  <c r="AC189" i="27"/>
  <c r="AD189" i="27"/>
  <c r="AE188" i="27"/>
  <c r="AF188" i="27" s="1"/>
  <c r="AT174" i="27"/>
  <c r="H170" i="30" s="1"/>
  <c r="I190" i="27"/>
  <c r="Q190" i="27"/>
  <c r="R190" i="27"/>
  <c r="AZ178" i="27"/>
  <c r="BE178" i="27"/>
  <c r="F174" i="30"/>
  <c r="BB177" i="27"/>
  <c r="BC177" i="27"/>
  <c r="BL177" i="27" s="1"/>
  <c r="E173" i="30"/>
  <c r="B183" i="30"/>
  <c r="BJ175" i="27"/>
  <c r="BK175" i="27" s="1"/>
  <c r="AY177" i="27"/>
  <c r="BD177" i="27"/>
  <c r="BG177" i="27" s="1"/>
  <c r="BI176" i="27"/>
  <c r="BH176" i="27"/>
  <c r="AX176" i="27"/>
  <c r="BA177" i="27"/>
  <c r="AU180" i="27"/>
  <c r="D175" i="30"/>
  <c r="I175" i="30" s="1"/>
  <c r="AQ188" i="27" l="1"/>
  <c r="AR188" i="27" s="1"/>
  <c r="AM190" i="27"/>
  <c r="AS189" i="27"/>
  <c r="BF188" i="27"/>
  <c r="G184" i="30"/>
  <c r="AN190" i="27"/>
  <c r="AO189" i="27"/>
  <c r="AP189" i="27"/>
  <c r="AA190" i="27"/>
  <c r="AG189" i="27"/>
  <c r="U190" i="27"/>
  <c r="AE189" i="27"/>
  <c r="AF189" i="27" s="1"/>
  <c r="AB191" i="27"/>
  <c r="AC190" i="27"/>
  <c r="AD190" i="27"/>
  <c r="AT175" i="27"/>
  <c r="H171" i="30" s="1"/>
  <c r="I191" i="27"/>
  <c r="S190" i="27"/>
  <c r="T190" i="27" s="1"/>
  <c r="Q191" i="27"/>
  <c r="R191" i="27"/>
  <c r="BA178" i="27"/>
  <c r="BE179" i="27"/>
  <c r="F175" i="30"/>
  <c r="B184" i="30"/>
  <c r="BB178" i="27"/>
  <c r="BC178" i="27"/>
  <c r="E174" i="30"/>
  <c r="BJ176" i="27"/>
  <c r="BK176" i="27" s="1"/>
  <c r="AZ179" i="27"/>
  <c r="AY178" i="27"/>
  <c r="D176" i="30"/>
  <c r="I176" i="30" s="1"/>
  <c r="BI177" i="27"/>
  <c r="BH177" i="27"/>
  <c r="AX177" i="27"/>
  <c r="BD178" i="27"/>
  <c r="BG178" i="27" s="1"/>
  <c r="AU181" i="27"/>
  <c r="AM191" i="27" l="1"/>
  <c r="AS190" i="27"/>
  <c r="G185" i="30"/>
  <c r="BF189" i="27"/>
  <c r="AQ189" i="27"/>
  <c r="AR189" i="27" s="1"/>
  <c r="AP190" i="27"/>
  <c r="AO190" i="27"/>
  <c r="AN191" i="27"/>
  <c r="AA191" i="27"/>
  <c r="AG190" i="27"/>
  <c r="U191" i="27"/>
  <c r="AE190" i="27"/>
  <c r="AF190" i="27" s="1"/>
  <c r="AD191" i="27"/>
  <c r="AB192" i="27"/>
  <c r="AC191" i="27"/>
  <c r="AX178" i="27"/>
  <c r="S191" i="27"/>
  <c r="T191" i="27" s="1"/>
  <c r="I192" i="27"/>
  <c r="Q192" i="27"/>
  <c r="R192" i="27"/>
  <c r="AT176" i="27"/>
  <c r="H172" i="30" s="1"/>
  <c r="BL178" i="27"/>
  <c r="BE180" i="27"/>
  <c r="F176" i="30"/>
  <c r="BB179" i="27"/>
  <c r="BC179" i="27"/>
  <c r="E175" i="30"/>
  <c r="BA179" i="27"/>
  <c r="B185" i="30"/>
  <c r="BJ177" i="27"/>
  <c r="BK177" i="27" s="1"/>
  <c r="AY179" i="27"/>
  <c r="AZ180" i="27"/>
  <c r="D177" i="30"/>
  <c r="I177" i="30" s="1"/>
  <c r="AU182" i="27"/>
  <c r="BI178" i="27"/>
  <c r="BH178" i="27"/>
  <c r="BD179" i="27"/>
  <c r="BG179" i="27" s="1"/>
  <c r="AQ190" i="27" l="1"/>
  <c r="AR190" i="27" s="1"/>
  <c r="AS191" i="27"/>
  <c r="AM192" i="27"/>
  <c r="G186" i="30"/>
  <c r="BF190" i="27"/>
  <c r="AO191" i="27"/>
  <c r="AN192" i="27"/>
  <c r="AP191" i="27"/>
  <c r="AE191" i="27"/>
  <c r="AF191" i="27" s="1"/>
  <c r="AA192" i="27"/>
  <c r="AG191" i="27"/>
  <c r="U192" i="27"/>
  <c r="AC192" i="27"/>
  <c r="AD192" i="27"/>
  <c r="AB193" i="27"/>
  <c r="AT177" i="27"/>
  <c r="H173" i="30" s="1"/>
  <c r="S192" i="27"/>
  <c r="T192" i="27" s="1"/>
  <c r="Q193" i="27"/>
  <c r="R193" i="27"/>
  <c r="I193" i="27"/>
  <c r="BL179" i="27"/>
  <c r="BJ178" i="27"/>
  <c r="BK178" i="27" s="1"/>
  <c r="AX179" i="27"/>
  <c r="BE181" i="27"/>
  <c r="F177" i="30"/>
  <c r="BC180" i="27"/>
  <c r="BB180" i="27"/>
  <c r="E176" i="30"/>
  <c r="B186" i="30"/>
  <c r="AZ181" i="27"/>
  <c r="BA180" i="27"/>
  <c r="D178" i="30"/>
  <c r="I178" i="30" s="1"/>
  <c r="AY180" i="27"/>
  <c r="AU183" i="27"/>
  <c r="BH179" i="27"/>
  <c r="BI179" i="27"/>
  <c r="BD180" i="27"/>
  <c r="BG180" i="27" s="1"/>
  <c r="AM193" i="27" l="1"/>
  <c r="AS192" i="27"/>
  <c r="BF191" i="27"/>
  <c r="G187" i="30"/>
  <c r="AN193" i="27"/>
  <c r="AP192" i="27"/>
  <c r="AO192" i="27"/>
  <c r="AQ191" i="27"/>
  <c r="AR191" i="27" s="1"/>
  <c r="S193" i="27"/>
  <c r="T193" i="27" s="1"/>
  <c r="AG192" i="27"/>
  <c r="AA193" i="27"/>
  <c r="U193" i="27"/>
  <c r="AB194" i="27"/>
  <c r="AD193" i="27"/>
  <c r="AC193" i="27"/>
  <c r="AE192" i="27"/>
  <c r="AF192" i="27" s="1"/>
  <c r="AT178" i="27"/>
  <c r="H174" i="30" s="1"/>
  <c r="I194" i="27"/>
  <c r="R194" i="27"/>
  <c r="Q194" i="27"/>
  <c r="BL180" i="27"/>
  <c r="AX180" i="27"/>
  <c r="BE182" i="27"/>
  <c r="F178" i="30"/>
  <c r="BB181" i="27"/>
  <c r="BC181" i="27"/>
  <c r="BL181" i="27" s="1"/>
  <c r="E177" i="30"/>
  <c r="B187" i="30"/>
  <c r="AY181" i="27"/>
  <c r="AZ182" i="27"/>
  <c r="BJ179" i="27"/>
  <c r="BK179" i="27" s="1"/>
  <c r="D179" i="30"/>
  <c r="I179" i="30" s="1"/>
  <c r="AU184" i="27"/>
  <c r="BI180" i="27"/>
  <c r="BH180" i="27"/>
  <c r="BA181" i="27"/>
  <c r="BD181" i="27"/>
  <c r="BG181" i="27" s="1"/>
  <c r="AQ192" i="27" l="1"/>
  <c r="AR192" i="27" s="1"/>
  <c r="AM194" i="27"/>
  <c r="AS193" i="27"/>
  <c r="AE193" i="27"/>
  <c r="AF193" i="27" s="1"/>
  <c r="G188" i="30"/>
  <c r="BF192" i="27"/>
  <c r="AO193" i="27"/>
  <c r="AP193" i="27"/>
  <c r="AN194" i="27"/>
  <c r="AG193" i="27"/>
  <c r="AA194" i="27"/>
  <c r="S194" i="27"/>
  <c r="T194" i="27" s="1"/>
  <c r="U194" i="27"/>
  <c r="AD194" i="27"/>
  <c r="AC194" i="27"/>
  <c r="AB195" i="27"/>
  <c r="R195" i="27"/>
  <c r="Q195" i="27"/>
  <c r="AT179" i="27"/>
  <c r="H175" i="30" s="1"/>
  <c r="I195" i="27"/>
  <c r="AX181" i="27"/>
  <c r="BE183" i="27"/>
  <c r="F179" i="30"/>
  <c r="AZ183" i="27"/>
  <c r="BC182" i="27"/>
  <c r="BL182" i="27" s="1"/>
  <c r="BB182" i="27"/>
  <c r="E178" i="30"/>
  <c r="B188" i="30"/>
  <c r="BJ180" i="27"/>
  <c r="BK180" i="27" s="1"/>
  <c r="BD182" i="27"/>
  <c r="BG182" i="27" s="1"/>
  <c r="D180" i="30"/>
  <c r="I180" i="30" s="1"/>
  <c r="AY182" i="27"/>
  <c r="BA182" i="27"/>
  <c r="AU185" i="27"/>
  <c r="BI181" i="27"/>
  <c r="BH181" i="27"/>
  <c r="AE194" i="27" l="1"/>
  <c r="AF194" i="27" s="1"/>
  <c r="AS194" i="27"/>
  <c r="AM195" i="27"/>
  <c r="BF193" i="27"/>
  <c r="G189" i="30"/>
  <c r="BJ181" i="27"/>
  <c r="BK181" i="27" s="1"/>
  <c r="AT181" i="27" s="1"/>
  <c r="H177" i="30" s="1"/>
  <c r="AO194" i="27"/>
  <c r="AP194" i="27"/>
  <c r="AN195" i="27"/>
  <c r="AQ193" i="27"/>
  <c r="AR193" i="27" s="1"/>
  <c r="AG194" i="27"/>
  <c r="AA195" i="27"/>
  <c r="S195" i="27"/>
  <c r="T195" i="27" s="1"/>
  <c r="U195" i="27"/>
  <c r="AB196" i="27"/>
  <c r="AD195" i="27"/>
  <c r="AC195" i="27"/>
  <c r="AT180" i="27"/>
  <c r="H176" i="30" s="1"/>
  <c r="I196" i="27"/>
  <c r="Q196" i="27"/>
  <c r="R196" i="27"/>
  <c r="BE184" i="27"/>
  <c r="F180" i="30"/>
  <c r="BB183" i="27"/>
  <c r="BC183" i="27"/>
  <c r="E179" i="30"/>
  <c r="B189" i="30"/>
  <c r="AY183" i="27"/>
  <c r="AZ184" i="27"/>
  <c r="BA183" i="27"/>
  <c r="AX182" i="27"/>
  <c r="BI182" i="27"/>
  <c r="BH182" i="27"/>
  <c r="D181" i="30"/>
  <c r="I181" i="30" s="1"/>
  <c r="AU186" i="27"/>
  <c r="BD183" i="27"/>
  <c r="BG183" i="27" s="1"/>
  <c r="AE195" i="27" l="1"/>
  <c r="AF195" i="27" s="1"/>
  <c r="AM196" i="27"/>
  <c r="AS195" i="27"/>
  <c r="G190" i="30"/>
  <c r="BF194" i="27"/>
  <c r="AP195" i="27"/>
  <c r="AN196" i="27"/>
  <c r="AO195" i="27"/>
  <c r="AQ194" i="27"/>
  <c r="AR194" i="27" s="1"/>
  <c r="AA196" i="27"/>
  <c r="AG195" i="27"/>
  <c r="U196" i="27"/>
  <c r="AB197" i="27"/>
  <c r="AC196" i="27"/>
  <c r="AD196" i="27"/>
  <c r="I197" i="27"/>
  <c r="Q197" i="27"/>
  <c r="R197" i="27"/>
  <c r="S196" i="27"/>
  <c r="T196" i="27" s="1"/>
  <c r="BL183" i="27"/>
  <c r="AX183" i="27"/>
  <c r="BE185" i="27"/>
  <c r="F181" i="30"/>
  <c r="BA184" i="27"/>
  <c r="BC184" i="27"/>
  <c r="BB184" i="27"/>
  <c r="E180" i="30"/>
  <c r="B190" i="30"/>
  <c r="BJ182" i="27"/>
  <c r="BK182" i="27" s="1"/>
  <c r="AY184" i="27"/>
  <c r="AZ185" i="27"/>
  <c r="BH183" i="27"/>
  <c r="BI183" i="27"/>
  <c r="AU187" i="27"/>
  <c r="BD184" i="27"/>
  <c r="BG184" i="27" s="1"/>
  <c r="D182" i="30"/>
  <c r="I182" i="30" s="1"/>
  <c r="AQ195" i="27" l="1"/>
  <c r="AR195" i="27" s="1"/>
  <c r="G191" i="30"/>
  <c r="BF195" i="27"/>
  <c r="AM197" i="27"/>
  <c r="AS196" i="27"/>
  <c r="AO196" i="27"/>
  <c r="AP196" i="27"/>
  <c r="AN197" i="27"/>
  <c r="S197" i="27"/>
  <c r="T197" i="27" s="1"/>
  <c r="AA197" i="27"/>
  <c r="AG196" i="27"/>
  <c r="AX184" i="27"/>
  <c r="U197" i="27"/>
  <c r="AE196" i="27"/>
  <c r="AF196" i="27" s="1"/>
  <c r="AD197" i="27"/>
  <c r="AB198" i="27"/>
  <c r="AC197" i="27"/>
  <c r="Q198" i="27"/>
  <c r="R198" i="27"/>
  <c r="AT182" i="27"/>
  <c r="H178" i="30" s="1"/>
  <c r="I198" i="27"/>
  <c r="BL184" i="27"/>
  <c r="BE186" i="27"/>
  <c r="F182" i="30"/>
  <c r="B191" i="30"/>
  <c r="BB185" i="27"/>
  <c r="BC185" i="27"/>
  <c r="BL185" i="27" s="1"/>
  <c r="E181" i="30"/>
  <c r="AU188" i="27"/>
  <c r="AZ187" i="27"/>
  <c r="BH184" i="27"/>
  <c r="BI184" i="27"/>
  <c r="BD185" i="27"/>
  <c r="BG185" i="27" s="1"/>
  <c r="AY185" i="27"/>
  <c r="BJ183" i="27"/>
  <c r="BK183" i="27" s="1"/>
  <c r="AZ186" i="27"/>
  <c r="D183" i="30"/>
  <c r="I183" i="30" s="1"/>
  <c r="BA185" i="27"/>
  <c r="AM198" i="27" l="1"/>
  <c r="AS197" i="27"/>
  <c r="BF196" i="27"/>
  <c r="G192" i="30"/>
  <c r="AN198" i="27"/>
  <c r="AO197" i="27"/>
  <c r="AP197" i="27"/>
  <c r="AQ196" i="27"/>
  <c r="AR196" i="27" s="1"/>
  <c r="AE197" i="27"/>
  <c r="AF197" i="27" s="1"/>
  <c r="AA198" i="27"/>
  <c r="AG197" i="27"/>
  <c r="U198" i="27"/>
  <c r="AD198" i="27"/>
  <c r="AB199" i="27"/>
  <c r="AC198" i="27"/>
  <c r="AT183" i="27"/>
  <c r="H179" i="30" s="1"/>
  <c r="I199" i="27"/>
  <c r="S198" i="27"/>
  <c r="T198" i="27" s="1"/>
  <c r="Q199" i="27"/>
  <c r="R199" i="27"/>
  <c r="BE187" i="27"/>
  <c r="F183" i="30"/>
  <c r="AX185" i="27"/>
  <c r="BB186" i="27"/>
  <c r="BC186" i="27"/>
  <c r="BL186" i="27" s="1"/>
  <c r="E182" i="30"/>
  <c r="B192" i="30"/>
  <c r="AY186" i="27"/>
  <c r="BA186" i="27"/>
  <c r="BI185" i="27"/>
  <c r="BH185" i="27"/>
  <c r="D184" i="30"/>
  <c r="I184" i="30" s="1"/>
  <c r="BJ184" i="27"/>
  <c r="BK184" i="27" s="1"/>
  <c r="BD186" i="27"/>
  <c r="BG186" i="27" s="1"/>
  <c r="AU189" i="27"/>
  <c r="AE198" i="27" l="1"/>
  <c r="AF198" i="27" s="1"/>
  <c r="BF197" i="27"/>
  <c r="G193" i="30"/>
  <c r="AS198" i="27"/>
  <c r="AM199" i="27"/>
  <c r="AQ197" i="27"/>
  <c r="AR197" i="27" s="1"/>
  <c r="AO198" i="27"/>
  <c r="AP198" i="27"/>
  <c r="AN199" i="27"/>
  <c r="AA199" i="27"/>
  <c r="AG198" i="27"/>
  <c r="U199" i="27"/>
  <c r="AD199" i="27"/>
  <c r="AC199" i="27"/>
  <c r="AB200" i="27"/>
  <c r="AT184" i="27"/>
  <c r="H180" i="30" s="1"/>
  <c r="R200" i="27"/>
  <c r="Q200" i="27"/>
  <c r="I200" i="27"/>
  <c r="S199" i="27"/>
  <c r="T199" i="27" s="1"/>
  <c r="AX186" i="27"/>
  <c r="BE188" i="27"/>
  <c r="F184" i="30"/>
  <c r="B193" i="30"/>
  <c r="BB187" i="27"/>
  <c r="BC187" i="27"/>
  <c r="BL187" i="27" s="1"/>
  <c r="E183" i="30"/>
  <c r="AZ188" i="27"/>
  <c r="BJ185" i="27"/>
  <c r="BK185" i="27" s="1"/>
  <c r="AU190" i="27"/>
  <c r="BA187" i="27"/>
  <c r="BD187" i="27"/>
  <c r="BG187" i="27" s="1"/>
  <c r="D185" i="30"/>
  <c r="I185" i="30" s="1"/>
  <c r="BI186" i="27"/>
  <c r="BH186" i="27"/>
  <c r="AY187" i="27"/>
  <c r="AE199" i="27" l="1"/>
  <c r="AF199" i="27" s="1"/>
  <c r="AM200" i="27"/>
  <c r="AS199" i="27"/>
  <c r="BF198" i="27"/>
  <c r="G194" i="30"/>
  <c r="AP199" i="27"/>
  <c r="AO199" i="27"/>
  <c r="AN200" i="27"/>
  <c r="AQ198" i="27"/>
  <c r="AR198" i="27" s="1"/>
  <c r="AA200" i="27"/>
  <c r="AG199" i="27"/>
  <c r="S200" i="27"/>
  <c r="T200" i="27" s="1"/>
  <c r="U200" i="27"/>
  <c r="AB201" i="27"/>
  <c r="AC200" i="27"/>
  <c r="AD200" i="27"/>
  <c r="Q201" i="27"/>
  <c r="R201" i="27"/>
  <c r="I201" i="27"/>
  <c r="AT185" i="27"/>
  <c r="H181" i="30" s="1"/>
  <c r="BJ186" i="27"/>
  <c r="BK186" i="27" s="1"/>
  <c r="BA188" i="27"/>
  <c r="AY188" i="27"/>
  <c r="BE189" i="27"/>
  <c r="F185" i="30"/>
  <c r="BB188" i="27"/>
  <c r="BC188" i="27"/>
  <c r="BL188" i="27" s="1"/>
  <c r="E184" i="30"/>
  <c r="B194" i="30"/>
  <c r="AU191" i="27"/>
  <c r="D186" i="30"/>
  <c r="I186" i="30" s="1"/>
  <c r="AZ189" i="27"/>
  <c r="AX187" i="27"/>
  <c r="BI187" i="27"/>
  <c r="BH187" i="27"/>
  <c r="BD188" i="27"/>
  <c r="BG188" i="27" s="1"/>
  <c r="AQ199" i="27" l="1"/>
  <c r="AR199" i="27" s="1"/>
  <c r="BF199" i="27"/>
  <c r="G195" i="30"/>
  <c r="AS200" i="27"/>
  <c r="AM201" i="27"/>
  <c r="AP200" i="27"/>
  <c r="AN201" i="27"/>
  <c r="AO200" i="27"/>
  <c r="AG200" i="27"/>
  <c r="AA201" i="27"/>
  <c r="AX188" i="27"/>
  <c r="U201" i="27"/>
  <c r="AE200" i="27"/>
  <c r="AF200" i="27" s="1"/>
  <c r="AB202" i="27"/>
  <c r="AD201" i="27"/>
  <c r="AC201" i="27"/>
  <c r="S201" i="27"/>
  <c r="T201" i="27" s="1"/>
  <c r="I202" i="27"/>
  <c r="Q202" i="27"/>
  <c r="R202" i="27"/>
  <c r="AT186" i="27"/>
  <c r="H182" i="30" s="1"/>
  <c r="BE190" i="27"/>
  <c r="F186" i="30"/>
  <c r="B195" i="30"/>
  <c r="BB189" i="27"/>
  <c r="BC189" i="27"/>
  <c r="BL189" i="27" s="1"/>
  <c r="E185" i="30"/>
  <c r="AY189" i="27"/>
  <c r="BJ187" i="27"/>
  <c r="BK187" i="27" s="1"/>
  <c r="BD189" i="27"/>
  <c r="BG189" i="27" s="1"/>
  <c r="BA189" i="27"/>
  <c r="BH188" i="27"/>
  <c r="BI188" i="27"/>
  <c r="AZ190" i="27"/>
  <c r="D187" i="30"/>
  <c r="I187" i="30" s="1"/>
  <c r="AU192" i="27"/>
  <c r="AM202" i="27" l="1"/>
  <c r="AS201" i="27"/>
  <c r="G196" i="30"/>
  <c r="BF200" i="27"/>
  <c r="AQ200" i="27"/>
  <c r="AR200" i="27" s="1"/>
  <c r="AN202" i="27"/>
  <c r="AO201" i="27"/>
  <c r="AP201" i="27"/>
  <c r="AE201" i="27"/>
  <c r="AF201" i="27" s="1"/>
  <c r="AA202" i="27"/>
  <c r="AG201" i="27"/>
  <c r="U202" i="27"/>
  <c r="AB203" i="27"/>
  <c r="AC202" i="27"/>
  <c r="AD202" i="27"/>
  <c r="AT187" i="27"/>
  <c r="H183" i="30" s="1"/>
  <c r="Q203" i="27"/>
  <c r="R203" i="27"/>
  <c r="S202" i="27"/>
  <c r="T202" i="27" s="1"/>
  <c r="I203" i="27"/>
  <c r="AZ191" i="27"/>
  <c r="AX189" i="27"/>
  <c r="BE191" i="27"/>
  <c r="F187" i="30"/>
  <c r="BB190" i="27"/>
  <c r="BC190" i="27"/>
  <c r="BL190" i="27" s="1"/>
  <c r="E186" i="30"/>
  <c r="B196" i="30"/>
  <c r="AY190" i="27"/>
  <c r="BJ188" i="27"/>
  <c r="BK188" i="27" s="1"/>
  <c r="BD190" i="27"/>
  <c r="BG190" i="27" s="1"/>
  <c r="BA190" i="27"/>
  <c r="D188" i="30"/>
  <c r="I188" i="30" s="1"/>
  <c r="BI189" i="27"/>
  <c r="BH189" i="27"/>
  <c r="AU193" i="27"/>
  <c r="BA191" i="27"/>
  <c r="G197" i="30" l="1"/>
  <c r="BF201" i="27"/>
  <c r="AM203" i="27"/>
  <c r="AS202" i="27"/>
  <c r="AQ201" i="27"/>
  <c r="AR201" i="27" s="1"/>
  <c r="AN203" i="27"/>
  <c r="AO202" i="27"/>
  <c r="AP202" i="27"/>
  <c r="AA203" i="27"/>
  <c r="AG202" i="27"/>
  <c r="AX190" i="27"/>
  <c r="U203" i="27"/>
  <c r="AE202" i="27"/>
  <c r="AF202" i="27" s="1"/>
  <c r="AB204" i="27"/>
  <c r="AD203" i="27"/>
  <c r="AC203" i="27"/>
  <c r="AT188" i="27"/>
  <c r="H184" i="30" s="1"/>
  <c r="R204" i="27"/>
  <c r="Q204" i="27"/>
  <c r="I204" i="27"/>
  <c r="S203" i="27"/>
  <c r="T203" i="27" s="1"/>
  <c r="BE192" i="27"/>
  <c r="F188" i="30"/>
  <c r="B197" i="30"/>
  <c r="BB191" i="27"/>
  <c r="BC191" i="27"/>
  <c r="BL191" i="27" s="1"/>
  <c r="E187" i="30"/>
  <c r="BJ189" i="27"/>
  <c r="BK189" i="27" s="1"/>
  <c r="AZ192" i="27"/>
  <c r="BI190" i="27"/>
  <c r="BH190" i="27"/>
  <c r="AY192" i="27"/>
  <c r="AU194" i="27"/>
  <c r="AY191" i="27"/>
  <c r="AX191" i="27" s="1"/>
  <c r="D189" i="30"/>
  <c r="I189" i="30" s="1"/>
  <c r="BD191" i="27"/>
  <c r="BG191" i="27" s="1"/>
  <c r="BF202" i="27" l="1"/>
  <c r="G198" i="30"/>
  <c r="AS203" i="27"/>
  <c r="AM204" i="27"/>
  <c r="AQ202" i="27"/>
  <c r="AR202" i="27" s="1"/>
  <c r="AP203" i="27"/>
  <c r="AO203" i="27"/>
  <c r="AN204" i="27"/>
  <c r="AE203" i="27"/>
  <c r="AF203" i="27" s="1"/>
  <c r="AG203" i="27"/>
  <c r="AA204" i="27"/>
  <c r="S204" i="27"/>
  <c r="T204" i="27" s="1"/>
  <c r="U204" i="27"/>
  <c r="AC204" i="27"/>
  <c r="AD204" i="27"/>
  <c r="AB205" i="27"/>
  <c r="AT189" i="27"/>
  <c r="H185" i="30" s="1"/>
  <c r="R205" i="27"/>
  <c r="Q205" i="27"/>
  <c r="I205" i="27"/>
  <c r="BJ190" i="27"/>
  <c r="BK190" i="27" s="1"/>
  <c r="BE193" i="27"/>
  <c r="F189" i="30"/>
  <c r="BC192" i="27"/>
  <c r="BB192" i="27"/>
  <c r="E188" i="30"/>
  <c r="B198" i="30"/>
  <c r="AZ193" i="27"/>
  <c r="D190" i="30"/>
  <c r="I190" i="30" s="1"/>
  <c r="BI191" i="27"/>
  <c r="BH191" i="27"/>
  <c r="AU195" i="27"/>
  <c r="BA192" i="27"/>
  <c r="AX192" i="27" s="1"/>
  <c r="BD192" i="27"/>
  <c r="BG192" i="27" s="1"/>
  <c r="S205" i="27" l="1"/>
  <c r="T205" i="27" s="1"/>
  <c r="AQ203" i="27"/>
  <c r="AR203" i="27" s="1"/>
  <c r="BF203" i="27"/>
  <c r="G199" i="30"/>
  <c r="AM205" i="27"/>
  <c r="AS204" i="27"/>
  <c r="AO204" i="27"/>
  <c r="AP204" i="27"/>
  <c r="AN205" i="27"/>
  <c r="AG204" i="27"/>
  <c r="AA205" i="27"/>
  <c r="U205" i="27"/>
  <c r="AC205" i="27"/>
  <c r="AD205" i="27"/>
  <c r="AB206" i="27"/>
  <c r="AE204" i="27"/>
  <c r="AF204" i="27" s="1"/>
  <c r="AT190" i="27"/>
  <c r="H186" i="30" s="1"/>
  <c r="I206" i="27"/>
  <c r="Q206" i="27"/>
  <c r="R206" i="27"/>
  <c r="BL192" i="27"/>
  <c r="BE194" i="27"/>
  <c r="F190" i="30"/>
  <c r="BB193" i="27"/>
  <c r="BC193" i="27"/>
  <c r="BL193" i="27" s="1"/>
  <c r="E189" i="30"/>
  <c r="B199" i="30"/>
  <c r="AY193" i="27"/>
  <c r="BA193" i="27"/>
  <c r="AZ194" i="27"/>
  <c r="AU196" i="27"/>
  <c r="D191" i="30"/>
  <c r="I191" i="30" s="1"/>
  <c r="BD193" i="27"/>
  <c r="BG193" i="27" s="1"/>
  <c r="BJ191" i="27"/>
  <c r="BK191" i="27" s="1"/>
  <c r="BI192" i="27"/>
  <c r="BH192" i="27"/>
  <c r="AS205" i="27" l="1"/>
  <c r="AM206" i="27"/>
  <c r="G200" i="30"/>
  <c r="BF204" i="27"/>
  <c r="AO205" i="27"/>
  <c r="AN206" i="27"/>
  <c r="AP205" i="27"/>
  <c r="AQ204" i="27"/>
  <c r="AR204" i="27" s="1"/>
  <c r="AA206" i="27"/>
  <c r="AG205" i="27"/>
  <c r="U206" i="27"/>
  <c r="AB207" i="27"/>
  <c r="AD206" i="27"/>
  <c r="AC206" i="27"/>
  <c r="AE205" i="27"/>
  <c r="AF205" i="27" s="1"/>
  <c r="S206" i="27"/>
  <c r="T206" i="27" s="1"/>
  <c r="R207" i="27"/>
  <c r="Q207" i="27"/>
  <c r="I207" i="27"/>
  <c r="AT191" i="27"/>
  <c r="H187" i="30" s="1"/>
  <c r="AX193" i="27"/>
  <c r="BE195" i="27"/>
  <c r="F191" i="30"/>
  <c r="BB194" i="27"/>
  <c r="BC194" i="27"/>
  <c r="E190" i="30"/>
  <c r="BA194" i="27"/>
  <c r="BJ192" i="27"/>
  <c r="BK192" i="27" s="1"/>
  <c r="B200" i="30"/>
  <c r="AZ195" i="27"/>
  <c r="AY194" i="27"/>
  <c r="BI193" i="27"/>
  <c r="BH193" i="27"/>
  <c r="D192" i="30"/>
  <c r="I192" i="30" s="1"/>
  <c r="BD194" i="27"/>
  <c r="BG194" i="27" s="1"/>
  <c r="AU197" i="27"/>
  <c r="AE206" i="27" l="1"/>
  <c r="AF206" i="27" s="1"/>
  <c r="AM207" i="27"/>
  <c r="AS206" i="27"/>
  <c r="BF205" i="27"/>
  <c r="G201" i="30"/>
  <c r="AO206" i="27"/>
  <c r="AN207" i="27"/>
  <c r="AP206" i="27"/>
  <c r="AQ205" i="27"/>
  <c r="AR205" i="27" s="1"/>
  <c r="AG206" i="27"/>
  <c r="AA207" i="27"/>
  <c r="AX194" i="27"/>
  <c r="U207" i="27"/>
  <c r="AB208" i="27"/>
  <c r="AD207" i="27"/>
  <c r="AC207" i="27"/>
  <c r="S207" i="27"/>
  <c r="T207" i="27" s="1"/>
  <c r="AT192" i="27"/>
  <c r="H188" i="30" s="1"/>
  <c r="Q208" i="27"/>
  <c r="R208" i="27"/>
  <c r="I208" i="27"/>
  <c r="BL194" i="27"/>
  <c r="AZ196" i="27"/>
  <c r="BE196" i="27"/>
  <c r="F192" i="30"/>
  <c r="BJ193" i="27"/>
  <c r="BK193" i="27" s="1"/>
  <c r="B201" i="30"/>
  <c r="BC195" i="27"/>
  <c r="BB195" i="27"/>
  <c r="E191" i="30"/>
  <c r="BI194" i="27"/>
  <c r="BH194" i="27"/>
  <c r="BD195" i="27"/>
  <c r="BG195" i="27" s="1"/>
  <c r="D193" i="30"/>
  <c r="I193" i="30" s="1"/>
  <c r="AU198" i="27"/>
  <c r="AY195" i="27"/>
  <c r="BA195" i="27"/>
  <c r="AM208" i="27" l="1"/>
  <c r="AS207" i="27"/>
  <c r="BF206" i="27"/>
  <c r="G202" i="30"/>
  <c r="AP207" i="27"/>
  <c r="AN208" i="27"/>
  <c r="AO207" i="27"/>
  <c r="AQ206" i="27"/>
  <c r="AR206" i="27" s="1"/>
  <c r="AE207" i="27"/>
  <c r="AF207" i="27" s="1"/>
  <c r="AG207" i="27"/>
  <c r="AA208" i="27"/>
  <c r="U208" i="27"/>
  <c r="AD208" i="27"/>
  <c r="AB209" i="27"/>
  <c r="AC208" i="27"/>
  <c r="Q209" i="27"/>
  <c r="R209" i="27"/>
  <c r="I209" i="27"/>
  <c r="AT193" i="27"/>
  <c r="H189" i="30" s="1"/>
  <c r="S208" i="27"/>
  <c r="T208" i="27" s="1"/>
  <c r="BL195" i="27"/>
  <c r="BE197" i="27"/>
  <c r="F193" i="30"/>
  <c r="BB196" i="27"/>
  <c r="BC196" i="27"/>
  <c r="BL196" i="27" s="1"/>
  <c r="E192" i="30"/>
  <c r="B202" i="30"/>
  <c r="AX195" i="27"/>
  <c r="BJ194" i="27"/>
  <c r="BK194" i="27" s="1"/>
  <c r="BA196" i="27"/>
  <c r="AZ197" i="27"/>
  <c r="BD196" i="27"/>
  <c r="BG196" i="27" s="1"/>
  <c r="AY196" i="27"/>
  <c r="BI195" i="27"/>
  <c r="BH195" i="27"/>
  <c r="D194" i="30"/>
  <c r="I194" i="30" s="1"/>
  <c r="AU199" i="27"/>
  <c r="AQ207" i="27" l="1"/>
  <c r="AR207" i="27" s="1"/>
  <c r="AE208" i="27"/>
  <c r="AF208" i="27" s="1"/>
  <c r="BF207" i="27"/>
  <c r="G203" i="30"/>
  <c r="AS208" i="27"/>
  <c r="AM209" i="27"/>
  <c r="AP208" i="27"/>
  <c r="AO208" i="27"/>
  <c r="AN209" i="27"/>
  <c r="AG208" i="27"/>
  <c r="AA209" i="27"/>
  <c r="U209" i="27"/>
  <c r="AB210" i="27"/>
  <c r="AC209" i="27"/>
  <c r="AD209" i="27"/>
  <c r="AT194" i="27"/>
  <c r="H190" i="30" s="1"/>
  <c r="I210" i="27"/>
  <c r="S209" i="27"/>
  <c r="T209" i="27" s="1"/>
  <c r="R210" i="27"/>
  <c r="Q210" i="27"/>
  <c r="AZ198" i="27"/>
  <c r="BA197" i="27"/>
  <c r="AX196" i="27"/>
  <c r="BE198" i="27"/>
  <c r="F194" i="30"/>
  <c r="BC197" i="27"/>
  <c r="BB197" i="27"/>
  <c r="E193" i="30"/>
  <c r="B203" i="30"/>
  <c r="AY197" i="27"/>
  <c r="BD197" i="27"/>
  <c r="BG197" i="27" s="1"/>
  <c r="BJ195" i="27"/>
  <c r="BK195" i="27" s="1"/>
  <c r="AU200" i="27"/>
  <c r="D195" i="30"/>
  <c r="I195" i="30" s="1"/>
  <c r="BI196" i="27"/>
  <c r="BH196" i="27"/>
  <c r="AQ208" i="27" l="1"/>
  <c r="AR208" i="27" s="1"/>
  <c r="AS209" i="27"/>
  <c r="AM210" i="27"/>
  <c r="G204" i="30"/>
  <c r="BF208" i="27"/>
  <c r="AO209" i="27"/>
  <c r="AP209" i="27"/>
  <c r="AN210" i="27"/>
  <c r="AG209" i="27"/>
  <c r="AA210" i="27"/>
  <c r="AX197" i="27"/>
  <c r="U210" i="27"/>
  <c r="AE209" i="27"/>
  <c r="AF209" i="27" s="1"/>
  <c r="AB211" i="27"/>
  <c r="AC210" i="27"/>
  <c r="AD210" i="27"/>
  <c r="S210" i="27"/>
  <c r="T210" i="27" s="1"/>
  <c r="AT195" i="27"/>
  <c r="H191" i="30" s="1"/>
  <c r="I211" i="27"/>
  <c r="Q211" i="27"/>
  <c r="R211" i="27"/>
  <c r="BL197" i="27"/>
  <c r="BE199" i="27"/>
  <c r="F195" i="30"/>
  <c r="B204" i="30"/>
  <c r="BB198" i="27"/>
  <c r="BC198" i="27"/>
  <c r="BL198" i="27" s="1"/>
  <c r="E194" i="30"/>
  <c r="BA198" i="27"/>
  <c r="AY198" i="27"/>
  <c r="AZ199" i="27"/>
  <c r="BJ196" i="27"/>
  <c r="BK196" i="27" s="1"/>
  <c r="BI197" i="27"/>
  <c r="BH197" i="27"/>
  <c r="D196" i="30"/>
  <c r="I196" i="30" s="1"/>
  <c r="BD198" i="27"/>
  <c r="BG198" i="27" s="1"/>
  <c r="AU201" i="27"/>
  <c r="BF209" i="27" l="1"/>
  <c r="G205" i="30"/>
  <c r="AM211" i="27"/>
  <c r="AS210" i="27"/>
  <c r="AP210" i="27"/>
  <c r="AN211" i="27"/>
  <c r="AO210" i="27"/>
  <c r="AQ209" i="27"/>
  <c r="AR209" i="27" s="1"/>
  <c r="AG210" i="27"/>
  <c r="AA211" i="27"/>
  <c r="AE210" i="27"/>
  <c r="AF210" i="27" s="1"/>
  <c r="U211" i="27"/>
  <c r="AB212" i="27"/>
  <c r="AD211" i="27"/>
  <c r="AC211" i="27"/>
  <c r="S211" i="27"/>
  <c r="T211" i="27" s="1"/>
  <c r="AT196" i="27"/>
  <c r="H192" i="30" s="1"/>
  <c r="Q212" i="27"/>
  <c r="R212" i="27"/>
  <c r="I212" i="27"/>
  <c r="AX198" i="27"/>
  <c r="BJ197" i="27"/>
  <c r="BK197" i="27" s="1"/>
  <c r="BE200" i="27"/>
  <c r="F196" i="30"/>
  <c r="BB199" i="27"/>
  <c r="BC199" i="27"/>
  <c r="E195" i="30"/>
  <c r="B205" i="30"/>
  <c r="BA199" i="27"/>
  <c r="AZ200" i="27"/>
  <c r="AY199" i="27"/>
  <c r="BI198" i="27"/>
  <c r="BH198" i="27"/>
  <c r="BD199" i="27"/>
  <c r="BG199" i="27" s="1"/>
  <c r="D197" i="30"/>
  <c r="I197" i="30" s="1"/>
  <c r="AU202" i="27"/>
  <c r="AQ210" i="27" l="1"/>
  <c r="AR210" i="27" s="1"/>
  <c r="G206" i="30"/>
  <c r="BF210" i="27"/>
  <c r="AM212" i="27"/>
  <c r="AS211" i="27"/>
  <c r="AO211" i="27"/>
  <c r="AP211" i="27"/>
  <c r="AN212" i="27"/>
  <c r="AE211" i="27"/>
  <c r="AF211" i="27" s="1"/>
  <c r="AA212" i="27"/>
  <c r="AG211" i="27"/>
  <c r="U212" i="27"/>
  <c r="AD212" i="27"/>
  <c r="AB213" i="27"/>
  <c r="AC212" i="27"/>
  <c r="AT197" i="27"/>
  <c r="H193" i="30" s="1"/>
  <c r="Q213" i="27"/>
  <c r="R213" i="27"/>
  <c r="I213" i="27"/>
  <c r="S212" i="27"/>
  <c r="T212" i="27" s="1"/>
  <c r="BL199" i="27"/>
  <c r="AY200" i="27"/>
  <c r="AX199" i="27"/>
  <c r="BE201" i="27"/>
  <c r="F197" i="30"/>
  <c r="BB200" i="27"/>
  <c r="BC200" i="27"/>
  <c r="BL200" i="27" s="1"/>
  <c r="E196" i="30"/>
  <c r="B206" i="30"/>
  <c r="BA200" i="27"/>
  <c r="AZ201" i="27"/>
  <c r="BJ198" i="27"/>
  <c r="BK198" i="27" s="1"/>
  <c r="D198" i="30"/>
  <c r="I198" i="30" s="1"/>
  <c r="BD200" i="27"/>
  <c r="BG200" i="27" s="1"/>
  <c r="BH199" i="27"/>
  <c r="BI199" i="27"/>
  <c r="AU203" i="27"/>
  <c r="AE212" i="27" l="1"/>
  <c r="AF212" i="27" s="1"/>
  <c r="AM213" i="27"/>
  <c r="AS212" i="27"/>
  <c r="G207" i="30"/>
  <c r="BF211" i="27"/>
  <c r="AO212" i="27"/>
  <c r="AN213" i="27"/>
  <c r="AP212" i="27"/>
  <c r="AQ211" i="27"/>
  <c r="AR211" i="27" s="1"/>
  <c r="AA213" i="27"/>
  <c r="AG212" i="27"/>
  <c r="AX200" i="27"/>
  <c r="U213" i="27"/>
  <c r="AC213" i="27"/>
  <c r="AD213" i="27"/>
  <c r="AB214" i="27"/>
  <c r="Q214" i="27"/>
  <c r="R214" i="27"/>
  <c r="AT198" i="27"/>
  <c r="H194" i="30" s="1"/>
  <c r="S213" i="27"/>
  <c r="T213" i="27" s="1"/>
  <c r="I214" i="27"/>
  <c r="BE202" i="27"/>
  <c r="F198" i="30"/>
  <c r="BB201" i="27"/>
  <c r="BC201" i="27"/>
  <c r="BL201" i="27" s="1"/>
  <c r="E197" i="30"/>
  <c r="B207" i="30"/>
  <c r="BA201" i="27"/>
  <c r="AY201" i="27"/>
  <c r="BJ199" i="27"/>
  <c r="BK199" i="27" s="1"/>
  <c r="AZ202" i="27"/>
  <c r="BI200" i="27"/>
  <c r="BH200" i="27"/>
  <c r="AU204" i="27"/>
  <c r="BD201" i="27"/>
  <c r="BG201" i="27" s="1"/>
  <c r="D199" i="30"/>
  <c r="I199" i="30" s="1"/>
  <c r="BF212" i="27" l="1"/>
  <c r="G208" i="30"/>
  <c r="AS213" i="27"/>
  <c r="AM214" i="27"/>
  <c r="AO213" i="27"/>
  <c r="AN214" i="27"/>
  <c r="AP213" i="27"/>
  <c r="AQ212" i="27"/>
  <c r="AR212" i="27" s="1"/>
  <c r="AG213" i="27"/>
  <c r="AA214" i="27"/>
  <c r="S214" i="27"/>
  <c r="T214" i="27" s="1"/>
  <c r="U214" i="27"/>
  <c r="AD214" i="27"/>
  <c r="AC214" i="27"/>
  <c r="AB215" i="27"/>
  <c r="AE213" i="27"/>
  <c r="AF213" i="27" s="1"/>
  <c r="I215" i="27"/>
  <c r="AT199" i="27"/>
  <c r="H195" i="30" s="1"/>
  <c r="R215" i="27"/>
  <c r="Q215" i="27"/>
  <c r="AX201" i="27"/>
  <c r="BE203" i="27"/>
  <c r="F199" i="30"/>
  <c r="BJ200" i="27"/>
  <c r="BK200" i="27" s="1"/>
  <c r="BC202" i="27"/>
  <c r="BB202" i="27"/>
  <c r="E198" i="30"/>
  <c r="B208" i="30"/>
  <c r="AZ203" i="27"/>
  <c r="BA202" i="27"/>
  <c r="D200" i="30"/>
  <c r="I200" i="30" s="1"/>
  <c r="AU205" i="27"/>
  <c r="BD202" i="27"/>
  <c r="BG202" i="27" s="1"/>
  <c r="BI201" i="27"/>
  <c r="BH201" i="27"/>
  <c r="AY202" i="27"/>
  <c r="S215" i="27" l="1"/>
  <c r="T215" i="27" s="1"/>
  <c r="AE214" i="27"/>
  <c r="AF214" i="27" s="1"/>
  <c r="AM215" i="27"/>
  <c r="AS214" i="27"/>
  <c r="G209" i="30"/>
  <c r="BF213" i="27"/>
  <c r="AP214" i="27"/>
  <c r="AO214" i="27"/>
  <c r="AN215" i="27"/>
  <c r="AQ213" i="27"/>
  <c r="AR213" i="27" s="1"/>
  <c r="AA215" i="27"/>
  <c r="AG214" i="27"/>
  <c r="U215" i="27"/>
  <c r="AD215" i="27"/>
  <c r="AC215" i="27"/>
  <c r="AB216" i="27"/>
  <c r="I216" i="27"/>
  <c r="AT200" i="27"/>
  <c r="H196" i="30" s="1"/>
  <c r="Q216" i="27"/>
  <c r="R216" i="27"/>
  <c r="BL202" i="27"/>
  <c r="BE204" i="27"/>
  <c r="F200" i="30"/>
  <c r="AX202" i="27"/>
  <c r="B209" i="30"/>
  <c r="BB203" i="27"/>
  <c r="BC203" i="27"/>
  <c r="BL203" i="27" s="1"/>
  <c r="E199" i="30"/>
  <c r="AY203" i="27"/>
  <c r="BA203" i="27"/>
  <c r="BJ201" i="27"/>
  <c r="BK201" i="27" s="1"/>
  <c r="AZ204" i="27"/>
  <c r="BD203" i="27"/>
  <c r="BG203" i="27" s="1"/>
  <c r="D201" i="30"/>
  <c r="I201" i="30" s="1"/>
  <c r="AU206" i="27"/>
  <c r="BH202" i="27"/>
  <c r="BI202" i="27"/>
  <c r="AE215" i="27" l="1"/>
  <c r="AF215" i="27" s="1"/>
  <c r="AQ214" i="27"/>
  <c r="AR214" i="27" s="1"/>
  <c r="G210" i="30"/>
  <c r="BF214" i="27"/>
  <c r="AM216" i="27"/>
  <c r="AS215" i="27"/>
  <c r="AN216" i="27"/>
  <c r="AP215" i="27"/>
  <c r="AO215" i="27"/>
  <c r="AG215" i="27"/>
  <c r="AA216" i="27"/>
  <c r="U216" i="27"/>
  <c r="AD216" i="27"/>
  <c r="AC216" i="27"/>
  <c r="AB217" i="27"/>
  <c r="I217" i="27"/>
  <c r="S216" i="27"/>
  <c r="T216" i="27" s="1"/>
  <c r="Q217" i="27"/>
  <c r="R217" i="27"/>
  <c r="AT201" i="27"/>
  <c r="H197" i="30" s="1"/>
  <c r="AZ205" i="27"/>
  <c r="BE205" i="27"/>
  <c r="F201" i="30"/>
  <c r="BB204" i="27"/>
  <c r="BC204" i="27"/>
  <c r="BL204" i="27" s="1"/>
  <c r="E200" i="30"/>
  <c r="B210" i="30"/>
  <c r="BA204" i="27"/>
  <c r="AX203" i="27"/>
  <c r="BJ202" i="27"/>
  <c r="BK202" i="27" s="1"/>
  <c r="AU207" i="27"/>
  <c r="BD204" i="27"/>
  <c r="BG204" i="27" s="1"/>
  <c r="AZ206" i="27"/>
  <c r="BI203" i="27"/>
  <c r="BH203" i="27"/>
  <c r="D202" i="30"/>
  <c r="I202" i="30" s="1"/>
  <c r="AY204" i="27"/>
  <c r="AQ215" i="27" l="1"/>
  <c r="AR215" i="27" s="1"/>
  <c r="AM217" i="27"/>
  <c r="AS216" i="27"/>
  <c r="G211" i="30"/>
  <c r="BF215" i="27"/>
  <c r="AE216" i="27"/>
  <c r="AF216" i="27" s="1"/>
  <c r="AP216" i="27"/>
  <c r="AO216" i="27"/>
  <c r="AN217" i="27"/>
  <c r="AA217" i="27"/>
  <c r="AG216" i="27"/>
  <c r="U217" i="27"/>
  <c r="AC217" i="27"/>
  <c r="AB218" i="27"/>
  <c r="AD217" i="27"/>
  <c r="I218" i="27"/>
  <c r="AT202" i="27"/>
  <c r="H198" i="30" s="1"/>
  <c r="Q218" i="27"/>
  <c r="R218" i="27"/>
  <c r="S217" i="27"/>
  <c r="T217" i="27" s="1"/>
  <c r="BE206" i="27"/>
  <c r="F202" i="30"/>
  <c r="BJ203" i="27"/>
  <c r="BK203" i="27" s="1"/>
  <c r="AX204" i="27"/>
  <c r="B211" i="30"/>
  <c r="BC205" i="27"/>
  <c r="BB205" i="27"/>
  <c r="E201" i="30"/>
  <c r="AY205" i="27"/>
  <c r="BA205" i="27"/>
  <c r="BI204" i="27"/>
  <c r="BH204" i="27"/>
  <c r="D203" i="30"/>
  <c r="I203" i="30" s="1"/>
  <c r="BD205" i="27"/>
  <c r="BG205" i="27" s="1"/>
  <c r="AU208" i="27"/>
  <c r="AQ216" i="27" l="1"/>
  <c r="AR216" i="27" s="1"/>
  <c r="G212" i="30"/>
  <c r="BF216" i="27"/>
  <c r="AS217" i="27"/>
  <c r="AM218" i="27"/>
  <c r="AO217" i="27"/>
  <c r="AN218" i="27"/>
  <c r="AP217" i="27"/>
  <c r="AA218" i="27"/>
  <c r="AG217" i="27"/>
  <c r="U218" i="27"/>
  <c r="AD218" i="27"/>
  <c r="AC218" i="27"/>
  <c r="AB219" i="27"/>
  <c r="AE217" i="27"/>
  <c r="AF217" i="27" s="1"/>
  <c r="AT203" i="27"/>
  <c r="H199" i="30" s="1"/>
  <c r="Q219" i="27"/>
  <c r="R219" i="27"/>
  <c r="S218" i="27"/>
  <c r="T218" i="27" s="1"/>
  <c r="I219" i="27"/>
  <c r="BL205" i="27"/>
  <c r="BJ204" i="27"/>
  <c r="BK204" i="27" s="1"/>
  <c r="AX205" i="27"/>
  <c r="BE207" i="27"/>
  <c r="F203" i="30"/>
  <c r="BC206" i="27"/>
  <c r="BB206" i="27"/>
  <c r="E202" i="30"/>
  <c r="B212" i="30"/>
  <c r="BA206" i="27"/>
  <c r="AZ207" i="27"/>
  <c r="AY206" i="27"/>
  <c r="AU209" i="27"/>
  <c r="D204" i="30"/>
  <c r="I204" i="30" s="1"/>
  <c r="BD206" i="27"/>
  <c r="BG206" i="27" s="1"/>
  <c r="BH205" i="27"/>
  <c r="BI205" i="27"/>
  <c r="BF217" i="27" l="1"/>
  <c r="G213" i="30"/>
  <c r="AM219" i="27"/>
  <c r="AS218" i="27"/>
  <c r="AE218" i="27"/>
  <c r="AF218" i="27" s="1"/>
  <c r="AP218" i="27"/>
  <c r="AO218" i="27"/>
  <c r="AN219" i="27"/>
  <c r="AQ217" i="27"/>
  <c r="AR217" i="27" s="1"/>
  <c r="AG218" i="27"/>
  <c r="AA219" i="27"/>
  <c r="U219" i="27"/>
  <c r="AB220" i="27"/>
  <c r="AD219" i="27"/>
  <c r="AC219" i="27"/>
  <c r="S219" i="27"/>
  <c r="T219" i="27" s="1"/>
  <c r="AT204" i="27"/>
  <c r="H200" i="30" s="1"/>
  <c r="Q220" i="27"/>
  <c r="R220" i="27"/>
  <c r="I220" i="27"/>
  <c r="AZ208" i="27"/>
  <c r="BL206" i="27"/>
  <c r="AX206" i="27"/>
  <c r="BE208" i="27"/>
  <c r="F204" i="30"/>
  <c r="BB207" i="27"/>
  <c r="BC207" i="27"/>
  <c r="BL207" i="27" s="1"/>
  <c r="E203" i="30"/>
  <c r="B213" i="30"/>
  <c r="BA207" i="27"/>
  <c r="AY207" i="27"/>
  <c r="BD207" i="27"/>
  <c r="BG207" i="27" s="1"/>
  <c r="BJ205" i="27"/>
  <c r="BK205" i="27" s="1"/>
  <c r="AU210" i="27"/>
  <c r="BI206" i="27"/>
  <c r="BH206" i="27"/>
  <c r="D205" i="30"/>
  <c r="I205" i="30" s="1"/>
  <c r="AQ218" i="27" l="1"/>
  <c r="AR218" i="27" s="1"/>
  <c r="AE219" i="27"/>
  <c r="AF219" i="27" s="1"/>
  <c r="AM220" i="27"/>
  <c r="AS219" i="27"/>
  <c r="G214" i="30"/>
  <c r="BF218" i="27"/>
  <c r="AO219" i="27"/>
  <c r="AN220" i="27"/>
  <c r="AP219" i="27"/>
  <c r="AG219" i="27"/>
  <c r="AA220" i="27"/>
  <c r="U220" i="27"/>
  <c r="AD220" i="27"/>
  <c r="AB221" i="27"/>
  <c r="AC220" i="27"/>
  <c r="I221" i="27"/>
  <c r="S220" i="27"/>
  <c r="T220" i="27" s="1"/>
  <c r="Q221" i="27"/>
  <c r="R221" i="27"/>
  <c r="AT205" i="27"/>
  <c r="H201" i="30" s="1"/>
  <c r="BA208" i="27"/>
  <c r="BE209" i="27"/>
  <c r="F205" i="30"/>
  <c r="AX207" i="27"/>
  <c r="B214" i="30"/>
  <c r="BC208" i="27"/>
  <c r="BB208" i="27"/>
  <c r="E204" i="30"/>
  <c r="AY208" i="27"/>
  <c r="AZ209" i="27"/>
  <c r="BJ206" i="27"/>
  <c r="BK206" i="27" s="1"/>
  <c r="BD208" i="27"/>
  <c r="BG208" i="27" s="1"/>
  <c r="BI207" i="27"/>
  <c r="BH207" i="27"/>
  <c r="AU211" i="27"/>
  <c r="D206" i="30"/>
  <c r="I206" i="30" s="1"/>
  <c r="AM221" i="27" l="1"/>
  <c r="AS220" i="27"/>
  <c r="BF219" i="27"/>
  <c r="G215" i="30"/>
  <c r="AE220" i="27"/>
  <c r="AF220" i="27" s="1"/>
  <c r="AN221" i="27"/>
  <c r="AP220" i="27"/>
  <c r="AO220" i="27"/>
  <c r="AQ219" i="27"/>
  <c r="AR219" i="27" s="1"/>
  <c r="AG220" i="27"/>
  <c r="AA221" i="27"/>
  <c r="U221" i="27"/>
  <c r="AD221" i="27"/>
  <c r="AB222" i="27"/>
  <c r="AC221" i="27"/>
  <c r="AX208" i="27"/>
  <c r="AT206" i="27"/>
  <c r="H202" i="30" s="1"/>
  <c r="I222" i="27"/>
  <c r="S221" i="27"/>
  <c r="T221" i="27" s="1"/>
  <c r="Q222" i="27"/>
  <c r="R222" i="27"/>
  <c r="BL208" i="27"/>
  <c r="BE210" i="27"/>
  <c r="F206" i="30"/>
  <c r="BB209" i="27"/>
  <c r="BC209" i="27"/>
  <c r="E205" i="30"/>
  <c r="B215" i="30"/>
  <c r="BA209" i="27"/>
  <c r="AZ210" i="27"/>
  <c r="AY209" i="27"/>
  <c r="BI208" i="27"/>
  <c r="BH208" i="27"/>
  <c r="BD209" i="27"/>
  <c r="BG209" i="27" s="1"/>
  <c r="D207" i="30"/>
  <c r="I207" i="30" s="1"/>
  <c r="AU212" i="27"/>
  <c r="BJ207" i="27"/>
  <c r="BK207" i="27" s="1"/>
  <c r="G216" i="30" l="1"/>
  <c r="BF220" i="27"/>
  <c r="AE221" i="27"/>
  <c r="AF221" i="27" s="1"/>
  <c r="AQ220" i="27"/>
  <c r="AR220" i="27" s="1"/>
  <c r="AS221" i="27"/>
  <c r="AM222" i="27"/>
  <c r="AP221" i="27"/>
  <c r="AO221" i="27"/>
  <c r="AN222" i="27"/>
  <c r="AG221" i="27"/>
  <c r="AA222" i="27"/>
  <c r="U222" i="27"/>
  <c r="AD222" i="27"/>
  <c r="AC222" i="27"/>
  <c r="AB223" i="27"/>
  <c r="Q223" i="27"/>
  <c r="R223" i="27"/>
  <c r="S222" i="27"/>
  <c r="T222" i="27" s="1"/>
  <c r="I223" i="27"/>
  <c r="AT207" i="27"/>
  <c r="H203" i="30" s="1"/>
  <c r="BL209" i="27"/>
  <c r="BE211" i="27"/>
  <c r="F207" i="30"/>
  <c r="AX209" i="27"/>
  <c r="BB210" i="27"/>
  <c r="BC210" i="27"/>
  <c r="BL210" i="27" s="1"/>
  <c r="E206" i="30"/>
  <c r="B216" i="30"/>
  <c r="AZ211" i="27"/>
  <c r="BJ208" i="27"/>
  <c r="BK208" i="27" s="1"/>
  <c r="BA210" i="27"/>
  <c r="D208" i="30"/>
  <c r="I208" i="30" s="1"/>
  <c r="BI209" i="27"/>
  <c r="BH209" i="27"/>
  <c r="AU213" i="27"/>
  <c r="AY210" i="27"/>
  <c r="BD210" i="27"/>
  <c r="BG210" i="27" s="1"/>
  <c r="AQ221" i="27" l="1"/>
  <c r="AR221" i="27" s="1"/>
  <c r="AM223" i="27"/>
  <c r="AS222" i="27"/>
  <c r="G217" i="30"/>
  <c r="BF221" i="27"/>
  <c r="AO222" i="27"/>
  <c r="AP222" i="27"/>
  <c r="AN223" i="27"/>
  <c r="AE222" i="27"/>
  <c r="AF222" i="27" s="1"/>
  <c r="S223" i="27"/>
  <c r="T223" i="27" s="1"/>
  <c r="AG222" i="27"/>
  <c r="AA223" i="27"/>
  <c r="U223" i="27"/>
  <c r="AB224" i="27"/>
  <c r="AD223" i="27"/>
  <c r="AC223" i="27"/>
  <c r="I224" i="27"/>
  <c r="AT208" i="27"/>
  <c r="H204" i="30" s="1"/>
  <c r="Q224" i="27"/>
  <c r="R224" i="27"/>
  <c r="BJ209" i="27"/>
  <c r="BK209" i="27" s="1"/>
  <c r="BA211" i="27"/>
  <c r="BE212" i="27"/>
  <c r="F208" i="30"/>
  <c r="BB211" i="27"/>
  <c r="BC211" i="27"/>
  <c r="BL211" i="27" s="1"/>
  <c r="E207" i="30"/>
  <c r="B217" i="30"/>
  <c r="AX210" i="27"/>
  <c r="AZ212" i="27"/>
  <c r="AY211" i="27"/>
  <c r="BI210" i="27"/>
  <c r="BH210" i="27"/>
  <c r="BD211" i="27"/>
  <c r="BG211" i="27" s="1"/>
  <c r="AU214" i="27"/>
  <c r="D209" i="30"/>
  <c r="I209" i="30" s="1"/>
  <c r="AE223" i="27" l="1"/>
  <c r="AF223" i="27" s="1"/>
  <c r="G218" i="30"/>
  <c r="BF222" i="27"/>
  <c r="AS223" i="27"/>
  <c r="AM224" i="27"/>
  <c r="AO223" i="27"/>
  <c r="AP223" i="27"/>
  <c r="AN224" i="27"/>
  <c r="AQ222" i="27"/>
  <c r="AR222" i="27" s="1"/>
  <c r="AA224" i="27"/>
  <c r="AG223" i="27"/>
  <c r="U224" i="27"/>
  <c r="AC224" i="27"/>
  <c r="AD224" i="27"/>
  <c r="AB225" i="27"/>
  <c r="AX211" i="27"/>
  <c r="AT209" i="27"/>
  <c r="H205" i="30" s="1"/>
  <c r="Q225" i="27"/>
  <c r="R225" i="27"/>
  <c r="I225" i="27"/>
  <c r="S224" i="27"/>
  <c r="T224" i="27" s="1"/>
  <c r="BE213" i="27"/>
  <c r="F209" i="30"/>
  <c r="BC212" i="27"/>
  <c r="BL212" i="27" s="1"/>
  <c r="BB212" i="27"/>
  <c r="E208" i="30"/>
  <c r="B218" i="30"/>
  <c r="BJ210" i="27"/>
  <c r="BK210" i="27" s="1"/>
  <c r="AZ213" i="27"/>
  <c r="BA212" i="27"/>
  <c r="AY212" i="27"/>
  <c r="BI211" i="27"/>
  <c r="BH211" i="27"/>
  <c r="BD212" i="27"/>
  <c r="BG212" i="27" s="1"/>
  <c r="D210" i="30"/>
  <c r="I210" i="30" s="1"/>
  <c r="AU215" i="27"/>
  <c r="AM225" i="27" l="1"/>
  <c r="AS224" i="27"/>
  <c r="G219" i="30"/>
  <c r="BF223" i="27"/>
  <c r="AP224" i="27"/>
  <c r="AN225" i="27"/>
  <c r="AO224" i="27"/>
  <c r="AQ223" i="27"/>
  <c r="AR223" i="27" s="1"/>
  <c r="AG224" i="27"/>
  <c r="AA225" i="27"/>
  <c r="AE224" i="27"/>
  <c r="AF224" i="27" s="1"/>
  <c r="U225" i="27"/>
  <c r="AD225" i="27"/>
  <c r="AB226" i="27"/>
  <c r="AC225" i="27"/>
  <c r="I226" i="27"/>
  <c r="AT210" i="27"/>
  <c r="H206" i="30" s="1"/>
  <c r="R226" i="27"/>
  <c r="Q226" i="27"/>
  <c r="S225" i="27"/>
  <c r="T225" i="27" s="1"/>
  <c r="AX212" i="27"/>
  <c r="BE214" i="27"/>
  <c r="F210" i="30"/>
  <c r="BB213" i="27"/>
  <c r="BC213" i="27"/>
  <c r="BL213" i="27" s="1"/>
  <c r="E209" i="30"/>
  <c r="B219" i="30"/>
  <c r="AZ214" i="27"/>
  <c r="AY213" i="27"/>
  <c r="BA213" i="27"/>
  <c r="BJ211" i="27"/>
  <c r="BK211" i="27" s="1"/>
  <c r="BI212" i="27"/>
  <c r="BH212" i="27"/>
  <c r="BD213" i="27"/>
  <c r="BG213" i="27" s="1"/>
  <c r="AU216" i="27"/>
  <c r="D211" i="30"/>
  <c r="I211" i="30" s="1"/>
  <c r="AQ224" i="27" l="1"/>
  <c r="AR224" i="27" s="1"/>
  <c r="AE225" i="27"/>
  <c r="AF225" i="27" s="1"/>
  <c r="G220" i="30"/>
  <c r="BF224" i="27"/>
  <c r="AM226" i="27"/>
  <c r="AS225" i="27"/>
  <c r="S226" i="27"/>
  <c r="T226" i="27" s="1"/>
  <c r="AO225" i="27"/>
  <c r="AP225" i="27"/>
  <c r="AN226" i="27"/>
  <c r="AG225" i="27"/>
  <c r="AA226" i="27"/>
  <c r="U226" i="27"/>
  <c r="AB227" i="27"/>
  <c r="AD226" i="27"/>
  <c r="AC226" i="27"/>
  <c r="R227" i="27"/>
  <c r="Q227" i="27"/>
  <c r="AT211" i="27"/>
  <c r="H207" i="30" s="1"/>
  <c r="I227" i="27"/>
  <c r="BJ212" i="27"/>
  <c r="BK212" i="27" s="1"/>
  <c r="AX213" i="27"/>
  <c r="BE215" i="27"/>
  <c r="F211" i="30"/>
  <c r="BB214" i="27"/>
  <c r="BC214" i="27"/>
  <c r="BL214" i="27" s="1"/>
  <c r="E210" i="30"/>
  <c r="B220" i="30"/>
  <c r="AZ215" i="27"/>
  <c r="AY214" i="27"/>
  <c r="BD214" i="27"/>
  <c r="BG214" i="27" s="1"/>
  <c r="BI213" i="27"/>
  <c r="BH213" i="27"/>
  <c r="D212" i="30"/>
  <c r="I212" i="30" s="1"/>
  <c r="AU217" i="27"/>
  <c r="BA214" i="27"/>
  <c r="AE226" i="27" l="1"/>
  <c r="AF226" i="27" s="1"/>
  <c r="BF225" i="27"/>
  <c r="G221" i="30"/>
  <c r="AM227" i="27"/>
  <c r="AS226" i="27"/>
  <c r="S227" i="27"/>
  <c r="T227" i="27" s="1"/>
  <c r="AP226" i="27"/>
  <c r="AO226" i="27"/>
  <c r="AN227" i="27"/>
  <c r="AQ225" i="27"/>
  <c r="AR225" i="27" s="1"/>
  <c r="AA227" i="27"/>
  <c r="AG226" i="27"/>
  <c r="U227" i="27"/>
  <c r="AC227" i="27"/>
  <c r="AD227" i="27"/>
  <c r="AB228" i="27"/>
  <c r="R228" i="27"/>
  <c r="Q228" i="27"/>
  <c r="I228" i="27"/>
  <c r="AT212" i="27"/>
  <c r="H208" i="30" s="1"/>
  <c r="BJ213" i="27"/>
  <c r="BK213" i="27" s="1"/>
  <c r="BA215" i="27"/>
  <c r="BE216" i="27"/>
  <c r="F212" i="30"/>
  <c r="BB215" i="27"/>
  <c r="BC215" i="27"/>
  <c r="BL215" i="27" s="1"/>
  <c r="E211" i="30"/>
  <c r="B221" i="30"/>
  <c r="AY215" i="27"/>
  <c r="AZ216" i="27"/>
  <c r="BD215" i="27"/>
  <c r="BG215" i="27" s="1"/>
  <c r="D213" i="30"/>
  <c r="I213" i="30" s="1"/>
  <c r="AU218" i="27"/>
  <c r="BI214" i="27"/>
  <c r="BH214" i="27"/>
  <c r="AX214" i="27"/>
  <c r="S228" i="27" l="1"/>
  <c r="T228" i="27" s="1"/>
  <c r="AQ226" i="27"/>
  <c r="AR226" i="27" s="1"/>
  <c r="BF226" i="27"/>
  <c r="G222" i="30"/>
  <c r="AS227" i="27"/>
  <c r="AM228" i="27"/>
  <c r="AO227" i="27"/>
  <c r="AP227" i="27"/>
  <c r="AN228" i="27"/>
  <c r="AA228" i="27"/>
  <c r="AG227" i="27"/>
  <c r="U228" i="27"/>
  <c r="AB229" i="27"/>
  <c r="AC228" i="27"/>
  <c r="AD228" i="27"/>
  <c r="AE227" i="27"/>
  <c r="AF227" i="27" s="1"/>
  <c r="R229" i="27"/>
  <c r="Q229" i="27"/>
  <c r="I229" i="27"/>
  <c r="AT213" i="27"/>
  <c r="H209" i="30" s="1"/>
  <c r="AX215" i="27"/>
  <c r="BE217" i="27"/>
  <c r="F213" i="30"/>
  <c r="BB216" i="27"/>
  <c r="BC216" i="27"/>
  <c r="E212" i="30"/>
  <c r="B222" i="30"/>
  <c r="AZ217" i="27"/>
  <c r="BA216" i="27"/>
  <c r="BJ214" i="27"/>
  <c r="BK214" i="27" s="1"/>
  <c r="AU219" i="27"/>
  <c r="BD216" i="27"/>
  <c r="BG216" i="27" s="1"/>
  <c r="D214" i="30"/>
  <c r="I214" i="30" s="1"/>
  <c r="BI215" i="27"/>
  <c r="BH215" i="27"/>
  <c r="AY216" i="27"/>
  <c r="S229" i="27" l="1"/>
  <c r="T229" i="27" s="1"/>
  <c r="BF227" i="27"/>
  <c r="G223" i="30"/>
  <c r="AM229" i="27"/>
  <c r="AS228" i="27"/>
  <c r="AN229" i="27"/>
  <c r="AO228" i="27"/>
  <c r="AP228" i="27"/>
  <c r="AQ227" i="27"/>
  <c r="AR227" i="27" s="1"/>
  <c r="AA229" i="27"/>
  <c r="AG228" i="27"/>
  <c r="U229" i="27"/>
  <c r="AE228" i="27"/>
  <c r="AF228" i="27" s="1"/>
  <c r="AD229" i="27"/>
  <c r="AB230" i="27"/>
  <c r="AC229" i="27"/>
  <c r="Q230" i="27"/>
  <c r="R230" i="27"/>
  <c r="AT214" i="27"/>
  <c r="H210" i="30" s="1"/>
  <c r="I230" i="27"/>
  <c r="BL216" i="27"/>
  <c r="AY217" i="27"/>
  <c r="BE218" i="27"/>
  <c r="F214" i="30"/>
  <c r="B223" i="30"/>
  <c r="AX216" i="27"/>
  <c r="BB217" i="27"/>
  <c r="BC217" i="27"/>
  <c r="BL217" i="27" s="1"/>
  <c r="E213" i="30"/>
  <c r="BJ215" i="27"/>
  <c r="BK215" i="27" s="1"/>
  <c r="BI216" i="27"/>
  <c r="BH216" i="27"/>
  <c r="D215" i="30"/>
  <c r="I215" i="30" s="1"/>
  <c r="BD217" i="27"/>
  <c r="BG217" i="27" s="1"/>
  <c r="AZ218" i="27"/>
  <c r="BA217" i="27"/>
  <c r="AU220" i="27"/>
  <c r="AE229" i="27" l="1"/>
  <c r="AF229" i="27" s="1"/>
  <c r="BF228" i="27"/>
  <c r="G224" i="30"/>
  <c r="AM230" i="27"/>
  <c r="AS229" i="27"/>
  <c r="AQ228" i="27"/>
  <c r="AR228" i="27" s="1"/>
  <c r="AP229" i="27"/>
  <c r="AO229" i="27"/>
  <c r="AN230" i="27"/>
  <c r="AA230" i="27"/>
  <c r="AG229" i="27"/>
  <c r="U230" i="27"/>
  <c r="AB231" i="27"/>
  <c r="AC230" i="27"/>
  <c r="AD230" i="27"/>
  <c r="AT215" i="27"/>
  <c r="H211" i="30" s="1"/>
  <c r="Q231" i="27"/>
  <c r="R231" i="27"/>
  <c r="I231" i="27"/>
  <c r="S230" i="27"/>
  <c r="T230" i="27" s="1"/>
  <c r="AX217" i="27"/>
  <c r="BA218" i="27"/>
  <c r="BE219" i="27"/>
  <c r="F215" i="30"/>
  <c r="BC218" i="27"/>
  <c r="BB218" i="27"/>
  <c r="E214" i="30"/>
  <c r="B224" i="30"/>
  <c r="BJ216" i="27"/>
  <c r="BK216" i="27" s="1"/>
  <c r="AZ219" i="27"/>
  <c r="AU221" i="27"/>
  <c r="D216" i="30"/>
  <c r="I216" i="30" s="1"/>
  <c r="AY218" i="27"/>
  <c r="BH217" i="27"/>
  <c r="BI217" i="27"/>
  <c r="BD218" i="27"/>
  <c r="BG218" i="27" s="1"/>
  <c r="AQ229" i="27" l="1"/>
  <c r="AR229" i="27" s="1"/>
  <c r="AS230" i="27"/>
  <c r="AM231" i="27"/>
  <c r="G225" i="30"/>
  <c r="BF229" i="27"/>
  <c r="AO230" i="27"/>
  <c r="AN231" i="27"/>
  <c r="AP230" i="27"/>
  <c r="AG230" i="27"/>
  <c r="AA231" i="27"/>
  <c r="AX218" i="27"/>
  <c r="U231" i="27"/>
  <c r="AE230" i="27"/>
  <c r="AF230" i="27" s="1"/>
  <c r="AB232" i="27"/>
  <c r="AD231" i="27"/>
  <c r="AC231" i="27"/>
  <c r="S231" i="27"/>
  <c r="T231" i="27" s="1"/>
  <c r="Q232" i="27"/>
  <c r="R232" i="27"/>
  <c r="AT216" i="27"/>
  <c r="H212" i="30" s="1"/>
  <c r="I232" i="27"/>
  <c r="BL218" i="27"/>
  <c r="BE220" i="27"/>
  <c r="F216" i="30"/>
  <c r="BB219" i="27"/>
  <c r="BC219" i="27"/>
  <c r="BL219" i="27" s="1"/>
  <c r="E215" i="30"/>
  <c r="B225" i="30"/>
  <c r="BA219" i="27"/>
  <c r="BD219" i="27"/>
  <c r="BG219" i="27" s="1"/>
  <c r="BJ217" i="27"/>
  <c r="BK217" i="27" s="1"/>
  <c r="AU222" i="27"/>
  <c r="D217" i="30"/>
  <c r="I217" i="30" s="1"/>
  <c r="AZ220" i="27"/>
  <c r="BI218" i="27"/>
  <c r="BH218" i="27"/>
  <c r="AZ221" i="27"/>
  <c r="AY219" i="27"/>
  <c r="AM232" i="27" l="1"/>
  <c r="AS231" i="27"/>
  <c r="G226" i="30"/>
  <c r="BF230" i="27"/>
  <c r="AN232" i="27"/>
  <c r="AP231" i="27"/>
  <c r="AO231" i="27"/>
  <c r="AQ230" i="27"/>
  <c r="AR230" i="27" s="1"/>
  <c r="AE231" i="27"/>
  <c r="AF231" i="27" s="1"/>
  <c r="AA232" i="27"/>
  <c r="AG231" i="27"/>
  <c r="U232" i="27"/>
  <c r="AC232" i="27"/>
  <c r="AB233" i="27"/>
  <c r="AD232" i="27"/>
  <c r="Q233" i="27"/>
  <c r="R233" i="27"/>
  <c r="I233" i="27"/>
  <c r="AT217" i="27"/>
  <c r="H213" i="30" s="1"/>
  <c r="S232" i="27"/>
  <c r="T232" i="27" s="1"/>
  <c r="AX219" i="27"/>
  <c r="BE221" i="27"/>
  <c r="F217" i="30"/>
  <c r="B226" i="30"/>
  <c r="BC220" i="27"/>
  <c r="BL220" i="27" s="1"/>
  <c r="BB220" i="27"/>
  <c r="E216" i="30"/>
  <c r="AY220" i="27"/>
  <c r="BJ218" i="27"/>
  <c r="BK218" i="27" s="1"/>
  <c r="AU223" i="27"/>
  <c r="D218" i="30"/>
  <c r="I218" i="30" s="1"/>
  <c r="BD220" i="27"/>
  <c r="BG220" i="27" s="1"/>
  <c r="BA220" i="27"/>
  <c r="BH219" i="27"/>
  <c r="BI219" i="27"/>
  <c r="AQ231" i="27" l="1"/>
  <c r="AR231" i="27" s="1"/>
  <c r="G227" i="30"/>
  <c r="BF231" i="27"/>
  <c r="AM233" i="27"/>
  <c r="AS232" i="27"/>
  <c r="AP232" i="27"/>
  <c r="AN233" i="27"/>
  <c r="AO232" i="27"/>
  <c r="AA233" i="27"/>
  <c r="AG232" i="27"/>
  <c r="U233" i="27"/>
  <c r="AC233" i="27"/>
  <c r="AD233" i="27"/>
  <c r="AB234" i="27"/>
  <c r="AE232" i="27"/>
  <c r="AF232" i="27" s="1"/>
  <c r="I234" i="27"/>
  <c r="AT218" i="27"/>
  <c r="H214" i="30" s="1"/>
  <c r="S233" i="27"/>
  <c r="T233" i="27" s="1"/>
  <c r="Q234" i="27"/>
  <c r="R234" i="27"/>
  <c r="BE222" i="27"/>
  <c r="F218" i="30"/>
  <c r="BB221" i="27"/>
  <c r="BC221" i="27"/>
  <c r="BL221" i="27" s="1"/>
  <c r="E217" i="30"/>
  <c r="B227" i="30"/>
  <c r="BA221" i="27"/>
  <c r="AZ222" i="27"/>
  <c r="AX220" i="27"/>
  <c r="BD221" i="27"/>
  <c r="BG221" i="27" s="1"/>
  <c r="BI220" i="27"/>
  <c r="BH220" i="27"/>
  <c r="D219" i="30"/>
  <c r="I219" i="30" s="1"/>
  <c r="BJ219" i="27"/>
  <c r="BK219" i="27" s="1"/>
  <c r="AY221" i="27"/>
  <c r="AU224" i="27"/>
  <c r="AQ232" i="27" l="1"/>
  <c r="AR232" i="27" s="1"/>
  <c r="AS233" i="27"/>
  <c r="AM234" i="27"/>
  <c r="BF232" i="27"/>
  <c r="G228" i="30"/>
  <c r="AN234" i="27"/>
  <c r="AP233" i="27"/>
  <c r="AO233" i="27"/>
  <c r="AG233" i="27"/>
  <c r="AA234" i="27"/>
  <c r="U234" i="27"/>
  <c r="AC234" i="27"/>
  <c r="AD234" i="27"/>
  <c r="AB235" i="27"/>
  <c r="AE233" i="27"/>
  <c r="AF233" i="27" s="1"/>
  <c r="I235" i="27"/>
  <c r="R235" i="27"/>
  <c r="Q235" i="27"/>
  <c r="S234" i="27"/>
  <c r="T234" i="27" s="1"/>
  <c r="AT219" i="27"/>
  <c r="H215" i="30" s="1"/>
  <c r="AX221" i="27"/>
  <c r="BE223" i="27"/>
  <c r="F219" i="30"/>
  <c r="AZ223" i="27"/>
  <c r="BC222" i="27"/>
  <c r="BL222" i="27" s="1"/>
  <c r="BB222" i="27"/>
  <c r="E218" i="30"/>
  <c r="B228" i="30"/>
  <c r="BJ220" i="27"/>
  <c r="BK220" i="27" s="1"/>
  <c r="BA222" i="27"/>
  <c r="D220" i="30"/>
  <c r="I220" i="30" s="1"/>
  <c r="BD222" i="27"/>
  <c r="BG222" i="27" s="1"/>
  <c r="AU225" i="27"/>
  <c r="BI221" i="27"/>
  <c r="BH221" i="27"/>
  <c r="AY222" i="27"/>
  <c r="AQ233" i="27" l="1"/>
  <c r="AR233" i="27" s="1"/>
  <c r="AS234" i="27"/>
  <c r="AM235" i="27"/>
  <c r="G229" i="30"/>
  <c r="BF233" i="27"/>
  <c r="AN235" i="27"/>
  <c r="AP234" i="27"/>
  <c r="AO234" i="27"/>
  <c r="AG234" i="27"/>
  <c r="AA235" i="27"/>
  <c r="S235" i="27"/>
  <c r="T235" i="27" s="1"/>
  <c r="U235" i="27"/>
  <c r="AD235" i="27"/>
  <c r="AC235" i="27"/>
  <c r="AB236" i="27"/>
  <c r="AE234" i="27"/>
  <c r="AF234" i="27" s="1"/>
  <c r="R236" i="27"/>
  <c r="Q236" i="27"/>
  <c r="I236" i="27"/>
  <c r="AT220" i="27"/>
  <c r="H216" i="30" s="1"/>
  <c r="BJ221" i="27"/>
  <c r="BK221" i="27" s="1"/>
  <c r="BA223" i="27"/>
  <c r="AX222" i="27"/>
  <c r="BE224" i="27"/>
  <c r="F220" i="30"/>
  <c r="B229" i="30"/>
  <c r="BB223" i="27"/>
  <c r="BC223" i="27"/>
  <c r="BL223" i="27" s="1"/>
  <c r="E219" i="30"/>
  <c r="AZ224" i="27"/>
  <c r="AY223" i="27"/>
  <c r="BD223" i="27"/>
  <c r="BG223" i="27" s="1"/>
  <c r="BH222" i="27"/>
  <c r="BI222" i="27"/>
  <c r="AU226" i="27"/>
  <c r="D221" i="30"/>
  <c r="I221" i="30" s="1"/>
  <c r="AX223" i="27" l="1"/>
  <c r="AQ234" i="27"/>
  <c r="AR234" i="27" s="1"/>
  <c r="AM236" i="27"/>
  <c r="AS235" i="27"/>
  <c r="BF234" i="27"/>
  <c r="G230" i="30"/>
  <c r="AP235" i="27"/>
  <c r="AO235" i="27"/>
  <c r="AN236" i="27"/>
  <c r="AG235" i="27"/>
  <c r="AA236" i="27"/>
  <c r="AE235" i="27"/>
  <c r="AF235" i="27" s="1"/>
  <c r="U236" i="27"/>
  <c r="AD236" i="27"/>
  <c r="AB237" i="27"/>
  <c r="AC236" i="27"/>
  <c r="S236" i="27"/>
  <c r="T236" i="27" s="1"/>
  <c r="AT221" i="27"/>
  <c r="H217" i="30" s="1"/>
  <c r="Q237" i="27"/>
  <c r="R237" i="27"/>
  <c r="I237" i="27"/>
  <c r="BE225" i="27"/>
  <c r="F221" i="30"/>
  <c r="BC224" i="27"/>
  <c r="BB224" i="27"/>
  <c r="E220" i="30"/>
  <c r="B230" i="30"/>
  <c r="BA224" i="27"/>
  <c r="BJ222" i="27"/>
  <c r="BK222" i="27" s="1"/>
  <c r="AY224" i="27"/>
  <c r="D222" i="30"/>
  <c r="I222" i="30" s="1"/>
  <c r="AU227" i="27"/>
  <c r="BI223" i="27"/>
  <c r="BH223" i="27"/>
  <c r="BD224" i="27"/>
  <c r="BG224" i="27" s="1"/>
  <c r="AZ225" i="27"/>
  <c r="AE236" i="27" l="1"/>
  <c r="AF236" i="27" s="1"/>
  <c r="AQ235" i="27"/>
  <c r="AR235" i="27" s="1"/>
  <c r="AS236" i="27"/>
  <c r="AM237" i="27"/>
  <c r="BF235" i="27"/>
  <c r="G231" i="30"/>
  <c r="AN237" i="27"/>
  <c r="AO236" i="27"/>
  <c r="AP236" i="27"/>
  <c r="AG236" i="27"/>
  <c r="AA237" i="27"/>
  <c r="U237" i="27"/>
  <c r="AD237" i="27"/>
  <c r="AB238" i="27"/>
  <c r="AC237" i="27"/>
  <c r="AT222" i="27"/>
  <c r="H218" i="30" s="1"/>
  <c r="S237" i="27"/>
  <c r="T237" i="27" s="1"/>
  <c r="Q238" i="27"/>
  <c r="R238" i="27"/>
  <c r="I238" i="27"/>
  <c r="BL224" i="27"/>
  <c r="AX224" i="27"/>
  <c r="BA225" i="27"/>
  <c r="BE226" i="27"/>
  <c r="F222" i="30"/>
  <c r="B231" i="30"/>
  <c r="BC225" i="27"/>
  <c r="BB225" i="27"/>
  <c r="E221" i="30"/>
  <c r="BJ223" i="27"/>
  <c r="BK223" i="27" s="1"/>
  <c r="AU228" i="27"/>
  <c r="D223" i="30"/>
  <c r="I223" i="30" s="1"/>
  <c r="AY225" i="27"/>
  <c r="BI224" i="27"/>
  <c r="BH224" i="27"/>
  <c r="BD225" i="27"/>
  <c r="BG225" i="27" s="1"/>
  <c r="AZ226" i="27"/>
  <c r="AS237" i="27" l="1"/>
  <c r="AM238" i="27"/>
  <c r="G232" i="30"/>
  <c r="BF236" i="27"/>
  <c r="AE237" i="27"/>
  <c r="AF237" i="27" s="1"/>
  <c r="AQ236" i="27"/>
  <c r="AR236" i="27" s="1"/>
  <c r="AO237" i="27"/>
  <c r="AP237" i="27"/>
  <c r="AN238" i="27"/>
  <c r="AA238" i="27"/>
  <c r="AG237" i="27"/>
  <c r="U238" i="27"/>
  <c r="AC238" i="27"/>
  <c r="AD238" i="27"/>
  <c r="AB239" i="27"/>
  <c r="AX225" i="27"/>
  <c r="S238" i="27"/>
  <c r="T238" i="27" s="1"/>
  <c r="AT223" i="27"/>
  <c r="H219" i="30" s="1"/>
  <c r="I239" i="27"/>
  <c r="R239" i="27"/>
  <c r="Q239" i="27"/>
  <c r="BL225" i="27"/>
  <c r="BE227" i="27"/>
  <c r="F223" i="30"/>
  <c r="BC226" i="27"/>
  <c r="BB226" i="27"/>
  <c r="E222" i="30"/>
  <c r="B232" i="30"/>
  <c r="AZ227" i="27"/>
  <c r="BJ224" i="27"/>
  <c r="BK224" i="27" s="1"/>
  <c r="AY227" i="27"/>
  <c r="BA226" i="27"/>
  <c r="D224" i="30"/>
  <c r="I224" i="30" s="1"/>
  <c r="BI225" i="27"/>
  <c r="BH225" i="27"/>
  <c r="AY226" i="27"/>
  <c r="AU229" i="27"/>
  <c r="BD226" i="27"/>
  <c r="BG226" i="27" s="1"/>
  <c r="AS238" i="27" l="1"/>
  <c r="AM239" i="27"/>
  <c r="G233" i="30"/>
  <c r="BF237" i="27"/>
  <c r="S239" i="27"/>
  <c r="T239" i="27" s="1"/>
  <c r="AN239" i="27"/>
  <c r="AO238" i="27"/>
  <c r="AP238" i="27"/>
  <c r="AQ237" i="27"/>
  <c r="AR237" i="27" s="1"/>
  <c r="AG238" i="27"/>
  <c r="AA239" i="27"/>
  <c r="U239" i="27"/>
  <c r="AD239" i="27"/>
  <c r="AC239" i="27"/>
  <c r="AB240" i="27"/>
  <c r="AE238" i="27"/>
  <c r="AF238" i="27" s="1"/>
  <c r="I240" i="27"/>
  <c r="AT224" i="27"/>
  <c r="H220" i="30" s="1"/>
  <c r="Q240" i="27"/>
  <c r="R240" i="27"/>
  <c r="BL226" i="27"/>
  <c r="AX226" i="27"/>
  <c r="BE228" i="27"/>
  <c r="F224" i="30"/>
  <c r="BB227" i="27"/>
  <c r="BC227" i="27"/>
  <c r="E223" i="30"/>
  <c r="B233" i="30"/>
  <c r="AZ228" i="27"/>
  <c r="BA227" i="27"/>
  <c r="AX227" i="27" s="1"/>
  <c r="BJ225" i="27"/>
  <c r="BK225" i="27" s="1"/>
  <c r="D225" i="30"/>
  <c r="I225" i="30" s="1"/>
  <c r="BI226" i="27"/>
  <c r="BH226" i="27"/>
  <c r="BD227" i="27"/>
  <c r="BG227" i="27" s="1"/>
  <c r="AU230" i="27"/>
  <c r="AE239" i="27" l="1"/>
  <c r="AF239" i="27" s="1"/>
  <c r="AS239" i="27"/>
  <c r="AM240" i="27"/>
  <c r="G234" i="30"/>
  <c r="BF238" i="27"/>
  <c r="AQ238" i="27"/>
  <c r="AR238" i="27" s="1"/>
  <c r="AP239" i="27"/>
  <c r="AN240" i="27"/>
  <c r="AO239" i="27"/>
  <c r="AA240" i="27"/>
  <c r="AG239" i="27"/>
  <c r="U240" i="27"/>
  <c r="AB241" i="27"/>
  <c r="AD240" i="27"/>
  <c r="AC240" i="27"/>
  <c r="AT225" i="27"/>
  <c r="H221" i="30" s="1"/>
  <c r="S240" i="27"/>
  <c r="T240" i="27" s="1"/>
  <c r="R241" i="27"/>
  <c r="Q241" i="27"/>
  <c r="I241" i="27"/>
  <c r="BL227" i="27"/>
  <c r="BE229" i="27"/>
  <c r="F225" i="30"/>
  <c r="BB228" i="27"/>
  <c r="BC228" i="27"/>
  <c r="E224" i="30"/>
  <c r="B234" i="30"/>
  <c r="AY228" i="27"/>
  <c r="BJ226" i="27"/>
  <c r="BK226" i="27" s="1"/>
  <c r="BA228" i="27"/>
  <c r="AU231" i="27"/>
  <c r="D226" i="30"/>
  <c r="I226" i="30" s="1"/>
  <c r="BH227" i="27"/>
  <c r="BI227" i="27"/>
  <c r="AZ229" i="27"/>
  <c r="BD228" i="27"/>
  <c r="BG228" i="27" s="1"/>
  <c r="AE240" i="27" l="1"/>
  <c r="AF240" i="27" s="1"/>
  <c r="AQ239" i="27"/>
  <c r="AR239" i="27" s="1"/>
  <c r="AM241" i="27"/>
  <c r="AS240" i="27"/>
  <c r="BF239" i="27"/>
  <c r="G235" i="30"/>
  <c r="AP240" i="27"/>
  <c r="AN241" i="27"/>
  <c r="AO240" i="27"/>
  <c r="AG240" i="27"/>
  <c r="AA241" i="27"/>
  <c r="U241" i="27"/>
  <c r="AD241" i="27"/>
  <c r="AC241" i="27"/>
  <c r="AB242" i="27"/>
  <c r="S241" i="27"/>
  <c r="T241" i="27" s="1"/>
  <c r="Q242" i="27"/>
  <c r="R242" i="27"/>
  <c r="AT226" i="27"/>
  <c r="H222" i="30" s="1"/>
  <c r="I242" i="27"/>
  <c r="BL228" i="27"/>
  <c r="AX228" i="27"/>
  <c r="BE230" i="27"/>
  <c r="F226" i="30"/>
  <c r="B235" i="30"/>
  <c r="BB229" i="27"/>
  <c r="BC229" i="27"/>
  <c r="E225" i="30"/>
  <c r="BA229" i="27"/>
  <c r="AZ230" i="27"/>
  <c r="BD229" i="27"/>
  <c r="BG229" i="27" s="1"/>
  <c r="BJ227" i="27"/>
  <c r="BK227" i="27" s="1"/>
  <c r="AY229" i="27"/>
  <c r="AU232" i="27"/>
  <c r="BI228" i="27"/>
  <c r="BH228" i="27"/>
  <c r="D227" i="30"/>
  <c r="I227" i="30" s="1"/>
  <c r="BA230" i="27"/>
  <c r="AQ240" i="27" l="1"/>
  <c r="AR240" i="27" s="1"/>
  <c r="AM242" i="27"/>
  <c r="AS241" i="27"/>
  <c r="BF240" i="27"/>
  <c r="G236" i="30"/>
  <c r="AE241" i="27"/>
  <c r="AF241" i="27" s="1"/>
  <c r="AP241" i="27"/>
  <c r="AN242" i="27"/>
  <c r="AO241" i="27"/>
  <c r="AG241" i="27"/>
  <c r="AA242" i="27"/>
  <c r="U242" i="27"/>
  <c r="AC242" i="27"/>
  <c r="AB243" i="27"/>
  <c r="AD242" i="27"/>
  <c r="AT227" i="27"/>
  <c r="H223" i="30" s="1"/>
  <c r="Q243" i="27"/>
  <c r="R243" i="27"/>
  <c r="S242" i="27"/>
  <c r="T242" i="27" s="1"/>
  <c r="I243" i="27"/>
  <c r="BL229" i="27"/>
  <c r="AX229" i="27"/>
  <c r="BE231" i="27"/>
  <c r="F227" i="30"/>
  <c r="BB230" i="27"/>
  <c r="BC230" i="27"/>
  <c r="BL230" i="27" s="1"/>
  <c r="E226" i="30"/>
  <c r="B236" i="30"/>
  <c r="BJ228" i="27"/>
  <c r="BK228" i="27" s="1"/>
  <c r="AY230" i="27"/>
  <c r="AX230" i="27" s="1"/>
  <c r="D228" i="30"/>
  <c r="I228" i="30" s="1"/>
  <c r="AZ231" i="27"/>
  <c r="BD230" i="27"/>
  <c r="BG230" i="27" s="1"/>
  <c r="AU233" i="27"/>
  <c r="BI229" i="27"/>
  <c r="BH229" i="27"/>
  <c r="AQ241" i="27" l="1"/>
  <c r="AR241" i="27" s="1"/>
  <c r="AS242" i="27"/>
  <c r="AM243" i="27"/>
  <c r="BF241" i="27"/>
  <c r="G237" i="30"/>
  <c r="AP242" i="27"/>
  <c r="AO242" i="27"/>
  <c r="AN243" i="27"/>
  <c r="AG242" i="27"/>
  <c r="AA243" i="27"/>
  <c r="U243" i="27"/>
  <c r="AD243" i="27"/>
  <c r="AB244" i="27"/>
  <c r="AC243" i="27"/>
  <c r="AE242" i="27"/>
  <c r="AF242" i="27" s="1"/>
  <c r="S243" i="27"/>
  <c r="T243" i="27" s="1"/>
  <c r="AT228" i="27"/>
  <c r="H224" i="30" s="1"/>
  <c r="I244" i="27"/>
  <c r="Q244" i="27"/>
  <c r="R244" i="27"/>
  <c r="BE232" i="27"/>
  <c r="F228" i="30"/>
  <c r="BB231" i="27"/>
  <c r="BC231" i="27"/>
  <c r="E227" i="30"/>
  <c r="B237" i="30"/>
  <c r="BA231" i="27"/>
  <c r="AZ232" i="27"/>
  <c r="BJ229" i="27"/>
  <c r="BK229" i="27" s="1"/>
  <c r="AY231" i="27"/>
  <c r="BD231" i="27"/>
  <c r="BG231" i="27" s="1"/>
  <c r="AU234" i="27"/>
  <c r="BI230" i="27"/>
  <c r="BH230" i="27"/>
  <c r="D229" i="30"/>
  <c r="I229" i="30" s="1"/>
  <c r="AQ242" i="27" l="1"/>
  <c r="AR242" i="27" s="1"/>
  <c r="BF242" i="27"/>
  <c r="G238" i="30"/>
  <c r="AS243" i="27"/>
  <c r="AM244" i="27"/>
  <c r="AE243" i="27"/>
  <c r="AF243" i="27" s="1"/>
  <c r="AN244" i="27"/>
  <c r="AP243" i="27"/>
  <c r="AO243" i="27"/>
  <c r="AG243" i="27"/>
  <c r="AA244" i="27"/>
  <c r="U244" i="27"/>
  <c r="AC244" i="27"/>
  <c r="AB245" i="27"/>
  <c r="AD244" i="27"/>
  <c r="S244" i="27"/>
  <c r="T244" i="27" s="1"/>
  <c r="I245" i="27"/>
  <c r="AT229" i="27"/>
  <c r="H225" i="30" s="1"/>
  <c r="Q245" i="27"/>
  <c r="R245" i="27"/>
  <c r="BL231" i="27"/>
  <c r="AX231" i="27"/>
  <c r="AZ233" i="27"/>
  <c r="BE233" i="27"/>
  <c r="F229" i="30"/>
  <c r="BC232" i="27"/>
  <c r="BB232" i="27"/>
  <c r="E228" i="30"/>
  <c r="B238" i="30"/>
  <c r="BA232" i="27"/>
  <c r="BI231" i="27"/>
  <c r="BH231" i="27"/>
  <c r="BJ230" i="27"/>
  <c r="BK230" i="27" s="1"/>
  <c r="AU235" i="27"/>
  <c r="D230" i="30"/>
  <c r="I230" i="30" s="1"/>
  <c r="AY232" i="27"/>
  <c r="BD232" i="27"/>
  <c r="BG232" i="27" s="1"/>
  <c r="AQ243" i="27" l="1"/>
  <c r="AR243" i="27" s="1"/>
  <c r="G239" i="30"/>
  <c r="BF243" i="27"/>
  <c r="AM245" i="27"/>
  <c r="AS244" i="27"/>
  <c r="AN245" i="27"/>
  <c r="AO244" i="27"/>
  <c r="AP244" i="27"/>
  <c r="AG244" i="27"/>
  <c r="AA245" i="27"/>
  <c r="U245" i="27"/>
  <c r="AC245" i="27"/>
  <c r="AB246" i="27"/>
  <c r="AD245" i="27"/>
  <c r="AE244" i="27"/>
  <c r="AF244" i="27" s="1"/>
  <c r="I246" i="27"/>
  <c r="AT230" i="27"/>
  <c r="H226" i="30" s="1"/>
  <c r="Q246" i="27"/>
  <c r="R246" i="27"/>
  <c r="S245" i="27"/>
  <c r="T245" i="27" s="1"/>
  <c r="BL232" i="27"/>
  <c r="AZ234" i="27"/>
  <c r="BE234" i="27"/>
  <c r="F230" i="30"/>
  <c r="BB233" i="27"/>
  <c r="BC233" i="27"/>
  <c r="BL233" i="27" s="1"/>
  <c r="E229" i="30"/>
  <c r="B239" i="30"/>
  <c r="AX232" i="27"/>
  <c r="AY233" i="27"/>
  <c r="BA233" i="27"/>
  <c r="BJ231" i="27"/>
  <c r="BK231" i="27" s="1"/>
  <c r="D231" i="30"/>
  <c r="I231" i="30" s="1"/>
  <c r="BD233" i="27"/>
  <c r="BG233" i="27" s="1"/>
  <c r="AU236" i="27"/>
  <c r="BH232" i="27"/>
  <c r="BI232" i="27"/>
  <c r="BF244" i="27" l="1"/>
  <c r="G240" i="30"/>
  <c r="AM246" i="27"/>
  <c r="AS245" i="27"/>
  <c r="AQ244" i="27"/>
  <c r="AR244" i="27" s="1"/>
  <c r="AP245" i="27"/>
  <c r="AO245" i="27"/>
  <c r="AN246" i="27"/>
  <c r="AG245" i="27"/>
  <c r="AA246" i="27"/>
  <c r="U246" i="27"/>
  <c r="AD246" i="27"/>
  <c r="AC246" i="27"/>
  <c r="AB247" i="27"/>
  <c r="AE245" i="27"/>
  <c r="AF245" i="27" s="1"/>
  <c r="S246" i="27"/>
  <c r="T246" i="27" s="1"/>
  <c r="I247" i="27"/>
  <c r="AT231" i="27"/>
  <c r="H227" i="30" s="1"/>
  <c r="Q247" i="27"/>
  <c r="R247" i="27"/>
  <c r="BA234" i="27"/>
  <c r="AX233" i="27"/>
  <c r="BE235" i="27"/>
  <c r="F231" i="30"/>
  <c r="B240" i="30"/>
  <c r="BC234" i="27"/>
  <c r="BB234" i="27"/>
  <c r="E230" i="30"/>
  <c r="AY234" i="27"/>
  <c r="AZ235" i="27"/>
  <c r="AZ236" i="27"/>
  <c r="BD234" i="27"/>
  <c r="BG234" i="27" s="1"/>
  <c r="BJ232" i="27"/>
  <c r="BK232" i="27" s="1"/>
  <c r="BI233" i="27"/>
  <c r="BH233" i="27"/>
  <c r="D232" i="30"/>
  <c r="I232" i="30" s="1"/>
  <c r="AU237" i="27"/>
  <c r="AQ245" i="27" l="1"/>
  <c r="AR245" i="27" s="1"/>
  <c r="G241" i="30"/>
  <c r="BF245" i="27"/>
  <c r="AS246" i="27"/>
  <c r="AM247" i="27"/>
  <c r="AP246" i="27"/>
  <c r="AN247" i="27"/>
  <c r="AO246" i="27"/>
  <c r="AA247" i="27"/>
  <c r="AG246" i="27"/>
  <c r="AE246" i="27"/>
  <c r="AF246" i="27" s="1"/>
  <c r="U247" i="27"/>
  <c r="AB248" i="27"/>
  <c r="AC247" i="27"/>
  <c r="AD247" i="27"/>
  <c r="S247" i="27"/>
  <c r="T247" i="27" s="1"/>
  <c r="I248" i="27"/>
  <c r="AT232" i="27"/>
  <c r="H228" i="30" s="1"/>
  <c r="Q248" i="27"/>
  <c r="R248" i="27"/>
  <c r="BL234" i="27"/>
  <c r="AX234" i="27"/>
  <c r="BE236" i="27"/>
  <c r="F232" i="30"/>
  <c r="BC235" i="27"/>
  <c r="BL235" i="27" s="1"/>
  <c r="BB235" i="27"/>
  <c r="E231" i="30"/>
  <c r="B241" i="30"/>
  <c r="BJ233" i="27"/>
  <c r="BK233" i="27" s="1"/>
  <c r="BA235" i="27"/>
  <c r="BI234" i="27"/>
  <c r="BH234" i="27"/>
  <c r="BD235" i="27"/>
  <c r="BG235" i="27" s="1"/>
  <c r="AU238" i="27"/>
  <c r="D233" i="30"/>
  <c r="I233" i="30" s="1"/>
  <c r="AY235" i="27"/>
  <c r="AQ246" i="27" l="1"/>
  <c r="AR246" i="27" s="1"/>
  <c r="AS247" i="27"/>
  <c r="AM248" i="27"/>
  <c r="G242" i="30"/>
  <c r="BF246" i="27"/>
  <c r="AP247" i="27"/>
  <c r="AN248" i="27"/>
  <c r="AO247" i="27"/>
  <c r="AA248" i="27"/>
  <c r="AG247" i="27"/>
  <c r="S248" i="27"/>
  <c r="T248" i="27" s="1"/>
  <c r="U248" i="27"/>
  <c r="AE247" i="27"/>
  <c r="AF247" i="27" s="1"/>
  <c r="AC248" i="27"/>
  <c r="AD248" i="27"/>
  <c r="AB249" i="27"/>
  <c r="Q249" i="27"/>
  <c r="R249" i="27"/>
  <c r="I249" i="27"/>
  <c r="AT233" i="27"/>
  <c r="H229" i="30" s="1"/>
  <c r="BE237" i="27"/>
  <c r="F233" i="30"/>
  <c r="B242" i="30"/>
  <c r="AX235" i="27"/>
  <c r="BB236" i="27"/>
  <c r="BC236" i="27"/>
  <c r="BL236" i="27" s="1"/>
  <c r="E232" i="30"/>
  <c r="BA236" i="27"/>
  <c r="D234" i="30"/>
  <c r="I234" i="30" s="1"/>
  <c r="AY236" i="27"/>
  <c r="AZ238" i="27"/>
  <c r="BH235" i="27"/>
  <c r="BI235" i="27"/>
  <c r="AZ237" i="27"/>
  <c r="AU239" i="27"/>
  <c r="BJ234" i="27"/>
  <c r="BK234" i="27" s="1"/>
  <c r="BD236" i="27"/>
  <c r="BG236" i="27" s="1"/>
  <c r="AQ247" i="27" l="1"/>
  <c r="AR247" i="27" s="1"/>
  <c r="AS248" i="27"/>
  <c r="AM249" i="27"/>
  <c r="BF247" i="27"/>
  <c r="G243" i="30"/>
  <c r="AN249" i="27"/>
  <c r="AO248" i="27"/>
  <c r="AP248" i="27"/>
  <c r="AA249" i="27"/>
  <c r="AG248" i="27"/>
  <c r="U249" i="27"/>
  <c r="AD249" i="27"/>
  <c r="AB250" i="27"/>
  <c r="AC249" i="27"/>
  <c r="AE248" i="27"/>
  <c r="AF248" i="27" s="1"/>
  <c r="I250" i="27"/>
  <c r="Q250" i="27"/>
  <c r="R250" i="27"/>
  <c r="S249" i="27"/>
  <c r="T249" i="27" s="1"/>
  <c r="AT234" i="27"/>
  <c r="H230" i="30" s="1"/>
  <c r="AX236" i="27"/>
  <c r="BE238" i="27"/>
  <c r="F234" i="30"/>
  <c r="BC237" i="27"/>
  <c r="BB237" i="27"/>
  <c r="E233" i="30"/>
  <c r="B243" i="30"/>
  <c r="BA237" i="27"/>
  <c r="AU240" i="27"/>
  <c r="AY237" i="27"/>
  <c r="BJ235" i="27"/>
  <c r="BK235" i="27" s="1"/>
  <c r="BI236" i="27"/>
  <c r="BH236" i="27"/>
  <c r="BD237" i="27"/>
  <c r="BG237" i="27" s="1"/>
  <c r="D235" i="30"/>
  <c r="I235" i="30" s="1"/>
  <c r="BF248" i="27" l="1"/>
  <c r="G244" i="30"/>
  <c r="AM250" i="27"/>
  <c r="AS249" i="27"/>
  <c r="AE249" i="27"/>
  <c r="AF249" i="27" s="1"/>
  <c r="AQ248" i="27"/>
  <c r="AR248" i="27" s="1"/>
  <c r="AP249" i="27"/>
  <c r="AO249" i="27"/>
  <c r="AN250" i="27"/>
  <c r="AG249" i="27"/>
  <c r="AA250" i="27"/>
  <c r="U250" i="27"/>
  <c r="AD250" i="27"/>
  <c r="AC250" i="27"/>
  <c r="AB251" i="27"/>
  <c r="S250" i="27"/>
  <c r="T250" i="27" s="1"/>
  <c r="I251" i="27"/>
  <c r="AT235" i="27"/>
  <c r="H231" i="30" s="1"/>
  <c r="Q251" i="27"/>
  <c r="R251" i="27"/>
  <c r="BL237" i="27"/>
  <c r="AX237" i="27"/>
  <c r="BE239" i="27"/>
  <c r="F235" i="30"/>
  <c r="BC238" i="27"/>
  <c r="BB238" i="27"/>
  <c r="E234" i="30"/>
  <c r="B244" i="30"/>
  <c r="BA238" i="27"/>
  <c r="AZ239" i="27"/>
  <c r="AY238" i="27"/>
  <c r="BD238" i="27"/>
  <c r="BG238" i="27" s="1"/>
  <c r="AU241" i="27"/>
  <c r="BI237" i="27"/>
  <c r="BH237" i="27"/>
  <c r="D236" i="30"/>
  <c r="I236" i="30" s="1"/>
  <c r="BJ236" i="27"/>
  <c r="BK236" i="27" s="1"/>
  <c r="AE250" i="27" l="1"/>
  <c r="AF250" i="27" s="1"/>
  <c r="AQ249" i="27"/>
  <c r="AR249" i="27" s="1"/>
  <c r="BF249" i="27"/>
  <c r="G245" i="30"/>
  <c r="AM251" i="27"/>
  <c r="AS250" i="27"/>
  <c r="AN251" i="27"/>
  <c r="AO250" i="27"/>
  <c r="AP250" i="27"/>
  <c r="AG250" i="27"/>
  <c r="AA251" i="27"/>
  <c r="U251" i="27"/>
  <c r="AB252" i="27"/>
  <c r="AC251" i="27"/>
  <c r="AD251" i="27"/>
  <c r="I252" i="27"/>
  <c r="AT236" i="27"/>
  <c r="H232" i="30" s="1"/>
  <c r="Q252" i="27"/>
  <c r="R252" i="27"/>
  <c r="S251" i="27"/>
  <c r="T251" i="27" s="1"/>
  <c r="BA239" i="27"/>
  <c r="BL238" i="27"/>
  <c r="AX238" i="27"/>
  <c r="BE240" i="27"/>
  <c r="F236" i="30"/>
  <c r="BB239" i="27"/>
  <c r="BC239" i="27"/>
  <c r="BL239" i="27" s="1"/>
  <c r="E235" i="30"/>
  <c r="B245" i="30"/>
  <c r="BJ237" i="27"/>
  <c r="BK237" i="27" s="1"/>
  <c r="AY239" i="27"/>
  <c r="AU242" i="27"/>
  <c r="BD239" i="27"/>
  <c r="BG239" i="27" s="1"/>
  <c r="BH238" i="27"/>
  <c r="BI238" i="27"/>
  <c r="BA240" i="27"/>
  <c r="AZ240" i="27"/>
  <c r="D237" i="30"/>
  <c r="I237" i="30" s="1"/>
  <c r="AS251" i="27" l="1"/>
  <c r="AM252" i="27"/>
  <c r="BF250" i="27"/>
  <c r="G246" i="30"/>
  <c r="S252" i="27"/>
  <c r="T252" i="27" s="1"/>
  <c r="AQ250" i="27"/>
  <c r="AR250" i="27" s="1"/>
  <c r="AN252" i="27"/>
  <c r="AP251" i="27"/>
  <c r="AO251" i="27"/>
  <c r="AG251" i="27"/>
  <c r="AA252" i="27"/>
  <c r="U252" i="27"/>
  <c r="AE251" i="27"/>
  <c r="AF251" i="27" s="1"/>
  <c r="AD252" i="27"/>
  <c r="AC252" i="27"/>
  <c r="AB253" i="27"/>
  <c r="AX239" i="27"/>
  <c r="I253" i="27"/>
  <c r="AT237" i="27"/>
  <c r="H233" i="30" s="1"/>
  <c r="R253" i="27"/>
  <c r="Q253" i="27"/>
  <c r="BE241" i="27"/>
  <c r="F237" i="30"/>
  <c r="BC240" i="27"/>
  <c r="BB240" i="27"/>
  <c r="E236" i="30"/>
  <c r="B246" i="30"/>
  <c r="AY240" i="27"/>
  <c r="AX240" i="27" s="1"/>
  <c r="BJ238" i="27"/>
  <c r="BK238" i="27" s="1"/>
  <c r="AZ241" i="27"/>
  <c r="BH239" i="27"/>
  <c r="BI239" i="27"/>
  <c r="BD240" i="27"/>
  <c r="BG240" i="27" s="1"/>
  <c r="AU243" i="27"/>
  <c r="D238" i="30"/>
  <c r="I238" i="30" s="1"/>
  <c r="AE252" i="27" l="1"/>
  <c r="AF252" i="27" s="1"/>
  <c r="AM253" i="27"/>
  <c r="AS252" i="27"/>
  <c r="AQ251" i="27"/>
  <c r="AR251" i="27" s="1"/>
  <c r="G247" i="30"/>
  <c r="BF251" i="27"/>
  <c r="AN253" i="27"/>
  <c r="AO252" i="27"/>
  <c r="AP252" i="27"/>
  <c r="AA253" i="27"/>
  <c r="AG252" i="27"/>
  <c r="S253" i="27"/>
  <c r="T253" i="27" s="1"/>
  <c r="U253" i="27"/>
  <c r="AD253" i="27"/>
  <c r="AB254" i="27"/>
  <c r="AC253" i="27"/>
  <c r="I254" i="27"/>
  <c r="AT238" i="27"/>
  <c r="H234" i="30" s="1"/>
  <c r="Q254" i="27"/>
  <c r="R254" i="27"/>
  <c r="BL240" i="27"/>
  <c r="BE242" i="27"/>
  <c r="F238" i="30"/>
  <c r="BB241" i="27"/>
  <c r="BC241" i="27"/>
  <c r="E237" i="30"/>
  <c r="B247" i="30"/>
  <c r="BA241" i="27"/>
  <c r="AY241" i="27"/>
  <c r="AZ242" i="27"/>
  <c r="BI240" i="27"/>
  <c r="BH240" i="27"/>
  <c r="BJ239" i="27"/>
  <c r="BK239" i="27" s="1"/>
  <c r="D239" i="30"/>
  <c r="I239" i="30" s="1"/>
  <c r="AU244" i="27"/>
  <c r="BD241" i="27"/>
  <c r="BG241" i="27" s="1"/>
  <c r="AE253" i="27" l="1"/>
  <c r="AF253" i="27" s="1"/>
  <c r="BF252" i="27"/>
  <c r="G248" i="30"/>
  <c r="AS253" i="27"/>
  <c r="AM254" i="27"/>
  <c r="AQ252" i="27"/>
  <c r="AR252" i="27" s="1"/>
  <c r="AP253" i="27"/>
  <c r="AN254" i="27"/>
  <c r="AO253" i="27"/>
  <c r="AG253" i="27"/>
  <c r="AA254" i="27"/>
  <c r="BJ240" i="27"/>
  <c r="BK240" i="27" s="1"/>
  <c r="AT240" i="27" s="1"/>
  <c r="H236" i="30" s="1"/>
  <c r="U254" i="27"/>
  <c r="AB255" i="27"/>
  <c r="AC254" i="27"/>
  <c r="AD254" i="27"/>
  <c r="AT239" i="27"/>
  <c r="H235" i="30" s="1"/>
  <c r="S254" i="27"/>
  <c r="T254" i="27" s="1"/>
  <c r="Q255" i="27"/>
  <c r="R255" i="27"/>
  <c r="I255" i="27"/>
  <c r="BL241" i="27"/>
  <c r="AX241" i="27"/>
  <c r="BE243" i="27"/>
  <c r="F239" i="30"/>
  <c r="BC242" i="27"/>
  <c r="BL242" i="27" s="1"/>
  <c r="BB242" i="27"/>
  <c r="E238" i="30"/>
  <c r="B248" i="30"/>
  <c r="AZ243" i="27"/>
  <c r="D240" i="30"/>
  <c r="I240" i="30" s="1"/>
  <c r="BA242" i="27"/>
  <c r="AY242" i="27"/>
  <c r="AU245" i="27"/>
  <c r="BI241" i="27"/>
  <c r="BH241" i="27"/>
  <c r="BD242" i="27"/>
  <c r="BG242" i="27" s="1"/>
  <c r="AQ253" i="27" l="1"/>
  <c r="AR253" i="27" s="1"/>
  <c r="G249" i="30"/>
  <c r="BF253" i="27"/>
  <c r="AS254" i="27"/>
  <c r="AM255" i="27"/>
  <c r="AO254" i="27"/>
  <c r="AN255" i="27"/>
  <c r="AP254" i="27"/>
  <c r="AG254" i="27"/>
  <c r="AA255" i="27"/>
  <c r="U255" i="27"/>
  <c r="AE254" i="27"/>
  <c r="AF254" i="27" s="1"/>
  <c r="AC255" i="27"/>
  <c r="AB256" i="27"/>
  <c r="AD255" i="27"/>
  <c r="I256" i="27"/>
  <c r="R256" i="27"/>
  <c r="Q256" i="27"/>
  <c r="S255" i="27"/>
  <c r="T255" i="27" s="1"/>
  <c r="BE244" i="27"/>
  <c r="F240" i="30"/>
  <c r="B249" i="30"/>
  <c r="AX242" i="27"/>
  <c r="BB243" i="27"/>
  <c r="BC243" i="27"/>
  <c r="E239" i="30"/>
  <c r="AY243" i="27"/>
  <c r="AZ244" i="27"/>
  <c r="BA243" i="27"/>
  <c r="AU246" i="27"/>
  <c r="BD243" i="27"/>
  <c r="BG243" i="27" s="1"/>
  <c r="BI242" i="27"/>
  <c r="BH242" i="27"/>
  <c r="BJ241" i="27"/>
  <c r="BK241" i="27" s="1"/>
  <c r="D241" i="30"/>
  <c r="I241" i="30" s="1"/>
  <c r="AS255" i="27" l="1"/>
  <c r="AM256" i="27"/>
  <c r="G250" i="30"/>
  <c r="BF254" i="27"/>
  <c r="AP255" i="27"/>
  <c r="AO255" i="27"/>
  <c r="AN256" i="27"/>
  <c r="AQ254" i="27"/>
  <c r="AR254" i="27" s="1"/>
  <c r="AA256" i="27"/>
  <c r="AG255" i="27"/>
  <c r="S256" i="27"/>
  <c r="T256" i="27" s="1"/>
  <c r="U256" i="27"/>
  <c r="AB257" i="27"/>
  <c r="AD256" i="27"/>
  <c r="AC256" i="27"/>
  <c r="AE255" i="27"/>
  <c r="AF255" i="27" s="1"/>
  <c r="AT241" i="27"/>
  <c r="H237" i="30" s="1"/>
  <c r="I257" i="27"/>
  <c r="BL243" i="27"/>
  <c r="Q257" i="27"/>
  <c r="R257" i="27"/>
  <c r="AY244" i="27"/>
  <c r="AZ245" i="27"/>
  <c r="AX243" i="27"/>
  <c r="BE245" i="27"/>
  <c r="F241" i="30"/>
  <c r="BB244" i="27"/>
  <c r="BC244" i="27"/>
  <c r="BL244" i="27" s="1"/>
  <c r="E240" i="30"/>
  <c r="B250" i="30"/>
  <c r="BJ242" i="27"/>
  <c r="BK242" i="27" s="1"/>
  <c r="BI243" i="27"/>
  <c r="BH243" i="27"/>
  <c r="D242" i="30"/>
  <c r="I242" i="30" s="1"/>
  <c r="BD244" i="27"/>
  <c r="BG244" i="27" s="1"/>
  <c r="AU247" i="27"/>
  <c r="BA244" i="27"/>
  <c r="AQ255" i="27" l="1"/>
  <c r="AR255" i="27" s="1"/>
  <c r="AM257" i="27"/>
  <c r="AS256" i="27"/>
  <c r="BF255" i="27"/>
  <c r="G251" i="30"/>
  <c r="AP256" i="27"/>
  <c r="AO256" i="27"/>
  <c r="AN257" i="27"/>
  <c r="S257" i="27"/>
  <c r="T257" i="27" s="1"/>
  <c r="AA257" i="27"/>
  <c r="AG256" i="27"/>
  <c r="AE256" i="27"/>
  <c r="AF256" i="27" s="1"/>
  <c r="U257" i="27"/>
  <c r="AB258" i="27"/>
  <c r="AD257" i="27"/>
  <c r="AC257" i="27"/>
  <c r="AT242" i="27"/>
  <c r="H238" i="30" s="1"/>
  <c r="I258" i="27"/>
  <c r="AX244" i="27"/>
  <c r="Q258" i="27"/>
  <c r="R258" i="27"/>
  <c r="AZ246" i="27"/>
  <c r="BE246" i="27"/>
  <c r="F242" i="30"/>
  <c r="B251" i="30"/>
  <c r="BB245" i="27"/>
  <c r="BC245" i="27"/>
  <c r="BL245" i="27" s="1"/>
  <c r="E241" i="30"/>
  <c r="BA245" i="27"/>
  <c r="BJ243" i="27"/>
  <c r="BK243" i="27" s="1"/>
  <c r="AU248" i="27"/>
  <c r="BI244" i="27"/>
  <c r="BH244" i="27"/>
  <c r="D243" i="30"/>
  <c r="I243" i="30" s="1"/>
  <c r="AY245" i="27"/>
  <c r="BD245" i="27"/>
  <c r="BG245" i="27" s="1"/>
  <c r="AQ256" i="27" l="1"/>
  <c r="AR256" i="27" s="1"/>
  <c r="G252" i="30"/>
  <c r="BF256" i="27"/>
  <c r="AM258" i="27"/>
  <c r="AS257" i="27"/>
  <c r="AP257" i="27"/>
  <c r="AO257" i="27"/>
  <c r="AN258" i="27"/>
  <c r="AA258" i="27"/>
  <c r="AG257" i="27"/>
  <c r="AE257" i="27"/>
  <c r="AF257" i="27" s="1"/>
  <c r="U258" i="27"/>
  <c r="AB259" i="27"/>
  <c r="AD258" i="27"/>
  <c r="AC258" i="27"/>
  <c r="AT243" i="27"/>
  <c r="H239" i="30" s="1"/>
  <c r="I259" i="27"/>
  <c r="Q259" i="27"/>
  <c r="R259" i="27"/>
  <c r="S258" i="27"/>
  <c r="T258" i="27" s="1"/>
  <c r="BE247" i="27"/>
  <c r="F243" i="30"/>
  <c r="AX245" i="27"/>
  <c r="BA246" i="27"/>
  <c r="BB246" i="27"/>
  <c r="BC246" i="27"/>
  <c r="BL246" i="27" s="1"/>
  <c r="E242" i="30"/>
  <c r="B252" i="30"/>
  <c r="AZ247" i="27"/>
  <c r="BD246" i="27"/>
  <c r="BG246" i="27" s="1"/>
  <c r="BJ244" i="27"/>
  <c r="BK244" i="27" s="1"/>
  <c r="AY246" i="27"/>
  <c r="AU249" i="27"/>
  <c r="D244" i="30"/>
  <c r="I244" i="30" s="1"/>
  <c r="BI245" i="27"/>
  <c r="BH245" i="27"/>
  <c r="AX246" i="27" l="1"/>
  <c r="AQ257" i="27"/>
  <c r="AR257" i="27" s="1"/>
  <c r="G253" i="30"/>
  <c r="BF257" i="27"/>
  <c r="AS258" i="27"/>
  <c r="AM259" i="27"/>
  <c r="BJ245" i="27"/>
  <c r="BK245" i="27" s="1"/>
  <c r="AT245" i="27" s="1"/>
  <c r="H241" i="30" s="1"/>
  <c r="AN259" i="27"/>
  <c r="AO258" i="27"/>
  <c r="AP258" i="27"/>
  <c r="AA259" i="27"/>
  <c r="AG258" i="27"/>
  <c r="AE258" i="27"/>
  <c r="AF258" i="27" s="1"/>
  <c r="U259" i="27"/>
  <c r="AD259" i="27"/>
  <c r="AB260" i="27"/>
  <c r="AC259" i="27"/>
  <c r="I260" i="27"/>
  <c r="AT244" i="27"/>
  <c r="H240" i="30" s="1"/>
  <c r="S259" i="27"/>
  <c r="T259" i="27" s="1"/>
  <c r="R260" i="27"/>
  <c r="Q260" i="27"/>
  <c r="BE248" i="27"/>
  <c r="F244" i="30"/>
  <c r="B253" i="30"/>
  <c r="BB247" i="27"/>
  <c r="BC247" i="27"/>
  <c r="BL247" i="27" s="1"/>
  <c r="E243" i="30"/>
  <c r="AU250" i="27"/>
  <c r="AY247" i="27"/>
  <c r="BA247" i="27"/>
  <c r="AZ248" i="27"/>
  <c r="BH246" i="27"/>
  <c r="BI246" i="27"/>
  <c r="D245" i="30"/>
  <c r="I245" i="30" s="1"/>
  <c r="BD247" i="27"/>
  <c r="BG247" i="27" s="1"/>
  <c r="S260" i="27" l="1"/>
  <c r="T260" i="27" s="1"/>
  <c r="AM260" i="27"/>
  <c r="AS259" i="27"/>
  <c r="BF258" i="27"/>
  <c r="G254" i="30"/>
  <c r="AQ258" i="27"/>
  <c r="AR258" i="27" s="1"/>
  <c r="AN260" i="27"/>
  <c r="AP259" i="27"/>
  <c r="AO259" i="27"/>
  <c r="AA260" i="27"/>
  <c r="AG259" i="27"/>
  <c r="AE259" i="27"/>
  <c r="AF259" i="27" s="1"/>
  <c r="U260" i="27"/>
  <c r="AC260" i="27"/>
  <c r="AB261" i="27"/>
  <c r="AD260" i="27"/>
  <c r="R261" i="27"/>
  <c r="Q261" i="27"/>
  <c r="I261" i="27"/>
  <c r="BE249" i="27"/>
  <c r="F245" i="30"/>
  <c r="BB248" i="27"/>
  <c r="BC248" i="27"/>
  <c r="BL248" i="27" s="1"/>
  <c r="E244" i="30"/>
  <c r="B254" i="30"/>
  <c r="AY248" i="27"/>
  <c r="BA248" i="27"/>
  <c r="AZ249" i="27"/>
  <c r="D246" i="30"/>
  <c r="I246" i="30" s="1"/>
  <c r="BD248" i="27"/>
  <c r="BG248" i="27" s="1"/>
  <c r="AX247" i="27"/>
  <c r="AU251" i="27"/>
  <c r="BI247" i="27"/>
  <c r="BH247" i="27"/>
  <c r="BJ246" i="27"/>
  <c r="BK246" i="27" s="1"/>
  <c r="AQ259" i="27" l="1"/>
  <c r="AR259" i="27" s="1"/>
  <c r="AM261" i="27"/>
  <c r="AS260" i="27"/>
  <c r="G255" i="30"/>
  <c r="BF259" i="27"/>
  <c r="S261" i="27"/>
  <c r="T261" i="27" s="1"/>
  <c r="AP260" i="27"/>
  <c r="AO260" i="27"/>
  <c r="AN261" i="27"/>
  <c r="AA261" i="27"/>
  <c r="AG260" i="27"/>
  <c r="U261" i="27"/>
  <c r="AD261" i="27"/>
  <c r="AC261" i="27"/>
  <c r="AB262" i="27"/>
  <c r="AE260" i="27"/>
  <c r="AF260" i="27" s="1"/>
  <c r="I262" i="27"/>
  <c r="Q262" i="27"/>
  <c r="R262" i="27"/>
  <c r="AT246" i="27"/>
  <c r="H242" i="30" s="1"/>
  <c r="AX248" i="27"/>
  <c r="BE250" i="27"/>
  <c r="F246" i="30"/>
  <c r="B255" i="30"/>
  <c r="BB249" i="27"/>
  <c r="BC249" i="27"/>
  <c r="BL249" i="27" s="1"/>
  <c r="E245" i="30"/>
  <c r="BJ247" i="27"/>
  <c r="BK247" i="27" s="1"/>
  <c r="AU252" i="27"/>
  <c r="BD249" i="27"/>
  <c r="BG249" i="27" s="1"/>
  <c r="BA249" i="27"/>
  <c r="AY249" i="27"/>
  <c r="AZ250" i="27"/>
  <c r="BI248" i="27"/>
  <c r="BH248" i="27"/>
  <c r="D247" i="30"/>
  <c r="I247" i="30" s="1"/>
  <c r="AQ260" i="27" l="1"/>
  <c r="AR260" i="27" s="1"/>
  <c r="AM262" i="27"/>
  <c r="AS261" i="27"/>
  <c r="G256" i="30"/>
  <c r="BF260" i="27"/>
  <c r="AP261" i="27"/>
  <c r="AO261" i="27"/>
  <c r="AN262" i="27"/>
  <c r="AA262" i="27"/>
  <c r="AG261" i="27"/>
  <c r="AE261" i="27"/>
  <c r="AF261" i="27" s="1"/>
  <c r="U262" i="27"/>
  <c r="AD262" i="27"/>
  <c r="AC262" i="27"/>
  <c r="AB263" i="27"/>
  <c r="S262" i="27"/>
  <c r="T262" i="27" s="1"/>
  <c r="Q263" i="27"/>
  <c r="R263" i="27"/>
  <c r="AT247" i="27"/>
  <c r="H243" i="30" s="1"/>
  <c r="I263" i="27"/>
  <c r="AY250" i="27"/>
  <c r="BE251" i="27"/>
  <c r="F247" i="30"/>
  <c r="AX249" i="27"/>
  <c r="BC250" i="27"/>
  <c r="BB250" i="27"/>
  <c r="E246" i="30"/>
  <c r="B256" i="30"/>
  <c r="BA250" i="27"/>
  <c r="BJ248" i="27"/>
  <c r="BK248" i="27" s="1"/>
  <c r="AZ251" i="27"/>
  <c r="D248" i="30"/>
  <c r="I248" i="30" s="1"/>
  <c r="AU253" i="27"/>
  <c r="BI249" i="27"/>
  <c r="BH249" i="27"/>
  <c r="BD250" i="27"/>
  <c r="BG250" i="27" s="1"/>
  <c r="AE262" i="27" l="1"/>
  <c r="AF262" i="27" s="1"/>
  <c r="AQ261" i="27"/>
  <c r="AR261" i="27" s="1"/>
  <c r="G257" i="30"/>
  <c r="BF261" i="27"/>
  <c r="AM263" i="27"/>
  <c r="AS262" i="27"/>
  <c r="AN263" i="27"/>
  <c r="AP262" i="27"/>
  <c r="AO262" i="27"/>
  <c r="AA263" i="27"/>
  <c r="AG262" i="27"/>
  <c r="U263" i="27"/>
  <c r="AC263" i="27"/>
  <c r="AB264" i="27"/>
  <c r="AD263" i="27"/>
  <c r="I264" i="27"/>
  <c r="AT248" i="27"/>
  <c r="H244" i="30" s="1"/>
  <c r="S263" i="27"/>
  <c r="T263" i="27" s="1"/>
  <c r="R264" i="27"/>
  <c r="Q264" i="27"/>
  <c r="BL250" i="27"/>
  <c r="AX250" i="27"/>
  <c r="BA251" i="27"/>
  <c r="AY251" i="27"/>
  <c r="BE252" i="27"/>
  <c r="F248" i="30"/>
  <c r="B257" i="30"/>
  <c r="BB251" i="27"/>
  <c r="BC251" i="27"/>
  <c r="BL251" i="27" s="1"/>
  <c r="E247" i="30"/>
  <c r="AU254" i="27"/>
  <c r="D249" i="30"/>
  <c r="I249" i="30" s="1"/>
  <c r="BD251" i="27"/>
  <c r="BG251" i="27" s="1"/>
  <c r="BJ249" i="27"/>
  <c r="BK249" i="27" s="1"/>
  <c r="BH250" i="27"/>
  <c r="BI250" i="27"/>
  <c r="AZ252" i="27"/>
  <c r="G258" i="30" l="1"/>
  <c r="BF262" i="27"/>
  <c r="AQ262" i="27"/>
  <c r="AR262" i="27" s="1"/>
  <c r="AM264" i="27"/>
  <c r="AS263" i="27"/>
  <c r="AO263" i="27"/>
  <c r="AP263" i="27"/>
  <c r="AN264" i="27"/>
  <c r="AG263" i="27"/>
  <c r="AA264" i="27"/>
  <c r="S264" i="27"/>
  <c r="T264" i="27" s="1"/>
  <c r="U264" i="27"/>
  <c r="AB265" i="27"/>
  <c r="AC264" i="27"/>
  <c r="AD264" i="27"/>
  <c r="AE263" i="27"/>
  <c r="AF263" i="27" s="1"/>
  <c r="Q265" i="27"/>
  <c r="R265" i="27"/>
  <c r="AX251" i="27"/>
  <c r="AT249" i="27"/>
  <c r="H245" i="30" s="1"/>
  <c r="I265" i="27"/>
  <c r="AY252" i="27"/>
  <c r="AZ253" i="27"/>
  <c r="BE253" i="27"/>
  <c r="F249" i="30"/>
  <c r="BC252" i="27"/>
  <c r="BL252" i="27" s="1"/>
  <c r="BB252" i="27"/>
  <c r="E248" i="30"/>
  <c r="B258" i="30"/>
  <c r="BJ250" i="27"/>
  <c r="BK250" i="27" s="1"/>
  <c r="BA252" i="27"/>
  <c r="BI251" i="27"/>
  <c r="BH251" i="27"/>
  <c r="BD252" i="27"/>
  <c r="BG252" i="27" s="1"/>
  <c r="D250" i="30"/>
  <c r="I250" i="30" s="1"/>
  <c r="AU255" i="27"/>
  <c r="AZ254" i="27"/>
  <c r="AM265" i="27" l="1"/>
  <c r="AS264" i="27"/>
  <c r="BF263" i="27"/>
  <c r="G259" i="30"/>
  <c r="AO264" i="27"/>
  <c r="AP264" i="27"/>
  <c r="AN265" i="27"/>
  <c r="AQ263" i="27"/>
  <c r="AR263" i="27" s="1"/>
  <c r="AG264" i="27"/>
  <c r="AA265" i="27"/>
  <c r="AX252" i="27"/>
  <c r="U265" i="27"/>
  <c r="AE264" i="27"/>
  <c r="AF264" i="27" s="1"/>
  <c r="AD265" i="27"/>
  <c r="AC265" i="27"/>
  <c r="AB266" i="27"/>
  <c r="AT250" i="27"/>
  <c r="H246" i="30" s="1"/>
  <c r="S265" i="27"/>
  <c r="T265" i="27" s="1"/>
  <c r="Q266" i="27"/>
  <c r="R266" i="27"/>
  <c r="I266" i="27"/>
  <c r="BJ251" i="27"/>
  <c r="BK251" i="27" s="1"/>
  <c r="BE254" i="27"/>
  <c r="F250" i="30"/>
  <c r="B259" i="30"/>
  <c r="BB253" i="27"/>
  <c r="BC253" i="27"/>
  <c r="E249" i="30"/>
  <c r="BD253" i="27"/>
  <c r="BG253" i="27" s="1"/>
  <c r="AY253" i="27"/>
  <c r="BA253" i="27"/>
  <c r="BI252" i="27"/>
  <c r="BH252" i="27"/>
  <c r="D251" i="30"/>
  <c r="I251" i="30" s="1"/>
  <c r="AU256" i="27"/>
  <c r="AE265" i="27" l="1"/>
  <c r="AF265" i="27" s="1"/>
  <c r="G260" i="30"/>
  <c r="BF264" i="27"/>
  <c r="AM266" i="27"/>
  <c r="AS265" i="27"/>
  <c r="AO265" i="27"/>
  <c r="AN266" i="27"/>
  <c r="AP265" i="27"/>
  <c r="AQ264" i="27"/>
  <c r="AR264" i="27" s="1"/>
  <c r="AG265" i="27"/>
  <c r="AA266" i="27"/>
  <c r="U266" i="27"/>
  <c r="AB267" i="27"/>
  <c r="AD266" i="27"/>
  <c r="AC266" i="27"/>
  <c r="S266" i="27"/>
  <c r="T266" i="27" s="1"/>
  <c r="Q267" i="27"/>
  <c r="R267" i="27"/>
  <c r="I267" i="27"/>
  <c r="AT251" i="27"/>
  <c r="H247" i="30" s="1"/>
  <c r="BL253" i="27"/>
  <c r="AZ255" i="27"/>
  <c r="BJ252" i="27"/>
  <c r="BK252" i="27" s="1"/>
  <c r="BE255" i="27"/>
  <c r="F251" i="30"/>
  <c r="BB254" i="27"/>
  <c r="BC254" i="27"/>
  <c r="E250" i="30"/>
  <c r="BA254" i="27"/>
  <c r="B260" i="30"/>
  <c r="AX253" i="27"/>
  <c r="AU257" i="27"/>
  <c r="BD254" i="27"/>
  <c r="BG254" i="27" s="1"/>
  <c r="AY254" i="27"/>
  <c r="D252" i="30"/>
  <c r="I252" i="30" s="1"/>
  <c r="BI253" i="27"/>
  <c r="BH253" i="27"/>
  <c r="G261" i="30" l="1"/>
  <c r="BF265" i="27"/>
  <c r="AM267" i="27"/>
  <c r="AS266" i="27"/>
  <c r="AE266" i="27"/>
  <c r="AF266" i="27" s="1"/>
  <c r="AN267" i="27"/>
  <c r="AO266" i="27"/>
  <c r="AP266" i="27"/>
  <c r="AQ265" i="27"/>
  <c r="AR265" i="27" s="1"/>
  <c r="AG266" i="27"/>
  <c r="AA267" i="27"/>
  <c r="U267" i="27"/>
  <c r="AB268" i="27"/>
  <c r="AD267" i="27"/>
  <c r="AC267" i="27"/>
  <c r="AT252" i="27"/>
  <c r="H248" i="30" s="1"/>
  <c r="S267" i="27"/>
  <c r="T267" i="27" s="1"/>
  <c r="I268" i="27"/>
  <c r="Q268" i="27"/>
  <c r="R268" i="27"/>
  <c r="BL254" i="27"/>
  <c r="BA255" i="27"/>
  <c r="BE256" i="27"/>
  <c r="F252" i="30"/>
  <c r="BC255" i="27"/>
  <c r="BL255" i="27" s="1"/>
  <c r="BB255" i="27"/>
  <c r="E251" i="30"/>
  <c r="B261" i="30"/>
  <c r="AX254" i="27"/>
  <c r="BJ253" i="27"/>
  <c r="BK253" i="27" s="1"/>
  <c r="AY255" i="27"/>
  <c r="D253" i="30"/>
  <c r="I253" i="30" s="1"/>
  <c r="BD255" i="27"/>
  <c r="BG255" i="27" s="1"/>
  <c r="AU258" i="27"/>
  <c r="BI254" i="27"/>
  <c r="BH254" i="27"/>
  <c r="AZ256" i="27"/>
  <c r="AE267" i="27" l="1"/>
  <c r="AF267" i="27" s="1"/>
  <c r="G262" i="30"/>
  <c r="BF266" i="27"/>
  <c r="AM268" i="27"/>
  <c r="AS267" i="27"/>
  <c r="AQ266" i="27"/>
  <c r="AR266" i="27" s="1"/>
  <c r="AP267" i="27"/>
  <c r="AN268" i="27"/>
  <c r="AO267" i="27"/>
  <c r="AG267" i="27"/>
  <c r="AA268" i="27"/>
  <c r="U268" i="27"/>
  <c r="AC268" i="27"/>
  <c r="AB269" i="27"/>
  <c r="AD268" i="27"/>
  <c r="AT253" i="27"/>
  <c r="H249" i="30" s="1"/>
  <c r="S268" i="27"/>
  <c r="T268" i="27" s="1"/>
  <c r="I269" i="27"/>
  <c r="Q269" i="27"/>
  <c r="R269" i="27"/>
  <c r="AX255" i="27"/>
  <c r="AY256" i="27"/>
  <c r="BE257" i="27"/>
  <c r="F253" i="30"/>
  <c r="BB256" i="27"/>
  <c r="BC256" i="27"/>
  <c r="E252" i="30"/>
  <c r="B262" i="30"/>
  <c r="AZ257" i="27"/>
  <c r="BJ254" i="27"/>
  <c r="BK254" i="27" s="1"/>
  <c r="AU259" i="27"/>
  <c r="BI255" i="27"/>
  <c r="BH255" i="27"/>
  <c r="BD256" i="27"/>
  <c r="BG256" i="27" s="1"/>
  <c r="D254" i="30"/>
  <c r="I254" i="30" s="1"/>
  <c r="BA256" i="27"/>
  <c r="AQ267" i="27" l="1"/>
  <c r="AR267" i="27" s="1"/>
  <c r="BF267" i="27"/>
  <c r="G263" i="30"/>
  <c r="AM269" i="27"/>
  <c r="AS268" i="27"/>
  <c r="AN269" i="27"/>
  <c r="AP268" i="27"/>
  <c r="AO268" i="27"/>
  <c r="AG268" i="27"/>
  <c r="AA269" i="27"/>
  <c r="U269" i="27"/>
  <c r="AB270" i="27"/>
  <c r="AD269" i="27"/>
  <c r="AC269" i="27"/>
  <c r="AE268" i="27"/>
  <c r="AF268" i="27" s="1"/>
  <c r="I270" i="27"/>
  <c r="AT254" i="27"/>
  <c r="H250" i="30" s="1"/>
  <c r="S269" i="27"/>
  <c r="T269" i="27" s="1"/>
  <c r="R270" i="27"/>
  <c r="Q270" i="27"/>
  <c r="AX256" i="27"/>
  <c r="BL256" i="27"/>
  <c r="BJ255" i="27"/>
  <c r="BK255" i="27" s="1"/>
  <c r="BE258" i="27"/>
  <c r="F254" i="30"/>
  <c r="B263" i="30"/>
  <c r="BB257" i="27"/>
  <c r="BC257" i="27"/>
  <c r="E253" i="30"/>
  <c r="AZ258" i="27"/>
  <c r="BA257" i="27"/>
  <c r="AY257" i="27"/>
  <c r="BI256" i="27"/>
  <c r="BH256" i="27"/>
  <c r="AU260" i="27"/>
  <c r="D255" i="30"/>
  <c r="I255" i="30" s="1"/>
  <c r="BD257" i="27"/>
  <c r="BG257" i="27" s="1"/>
  <c r="AE269" i="27" l="1"/>
  <c r="AF269" i="27" s="1"/>
  <c r="G264" i="30"/>
  <c r="BF268" i="27"/>
  <c r="AQ268" i="27"/>
  <c r="AR268" i="27" s="1"/>
  <c r="AM270" i="27"/>
  <c r="AS269" i="27"/>
  <c r="AN270" i="27"/>
  <c r="AP269" i="27"/>
  <c r="AO269" i="27"/>
  <c r="AG269" i="27"/>
  <c r="AA270" i="27"/>
  <c r="U270" i="27"/>
  <c r="AD270" i="27"/>
  <c r="AC270" i="27"/>
  <c r="AB271" i="27"/>
  <c r="AT255" i="27"/>
  <c r="H251" i="30" s="1"/>
  <c r="R271" i="27"/>
  <c r="Q271" i="27"/>
  <c r="I271" i="27"/>
  <c r="S270" i="27"/>
  <c r="T270" i="27" s="1"/>
  <c r="BL257" i="27"/>
  <c r="AX257" i="27"/>
  <c r="BE259" i="27"/>
  <c r="F255" i="30"/>
  <c r="BB258" i="27"/>
  <c r="BC258" i="27"/>
  <c r="BL258" i="27" s="1"/>
  <c r="E254" i="30"/>
  <c r="B264" i="30"/>
  <c r="BA258" i="27"/>
  <c r="BJ256" i="27"/>
  <c r="BK256" i="27" s="1"/>
  <c r="AZ259" i="27"/>
  <c r="AY258" i="27"/>
  <c r="BD258" i="27"/>
  <c r="BG258" i="27" s="1"/>
  <c r="BI257" i="27"/>
  <c r="BH257" i="27"/>
  <c r="D256" i="30"/>
  <c r="I256" i="30" s="1"/>
  <c r="AU261" i="27"/>
  <c r="AQ269" i="27" l="1"/>
  <c r="AR269" i="27" s="1"/>
  <c r="AM271" i="27"/>
  <c r="AS270" i="27"/>
  <c r="S271" i="27"/>
  <c r="T271" i="27" s="1"/>
  <c r="BF269" i="27"/>
  <c r="G265" i="30"/>
  <c r="AN271" i="27"/>
  <c r="AO270" i="27"/>
  <c r="AP270" i="27"/>
  <c r="AA271" i="27"/>
  <c r="AG270" i="27"/>
  <c r="U271" i="27"/>
  <c r="AD271" i="27"/>
  <c r="AB272" i="27"/>
  <c r="AC271" i="27"/>
  <c r="AE270" i="27"/>
  <c r="AF270" i="27" s="1"/>
  <c r="Q272" i="27"/>
  <c r="R272" i="27"/>
  <c r="AT256" i="27"/>
  <c r="H252" i="30" s="1"/>
  <c r="I272" i="27"/>
  <c r="BE260" i="27"/>
  <c r="F256" i="30"/>
  <c r="AX258" i="27"/>
  <c r="B265" i="30"/>
  <c r="BB259" i="27"/>
  <c r="BC259" i="27"/>
  <c r="BL259" i="27" s="1"/>
  <c r="E255" i="30"/>
  <c r="BJ257" i="27"/>
  <c r="BK257" i="27" s="1"/>
  <c r="AY259" i="27"/>
  <c r="AZ260" i="27"/>
  <c r="BA259" i="27"/>
  <c r="BD259" i="27"/>
  <c r="BG259" i="27" s="1"/>
  <c r="D257" i="30"/>
  <c r="I257" i="30" s="1"/>
  <c r="BI258" i="27"/>
  <c r="BH258" i="27"/>
  <c r="AU262" i="27"/>
  <c r="AZ261" i="27"/>
  <c r="G266" i="30" l="1"/>
  <c r="BF270" i="27"/>
  <c r="AS271" i="27"/>
  <c r="AM272" i="27"/>
  <c r="AQ270" i="27"/>
  <c r="AR270" i="27" s="1"/>
  <c r="AO271" i="27"/>
  <c r="AN272" i="27"/>
  <c r="AP271" i="27"/>
  <c r="AG271" i="27"/>
  <c r="AA272" i="27"/>
  <c r="AE271" i="27"/>
  <c r="AF271" i="27" s="1"/>
  <c r="U272" i="27"/>
  <c r="AC272" i="27"/>
  <c r="AD272" i="27"/>
  <c r="AB273" i="27"/>
  <c r="AT257" i="27"/>
  <c r="H253" i="30" s="1"/>
  <c r="S272" i="27"/>
  <c r="T272" i="27" s="1"/>
  <c r="I273" i="27"/>
  <c r="Q273" i="27"/>
  <c r="R273" i="27"/>
  <c r="BA260" i="27"/>
  <c r="AX259" i="27"/>
  <c r="BE261" i="27"/>
  <c r="F257" i="30"/>
  <c r="BB260" i="27"/>
  <c r="BC260" i="27"/>
  <c r="BL260" i="27" s="1"/>
  <c r="E256" i="30"/>
  <c r="B266" i="30"/>
  <c r="AY260" i="27"/>
  <c r="BD260" i="27"/>
  <c r="BG260" i="27" s="1"/>
  <c r="D258" i="30"/>
  <c r="I258" i="30" s="1"/>
  <c r="BI259" i="27"/>
  <c r="BH259" i="27"/>
  <c r="AU263" i="27"/>
  <c r="BJ258" i="27"/>
  <c r="BK258" i="27" s="1"/>
  <c r="AS272" i="27" l="1"/>
  <c r="AM273" i="27"/>
  <c r="BF271" i="27"/>
  <c r="G267" i="30"/>
  <c r="AO272" i="27"/>
  <c r="AP272" i="27"/>
  <c r="AN273" i="27"/>
  <c r="AQ271" i="27"/>
  <c r="AR271" i="27" s="1"/>
  <c r="AX260" i="27"/>
  <c r="AG272" i="27"/>
  <c r="AA273" i="27"/>
  <c r="AE272" i="27"/>
  <c r="AF272" i="27" s="1"/>
  <c r="U273" i="27"/>
  <c r="AB274" i="27"/>
  <c r="AD273" i="27"/>
  <c r="AC273" i="27"/>
  <c r="S273" i="27"/>
  <c r="T273" i="27" s="1"/>
  <c r="AT258" i="27"/>
  <c r="H254" i="30" s="1"/>
  <c r="Q274" i="27"/>
  <c r="R274" i="27"/>
  <c r="I274" i="27"/>
  <c r="BJ259" i="27"/>
  <c r="BK259" i="27" s="1"/>
  <c r="BE262" i="27"/>
  <c r="F258" i="30"/>
  <c r="BB261" i="27"/>
  <c r="BC261" i="27"/>
  <c r="BL261" i="27" s="1"/>
  <c r="E257" i="30"/>
  <c r="B267" i="30"/>
  <c r="AZ263" i="27"/>
  <c r="D259" i="30"/>
  <c r="I259" i="30" s="1"/>
  <c r="AY261" i="27"/>
  <c r="AU264" i="27"/>
  <c r="BA261" i="27"/>
  <c r="AZ262" i="27"/>
  <c r="BD261" i="27"/>
  <c r="BG261" i="27" s="1"/>
  <c r="BH260" i="27"/>
  <c r="BI260" i="27"/>
  <c r="AS273" i="27" l="1"/>
  <c r="AM274" i="27"/>
  <c r="BF272" i="27"/>
  <c r="G268" i="30"/>
  <c r="AO273" i="27"/>
  <c r="AP273" i="27"/>
  <c r="AN274" i="27"/>
  <c r="AQ272" i="27"/>
  <c r="AR272" i="27" s="1"/>
  <c r="AA274" i="27"/>
  <c r="AG273" i="27"/>
  <c r="AE273" i="27"/>
  <c r="AF273" i="27" s="1"/>
  <c r="S274" i="27"/>
  <c r="T274" i="27" s="1"/>
  <c r="U274" i="27"/>
  <c r="AB275" i="27"/>
  <c r="AC274" i="27"/>
  <c r="AD274" i="27"/>
  <c r="I275" i="27"/>
  <c r="AT259" i="27"/>
  <c r="H255" i="30" s="1"/>
  <c r="Q275" i="27"/>
  <c r="R275" i="27"/>
  <c r="BE263" i="27"/>
  <c r="F259" i="30"/>
  <c r="B268" i="30"/>
  <c r="BC262" i="27"/>
  <c r="BL262" i="27" s="1"/>
  <c r="BB262" i="27"/>
  <c r="E258" i="30"/>
  <c r="AY262" i="27"/>
  <c r="AX261" i="27"/>
  <c r="BD262" i="27"/>
  <c r="BG262" i="27" s="1"/>
  <c r="AU265" i="27"/>
  <c r="BI261" i="27"/>
  <c r="BH261" i="27"/>
  <c r="BJ260" i="27"/>
  <c r="BK260" i="27" s="1"/>
  <c r="D260" i="30"/>
  <c r="I260" i="30" s="1"/>
  <c r="BA262" i="27"/>
  <c r="BF273" i="27" l="1"/>
  <c r="G269" i="30"/>
  <c r="AS274" i="27"/>
  <c r="AM275" i="27"/>
  <c r="AP274" i="27"/>
  <c r="AO274" i="27"/>
  <c r="AN275" i="27"/>
  <c r="AQ273" i="27"/>
  <c r="AR273" i="27" s="1"/>
  <c r="AA275" i="27"/>
  <c r="AG274" i="27"/>
  <c r="U275" i="27"/>
  <c r="AE274" i="27"/>
  <c r="AF274" i="27" s="1"/>
  <c r="AD275" i="27"/>
  <c r="AB276" i="27"/>
  <c r="AC275" i="27"/>
  <c r="Q276" i="27"/>
  <c r="R276" i="27"/>
  <c r="AT260" i="27"/>
  <c r="H256" i="30" s="1"/>
  <c r="S275" i="27"/>
  <c r="T275" i="27" s="1"/>
  <c r="I276" i="27"/>
  <c r="AZ264" i="27"/>
  <c r="AY263" i="27"/>
  <c r="AX262" i="27"/>
  <c r="BE264" i="27"/>
  <c r="F260" i="30"/>
  <c r="BB263" i="27"/>
  <c r="BC263" i="27"/>
  <c r="BL263" i="27" s="1"/>
  <c r="E259" i="30"/>
  <c r="B269" i="30"/>
  <c r="BA263" i="27"/>
  <c r="BJ261" i="27"/>
  <c r="BK261" i="27" s="1"/>
  <c r="D261" i="30"/>
  <c r="I261" i="30" s="1"/>
  <c r="BI262" i="27"/>
  <c r="BH262" i="27"/>
  <c r="AU266" i="27"/>
  <c r="BD263" i="27"/>
  <c r="BG263" i="27" s="1"/>
  <c r="AQ274" i="27" l="1"/>
  <c r="AR274" i="27" s="1"/>
  <c r="AM276" i="27"/>
  <c r="AS275" i="27"/>
  <c r="BF274" i="27"/>
  <c r="G270" i="30"/>
  <c r="AN276" i="27"/>
  <c r="AP275" i="27"/>
  <c r="AO275" i="27"/>
  <c r="AG275" i="27"/>
  <c r="AA276" i="27"/>
  <c r="AE275" i="27"/>
  <c r="AF275" i="27" s="1"/>
  <c r="AX263" i="27"/>
  <c r="U276" i="27"/>
  <c r="AB277" i="27"/>
  <c r="AD276" i="27"/>
  <c r="AC276" i="27"/>
  <c r="R277" i="27"/>
  <c r="Q277" i="27"/>
  <c r="I277" i="27"/>
  <c r="S276" i="27"/>
  <c r="T276" i="27" s="1"/>
  <c r="AT261" i="27"/>
  <c r="H257" i="30" s="1"/>
  <c r="AZ265" i="27"/>
  <c r="AY264" i="27"/>
  <c r="BE265" i="27"/>
  <c r="F261" i="30"/>
  <c r="BB264" i="27"/>
  <c r="BC264" i="27"/>
  <c r="BL264" i="27" s="1"/>
  <c r="E260" i="30"/>
  <c r="B270" i="30"/>
  <c r="BA264" i="27"/>
  <c r="BJ262" i="27"/>
  <c r="BK262" i="27" s="1"/>
  <c r="BI263" i="27"/>
  <c r="BH263" i="27"/>
  <c r="BD264" i="27"/>
  <c r="BG264" i="27" s="1"/>
  <c r="D262" i="30"/>
  <c r="I262" i="30" s="1"/>
  <c r="AU267" i="27"/>
  <c r="S277" i="27" l="1"/>
  <c r="T277" i="27" s="1"/>
  <c r="AQ275" i="27"/>
  <c r="AR275" i="27" s="1"/>
  <c r="AM277" i="27"/>
  <c r="AS276" i="27"/>
  <c r="BF275" i="27"/>
  <c r="G271" i="30"/>
  <c r="AX264" i="27"/>
  <c r="AP276" i="27"/>
  <c r="AO276" i="27"/>
  <c r="AN277" i="27"/>
  <c r="AE276" i="27"/>
  <c r="AF276" i="27" s="1"/>
  <c r="AA277" i="27"/>
  <c r="AG276" i="27"/>
  <c r="U277" i="27"/>
  <c r="AC277" i="27"/>
  <c r="AD277" i="27"/>
  <c r="AB278" i="27"/>
  <c r="AT262" i="27"/>
  <c r="H258" i="30" s="1"/>
  <c r="I278" i="27"/>
  <c r="Q278" i="27"/>
  <c r="R278" i="27"/>
  <c r="BE266" i="27"/>
  <c r="F262" i="30"/>
  <c r="B271" i="30"/>
  <c r="BB265" i="27"/>
  <c r="BC265" i="27"/>
  <c r="BL265" i="27" s="1"/>
  <c r="E261" i="30"/>
  <c r="BJ263" i="27"/>
  <c r="BK263" i="27" s="1"/>
  <c r="BA265" i="27"/>
  <c r="BI264" i="27"/>
  <c r="BH264" i="27"/>
  <c r="AY265" i="27"/>
  <c r="AU268" i="27"/>
  <c r="BD265" i="27"/>
  <c r="BG265" i="27" s="1"/>
  <c r="D263" i="30"/>
  <c r="I263" i="30" s="1"/>
  <c r="AZ266" i="27"/>
  <c r="AQ276" i="27" l="1"/>
  <c r="AR276" i="27" s="1"/>
  <c r="G272" i="30"/>
  <c r="BF276" i="27"/>
  <c r="AM278" i="27"/>
  <c r="AS277" i="27"/>
  <c r="AN278" i="27"/>
  <c r="AP277" i="27"/>
  <c r="AO277" i="27"/>
  <c r="AG277" i="27"/>
  <c r="AA278" i="27"/>
  <c r="AE277" i="27"/>
  <c r="AF277" i="27" s="1"/>
  <c r="U278" i="27"/>
  <c r="AC278" i="27"/>
  <c r="AB279" i="27"/>
  <c r="AD278" i="27"/>
  <c r="AX265" i="27"/>
  <c r="I279" i="27"/>
  <c r="S278" i="27"/>
  <c r="T278" i="27" s="1"/>
  <c r="AT263" i="27"/>
  <c r="H259" i="30" s="1"/>
  <c r="Q279" i="27"/>
  <c r="R279" i="27"/>
  <c r="BE267" i="27"/>
  <c r="F263" i="30"/>
  <c r="BC266" i="27"/>
  <c r="BB266" i="27"/>
  <c r="E262" i="30"/>
  <c r="B272" i="30"/>
  <c r="AY266" i="27"/>
  <c r="BJ264" i="27"/>
  <c r="BK264" i="27" s="1"/>
  <c r="AZ267" i="27"/>
  <c r="BA266" i="27"/>
  <c r="D264" i="30"/>
  <c r="I264" i="30" s="1"/>
  <c r="AU269" i="27"/>
  <c r="BI265" i="27"/>
  <c r="BH265" i="27"/>
  <c r="BD266" i="27"/>
  <c r="BG266" i="27" s="1"/>
  <c r="AQ277" i="27" l="1"/>
  <c r="AR277" i="27" s="1"/>
  <c r="AS278" i="27"/>
  <c r="AM279" i="27"/>
  <c r="G273" i="30"/>
  <c r="BF277" i="27"/>
  <c r="AP278" i="27"/>
  <c r="AO278" i="27"/>
  <c r="AN279" i="27"/>
  <c r="AG278" i="27"/>
  <c r="AA279" i="27"/>
  <c r="U279" i="27"/>
  <c r="AC279" i="27"/>
  <c r="AD279" i="27"/>
  <c r="AB280" i="27"/>
  <c r="AE278" i="27"/>
  <c r="AF278" i="27" s="1"/>
  <c r="R280" i="27"/>
  <c r="Q280" i="27"/>
  <c r="AT264" i="27"/>
  <c r="H260" i="30" s="1"/>
  <c r="I280" i="27"/>
  <c r="S279" i="27"/>
  <c r="T279" i="27" s="1"/>
  <c r="BL266" i="27"/>
  <c r="AX266" i="27"/>
  <c r="BE268" i="27"/>
  <c r="F264" i="30"/>
  <c r="B273" i="30"/>
  <c r="BB267" i="27"/>
  <c r="BC267" i="27"/>
  <c r="BL267" i="27" s="1"/>
  <c r="E263" i="30"/>
  <c r="BA267" i="27"/>
  <c r="BJ265" i="27"/>
  <c r="BK265" i="27" s="1"/>
  <c r="AU270" i="27"/>
  <c r="AY267" i="27"/>
  <c r="BD267" i="27"/>
  <c r="BG267" i="27" s="1"/>
  <c r="D265" i="30"/>
  <c r="I265" i="30" s="1"/>
  <c r="BI266" i="27"/>
  <c r="BH266" i="27"/>
  <c r="AZ268" i="27"/>
  <c r="AQ278" i="27" l="1"/>
  <c r="AR278" i="27" s="1"/>
  <c r="AM280" i="27"/>
  <c r="AS279" i="27"/>
  <c r="BF278" i="27"/>
  <c r="G274" i="30"/>
  <c r="S280" i="27"/>
  <c r="T280" i="27" s="1"/>
  <c r="AO279" i="27"/>
  <c r="AP279" i="27"/>
  <c r="AN280" i="27"/>
  <c r="AA280" i="27"/>
  <c r="AG279" i="27"/>
  <c r="AE279" i="27"/>
  <c r="AF279" i="27" s="1"/>
  <c r="U280" i="27"/>
  <c r="AD280" i="27"/>
  <c r="AB281" i="27"/>
  <c r="AC280" i="27"/>
  <c r="AT265" i="27"/>
  <c r="H261" i="30" s="1"/>
  <c r="R281" i="27"/>
  <c r="Q281" i="27"/>
  <c r="I281" i="27"/>
  <c r="BJ266" i="27"/>
  <c r="BK266" i="27" s="1"/>
  <c r="AX267" i="27"/>
  <c r="BE269" i="27"/>
  <c r="F265" i="30"/>
  <c r="AZ269" i="27"/>
  <c r="BC268" i="27"/>
  <c r="BB268" i="27"/>
  <c r="E264" i="30"/>
  <c r="B274" i="30"/>
  <c r="AY268" i="27"/>
  <c r="BA268" i="27"/>
  <c r="BD268" i="27"/>
  <c r="BG268" i="27" s="1"/>
  <c r="BI267" i="27"/>
  <c r="BH267" i="27"/>
  <c r="AU271" i="27"/>
  <c r="D266" i="30"/>
  <c r="I266" i="30" s="1"/>
  <c r="AE280" i="27" l="1"/>
  <c r="AF280" i="27" s="1"/>
  <c r="BF279" i="27"/>
  <c r="G275" i="30"/>
  <c r="AS280" i="27"/>
  <c r="AM281" i="27"/>
  <c r="AO280" i="27"/>
  <c r="AN281" i="27"/>
  <c r="AP280" i="27"/>
  <c r="AQ279" i="27"/>
  <c r="AR279" i="27" s="1"/>
  <c r="AA281" i="27"/>
  <c r="AG280" i="27"/>
  <c r="U281" i="27"/>
  <c r="AB282" i="27"/>
  <c r="AC281" i="27"/>
  <c r="AD281" i="27"/>
  <c r="I282" i="27"/>
  <c r="R282" i="27"/>
  <c r="Q282" i="27"/>
  <c r="S281" i="27"/>
  <c r="T281" i="27" s="1"/>
  <c r="AT266" i="27"/>
  <c r="H262" i="30" s="1"/>
  <c r="BL268" i="27"/>
  <c r="AX268" i="27"/>
  <c r="BE270" i="27"/>
  <c r="F266" i="30"/>
  <c r="B275" i="30"/>
  <c r="BB269" i="27"/>
  <c r="BC269" i="27"/>
  <c r="BL269" i="27" s="1"/>
  <c r="E265" i="30"/>
  <c r="BJ267" i="27"/>
  <c r="BK267" i="27" s="1"/>
  <c r="AZ270" i="27"/>
  <c r="AY269" i="27"/>
  <c r="BD269" i="27"/>
  <c r="BG269" i="27" s="1"/>
  <c r="BA269" i="27"/>
  <c r="AU272" i="27"/>
  <c r="BI268" i="27"/>
  <c r="BH268" i="27"/>
  <c r="D267" i="30"/>
  <c r="I267" i="30" s="1"/>
  <c r="AM282" i="27" l="1"/>
  <c r="AS281" i="27"/>
  <c r="BF280" i="27"/>
  <c r="G276" i="30"/>
  <c r="AO281" i="27"/>
  <c r="AP281" i="27"/>
  <c r="AN282" i="27"/>
  <c r="AQ280" i="27"/>
  <c r="AR280" i="27" s="1"/>
  <c r="S282" i="27"/>
  <c r="T282" i="27" s="1"/>
  <c r="AA282" i="27"/>
  <c r="AG281" i="27"/>
  <c r="U282" i="27"/>
  <c r="AE281" i="27"/>
  <c r="AF281" i="27" s="1"/>
  <c r="AD282" i="27"/>
  <c r="AB283" i="27"/>
  <c r="AC282" i="27"/>
  <c r="Q283" i="27"/>
  <c r="R283" i="27"/>
  <c r="I283" i="27"/>
  <c r="AT267" i="27"/>
  <c r="H263" i="30" s="1"/>
  <c r="AZ271" i="27"/>
  <c r="AX269" i="27"/>
  <c r="BE271" i="27"/>
  <c r="F267" i="30"/>
  <c r="BB270" i="27"/>
  <c r="BC270" i="27"/>
  <c r="BL270" i="27" s="1"/>
  <c r="E266" i="30"/>
  <c r="BA270" i="27"/>
  <c r="B276" i="30"/>
  <c r="AY270" i="27"/>
  <c r="D268" i="30"/>
  <c r="I268" i="30" s="1"/>
  <c r="BJ268" i="27"/>
  <c r="BK268" i="27" s="1"/>
  <c r="BD270" i="27"/>
  <c r="BG270" i="27" s="1"/>
  <c r="BI269" i="27"/>
  <c r="BH269" i="27"/>
  <c r="AU273" i="27"/>
  <c r="BF281" i="27" l="1"/>
  <c r="G277" i="30"/>
  <c r="AS282" i="27"/>
  <c r="AM283" i="27"/>
  <c r="AO282" i="27"/>
  <c r="AN283" i="27"/>
  <c r="AP282" i="27"/>
  <c r="AQ281" i="27"/>
  <c r="AR281" i="27" s="1"/>
  <c r="AE282" i="27"/>
  <c r="AF282" i="27" s="1"/>
  <c r="AG282" i="27"/>
  <c r="AA283" i="27"/>
  <c r="U283" i="27"/>
  <c r="AB284" i="27"/>
  <c r="AC283" i="27"/>
  <c r="AD283" i="27"/>
  <c r="S283" i="27"/>
  <c r="T283" i="27" s="1"/>
  <c r="R284" i="27"/>
  <c r="Q284" i="27"/>
  <c r="AT268" i="27"/>
  <c r="H264" i="30" s="1"/>
  <c r="I284" i="27"/>
  <c r="AZ272" i="27"/>
  <c r="BE272" i="27"/>
  <c r="F268" i="30"/>
  <c r="AX270" i="27"/>
  <c r="BB271" i="27"/>
  <c r="BC271" i="27"/>
  <c r="E267" i="30"/>
  <c r="B277" i="30"/>
  <c r="BJ269" i="27"/>
  <c r="BK269" i="27" s="1"/>
  <c r="BI270" i="27"/>
  <c r="BH270" i="27"/>
  <c r="BA271" i="27"/>
  <c r="AY271" i="27"/>
  <c r="AU274" i="27"/>
  <c r="D269" i="30"/>
  <c r="I269" i="30" s="1"/>
  <c r="BD271" i="27"/>
  <c r="BG271" i="27" s="1"/>
  <c r="AM284" i="27" l="1"/>
  <c r="AS283" i="27"/>
  <c r="BF282" i="27"/>
  <c r="G278" i="30"/>
  <c r="AN284" i="27"/>
  <c r="AP283" i="27"/>
  <c r="AO283" i="27"/>
  <c r="AQ282" i="27"/>
  <c r="AR282" i="27" s="1"/>
  <c r="AG283" i="27"/>
  <c r="AA284" i="27"/>
  <c r="S284" i="27"/>
  <c r="T284" i="27" s="1"/>
  <c r="U284" i="27"/>
  <c r="AE283" i="27"/>
  <c r="AF283" i="27" s="1"/>
  <c r="AD284" i="27"/>
  <c r="AC284" i="27"/>
  <c r="AB285" i="27"/>
  <c r="AT269" i="27"/>
  <c r="H265" i="30" s="1"/>
  <c r="Q285" i="27"/>
  <c r="R285" i="27"/>
  <c r="I285" i="27"/>
  <c r="BL271" i="27"/>
  <c r="BE273" i="27"/>
  <c r="F269" i="30"/>
  <c r="BC272" i="27"/>
  <c r="BB272" i="27"/>
  <c r="E268" i="30"/>
  <c r="B278" i="30"/>
  <c r="AX271" i="27"/>
  <c r="AZ273" i="27"/>
  <c r="AU275" i="27"/>
  <c r="D270" i="30"/>
  <c r="I270" i="30" s="1"/>
  <c r="AY272" i="27"/>
  <c r="BA272" i="27"/>
  <c r="BD272" i="27"/>
  <c r="BG272" i="27" s="1"/>
  <c r="BI271" i="27"/>
  <c r="BH271" i="27"/>
  <c r="BJ270" i="27"/>
  <c r="BK270" i="27" s="1"/>
  <c r="AE284" i="27" l="1"/>
  <c r="AF284" i="27" s="1"/>
  <c r="AQ283" i="27"/>
  <c r="AR283" i="27" s="1"/>
  <c r="AS284" i="27"/>
  <c r="AM285" i="27"/>
  <c r="BF283" i="27"/>
  <c r="G279" i="30"/>
  <c r="AN285" i="27"/>
  <c r="AO284" i="27"/>
  <c r="AP284" i="27"/>
  <c r="AG284" i="27"/>
  <c r="AA285" i="27"/>
  <c r="U285" i="27"/>
  <c r="AB286" i="27"/>
  <c r="AC285" i="27"/>
  <c r="AD285" i="27"/>
  <c r="S285" i="27"/>
  <c r="T285" i="27" s="1"/>
  <c r="I286" i="27"/>
  <c r="Q286" i="27"/>
  <c r="R286" i="27"/>
  <c r="AT270" i="27"/>
  <c r="H266" i="30" s="1"/>
  <c r="BJ271" i="27"/>
  <c r="BK271" i="27" s="1"/>
  <c r="BL272" i="27"/>
  <c r="BE274" i="27"/>
  <c r="F270" i="30"/>
  <c r="B279" i="30"/>
  <c r="BB273" i="27"/>
  <c r="BC273" i="27"/>
  <c r="BL273" i="27" s="1"/>
  <c r="E269" i="30"/>
  <c r="AZ274" i="27"/>
  <c r="AY273" i="27"/>
  <c r="AX272" i="27"/>
  <c r="BD273" i="27"/>
  <c r="BG273" i="27" s="1"/>
  <c r="BH272" i="27"/>
  <c r="BI272" i="27"/>
  <c r="AU276" i="27"/>
  <c r="BA273" i="27"/>
  <c r="AY274" i="27"/>
  <c r="D271" i="30"/>
  <c r="I271" i="30" s="1"/>
  <c r="G280" i="30" l="1"/>
  <c r="BF284" i="27"/>
  <c r="AM286" i="27"/>
  <c r="AS285" i="27"/>
  <c r="AQ284" i="27"/>
  <c r="AR284" i="27" s="1"/>
  <c r="AN286" i="27"/>
  <c r="AP285" i="27"/>
  <c r="AO285" i="27"/>
  <c r="AA286" i="27"/>
  <c r="AG285" i="27"/>
  <c r="U286" i="27"/>
  <c r="AE285" i="27"/>
  <c r="AF285" i="27" s="1"/>
  <c r="AB287" i="27"/>
  <c r="AD286" i="27"/>
  <c r="AC286" i="27"/>
  <c r="S286" i="27"/>
  <c r="T286" i="27" s="1"/>
  <c r="R287" i="27"/>
  <c r="Q287" i="27"/>
  <c r="AT271" i="27"/>
  <c r="H267" i="30" s="1"/>
  <c r="I287" i="27"/>
  <c r="AX273" i="27"/>
  <c r="BE275" i="27"/>
  <c r="F271" i="30"/>
  <c r="BB274" i="27"/>
  <c r="BC274" i="27"/>
  <c r="E270" i="30"/>
  <c r="B280" i="30"/>
  <c r="BA274" i="27"/>
  <c r="AX274" i="27" s="1"/>
  <c r="AU277" i="27"/>
  <c r="BJ272" i="27"/>
  <c r="BK272" i="27" s="1"/>
  <c r="D272" i="30"/>
  <c r="I272" i="30" s="1"/>
  <c r="BD274" i="27"/>
  <c r="BG274" i="27" s="1"/>
  <c r="BI273" i="27"/>
  <c r="BH273" i="27"/>
  <c r="AZ275" i="27"/>
  <c r="AE286" i="27" l="1"/>
  <c r="AF286" i="27" s="1"/>
  <c r="AQ285" i="27"/>
  <c r="AR285" i="27" s="1"/>
  <c r="BF285" i="27"/>
  <c r="G281" i="30"/>
  <c r="AS286" i="27"/>
  <c r="AM287" i="27"/>
  <c r="AN287" i="27"/>
  <c r="AP286" i="27"/>
  <c r="AO286" i="27"/>
  <c r="AG286" i="27"/>
  <c r="AA287" i="27"/>
  <c r="U287" i="27"/>
  <c r="AB288" i="27"/>
  <c r="AC287" i="27"/>
  <c r="AD287" i="27"/>
  <c r="R288" i="27"/>
  <c r="Q288" i="27"/>
  <c r="I288" i="27"/>
  <c r="AT272" i="27"/>
  <c r="H268" i="30" s="1"/>
  <c r="S287" i="27"/>
  <c r="T287" i="27" s="1"/>
  <c r="BL274" i="27"/>
  <c r="AZ276" i="27"/>
  <c r="BE276" i="27"/>
  <c r="F272" i="30"/>
  <c r="BB275" i="27"/>
  <c r="BC275" i="27"/>
  <c r="BL275" i="27" s="1"/>
  <c r="E271" i="30"/>
  <c r="B281" i="30"/>
  <c r="BA275" i="27"/>
  <c r="AY275" i="27"/>
  <c r="BJ273" i="27"/>
  <c r="BK273" i="27" s="1"/>
  <c r="D273" i="30"/>
  <c r="I273" i="30" s="1"/>
  <c r="BD275" i="27"/>
  <c r="BG275" i="27" s="1"/>
  <c r="BI274" i="27"/>
  <c r="BH274" i="27"/>
  <c r="AU278" i="27"/>
  <c r="AQ286" i="27" l="1"/>
  <c r="AR286" i="27" s="1"/>
  <c r="BF286" i="27"/>
  <c r="G282" i="30"/>
  <c r="AS287" i="27"/>
  <c r="AM288" i="27"/>
  <c r="AO287" i="27"/>
  <c r="AN288" i="27"/>
  <c r="AP287" i="27"/>
  <c r="AG287" i="27"/>
  <c r="AA288" i="27"/>
  <c r="S288" i="27"/>
  <c r="T288" i="27" s="1"/>
  <c r="U288" i="27"/>
  <c r="AE287" i="27"/>
  <c r="AF287" i="27" s="1"/>
  <c r="AB289" i="27"/>
  <c r="AC288" i="27"/>
  <c r="AD288" i="27"/>
  <c r="Q289" i="27"/>
  <c r="R289" i="27"/>
  <c r="I289" i="27"/>
  <c r="AT273" i="27"/>
  <c r="H269" i="30" s="1"/>
  <c r="BE277" i="27"/>
  <c r="F273" i="30"/>
  <c r="B282" i="30"/>
  <c r="BC276" i="27"/>
  <c r="BB276" i="27"/>
  <c r="E272" i="30"/>
  <c r="AX275" i="27"/>
  <c r="AY276" i="27"/>
  <c r="BA276" i="27"/>
  <c r="AZ277" i="27"/>
  <c r="BJ274" i="27"/>
  <c r="BK274" i="27" s="1"/>
  <c r="BI275" i="27"/>
  <c r="BH275" i="27"/>
  <c r="AU279" i="27"/>
  <c r="D274" i="30"/>
  <c r="I274" i="30" s="1"/>
  <c r="BD276" i="27"/>
  <c r="BG276" i="27" s="1"/>
  <c r="G283" i="30" l="1"/>
  <c r="BF287" i="27"/>
  <c r="AM289" i="27"/>
  <c r="AS288" i="27"/>
  <c r="AO288" i="27"/>
  <c r="AP288" i="27"/>
  <c r="AN289" i="27"/>
  <c r="AQ287" i="27"/>
  <c r="AR287" i="27" s="1"/>
  <c r="AG288" i="27"/>
  <c r="AA289" i="27"/>
  <c r="AE288" i="27"/>
  <c r="AF288" i="27" s="1"/>
  <c r="U289" i="27"/>
  <c r="AB290" i="27"/>
  <c r="AD289" i="27"/>
  <c r="AC289" i="27"/>
  <c r="AT274" i="27"/>
  <c r="H270" i="30" s="1"/>
  <c r="S289" i="27"/>
  <c r="T289" i="27" s="1"/>
  <c r="Q290" i="27"/>
  <c r="R290" i="27"/>
  <c r="I290" i="27"/>
  <c r="BL276" i="27"/>
  <c r="AX276" i="27"/>
  <c r="BE278" i="27"/>
  <c r="F274" i="30"/>
  <c r="BB277" i="27"/>
  <c r="BC277" i="27"/>
  <c r="BL277" i="27" s="1"/>
  <c r="E273" i="30"/>
  <c r="B283" i="30"/>
  <c r="BJ275" i="27"/>
  <c r="BK275" i="27" s="1"/>
  <c r="AY277" i="27"/>
  <c r="AZ278" i="27"/>
  <c r="BA277" i="27"/>
  <c r="BD277" i="27"/>
  <c r="BG277" i="27" s="1"/>
  <c r="BH276" i="27"/>
  <c r="BI276" i="27"/>
  <c r="D275" i="30"/>
  <c r="I275" i="30" s="1"/>
  <c r="AU280" i="27"/>
  <c r="AE289" i="27" l="1"/>
  <c r="AF289" i="27" s="1"/>
  <c r="G284" i="30"/>
  <c r="BF288" i="27"/>
  <c r="AM290" i="27"/>
  <c r="AS289" i="27"/>
  <c r="AN290" i="27"/>
  <c r="AP289" i="27"/>
  <c r="AO289" i="27"/>
  <c r="AQ288" i="27"/>
  <c r="AR288" i="27" s="1"/>
  <c r="AA290" i="27"/>
  <c r="AG289" i="27"/>
  <c r="U290" i="27"/>
  <c r="AB291" i="27"/>
  <c r="AC290" i="27"/>
  <c r="AD290" i="27"/>
  <c r="AT275" i="27"/>
  <c r="H271" i="30" s="1"/>
  <c r="Q291" i="27"/>
  <c r="R291" i="27"/>
  <c r="I291" i="27"/>
  <c r="S290" i="27"/>
  <c r="T290" i="27" s="1"/>
  <c r="AX277" i="27"/>
  <c r="BE279" i="27"/>
  <c r="F275" i="30"/>
  <c r="BB278" i="27"/>
  <c r="BC278" i="27"/>
  <c r="E274" i="30"/>
  <c r="B284" i="30"/>
  <c r="AY278" i="27"/>
  <c r="BA278" i="27"/>
  <c r="AZ279" i="27"/>
  <c r="BI277" i="27"/>
  <c r="BH277" i="27"/>
  <c r="D276" i="30"/>
  <c r="I276" i="30" s="1"/>
  <c r="BJ276" i="27"/>
  <c r="BK276" i="27" s="1"/>
  <c r="BD278" i="27"/>
  <c r="BG278" i="27" s="1"/>
  <c r="AU281" i="27"/>
  <c r="AQ289" i="27" l="1"/>
  <c r="AR289" i="27" s="1"/>
  <c r="AS290" i="27"/>
  <c r="AM291" i="27"/>
  <c r="BF289" i="27"/>
  <c r="G285" i="30"/>
  <c r="AO290" i="27"/>
  <c r="AP290" i="27"/>
  <c r="AN291" i="27"/>
  <c r="AA291" i="27"/>
  <c r="AG290" i="27"/>
  <c r="U291" i="27"/>
  <c r="AE290" i="27"/>
  <c r="AF290" i="27" s="1"/>
  <c r="AB292" i="27"/>
  <c r="AC291" i="27"/>
  <c r="AD291" i="27"/>
  <c r="Q292" i="27"/>
  <c r="R292" i="27"/>
  <c r="AT276" i="27"/>
  <c r="H272" i="30" s="1"/>
  <c r="S291" i="27"/>
  <c r="T291" i="27" s="1"/>
  <c r="I292" i="27"/>
  <c r="BL278" i="27"/>
  <c r="AX278" i="27"/>
  <c r="BE280" i="27"/>
  <c r="F276" i="30"/>
  <c r="BB279" i="27"/>
  <c r="BC279" i="27"/>
  <c r="BL279" i="27" s="1"/>
  <c r="E275" i="30"/>
  <c r="B285" i="30"/>
  <c r="BJ277" i="27"/>
  <c r="BK277" i="27" s="1"/>
  <c r="AZ280" i="27"/>
  <c r="AY279" i="27"/>
  <c r="BD279" i="27"/>
  <c r="BG279" i="27" s="1"/>
  <c r="BA279" i="27"/>
  <c r="D277" i="30"/>
  <c r="I277" i="30" s="1"/>
  <c r="AU282" i="27"/>
  <c r="BH278" i="27"/>
  <c r="BI278" i="27"/>
  <c r="AS291" i="27" l="1"/>
  <c r="AM292" i="27"/>
  <c r="G286" i="30"/>
  <c r="BF290" i="27"/>
  <c r="AO291" i="27"/>
  <c r="AN292" i="27"/>
  <c r="AP291" i="27"/>
  <c r="AQ290" i="27"/>
  <c r="AR290" i="27" s="1"/>
  <c r="AA292" i="27"/>
  <c r="AG291" i="27"/>
  <c r="U292" i="27"/>
  <c r="AE291" i="27"/>
  <c r="AF291" i="27" s="1"/>
  <c r="AB293" i="27"/>
  <c r="AC292" i="27"/>
  <c r="AD292" i="27"/>
  <c r="AT277" i="27"/>
  <c r="H273" i="30" s="1"/>
  <c r="S292" i="27"/>
  <c r="T292" i="27" s="1"/>
  <c r="I293" i="27"/>
  <c r="Q293" i="27"/>
  <c r="R293" i="27"/>
  <c r="AX279" i="27"/>
  <c r="BE281" i="27"/>
  <c r="F277" i="30"/>
  <c r="AZ281" i="27"/>
  <c r="B286" i="30"/>
  <c r="BC280" i="27"/>
  <c r="BB280" i="27"/>
  <c r="E276" i="30"/>
  <c r="AY280" i="27"/>
  <c r="BA280" i="27"/>
  <c r="D278" i="30"/>
  <c r="I278" i="30" s="1"/>
  <c r="AU283" i="27"/>
  <c r="BD280" i="27"/>
  <c r="BG280" i="27" s="1"/>
  <c r="BJ278" i="27"/>
  <c r="BK278" i="27" s="1"/>
  <c r="BI279" i="27"/>
  <c r="BH279" i="27"/>
  <c r="AM293" i="27" l="1"/>
  <c r="AS292" i="27"/>
  <c r="G287" i="30"/>
  <c r="BF291" i="27"/>
  <c r="AN293" i="27"/>
  <c r="AP292" i="27"/>
  <c r="AO292" i="27"/>
  <c r="AQ291" i="27"/>
  <c r="AR291" i="27" s="1"/>
  <c r="AG292" i="27"/>
  <c r="AA293" i="27"/>
  <c r="U293" i="27"/>
  <c r="AE292" i="27"/>
  <c r="AF292" i="27" s="1"/>
  <c r="AB294" i="27"/>
  <c r="AD293" i="27"/>
  <c r="AC293" i="27"/>
  <c r="S293" i="27"/>
  <c r="T293" i="27" s="1"/>
  <c r="Q294" i="27"/>
  <c r="R294" i="27"/>
  <c r="AT278" i="27"/>
  <c r="H274" i="30" s="1"/>
  <c r="I294" i="27"/>
  <c r="BL280" i="27"/>
  <c r="BE282" i="27"/>
  <c r="F278" i="30"/>
  <c r="BB281" i="27"/>
  <c r="BC281" i="27"/>
  <c r="BL281" i="27" s="1"/>
  <c r="E277" i="30"/>
  <c r="B287" i="30"/>
  <c r="AZ282" i="27"/>
  <c r="AY281" i="27"/>
  <c r="AX280" i="27"/>
  <c r="AU284" i="27"/>
  <c r="BI280" i="27"/>
  <c r="BH280" i="27"/>
  <c r="BA281" i="27"/>
  <c r="BJ279" i="27"/>
  <c r="BK279" i="27" s="1"/>
  <c r="D279" i="30"/>
  <c r="I279" i="30" s="1"/>
  <c r="BD281" i="27"/>
  <c r="BG281" i="27" s="1"/>
  <c r="AQ292" i="27" l="1"/>
  <c r="AR292" i="27" s="1"/>
  <c r="BF292" i="27"/>
  <c r="G288" i="30"/>
  <c r="AM294" i="27"/>
  <c r="AS293" i="27"/>
  <c r="AN294" i="27"/>
  <c r="AP293" i="27"/>
  <c r="AO293" i="27"/>
  <c r="AE293" i="27"/>
  <c r="AF293" i="27" s="1"/>
  <c r="AA294" i="27"/>
  <c r="AG293" i="27"/>
  <c r="U294" i="27"/>
  <c r="AC294" i="27"/>
  <c r="AD294" i="27"/>
  <c r="AB295" i="27"/>
  <c r="AT279" i="27"/>
  <c r="H275" i="30" s="1"/>
  <c r="I295" i="27"/>
  <c r="R295" i="27"/>
  <c r="Q295" i="27"/>
  <c r="S294" i="27"/>
  <c r="T294" i="27" s="1"/>
  <c r="AX281" i="27"/>
  <c r="BE283" i="27"/>
  <c r="F279" i="30"/>
  <c r="BC282" i="27"/>
  <c r="BL282" i="27" s="1"/>
  <c r="BB282" i="27"/>
  <c r="E278" i="30"/>
  <c r="B288" i="30"/>
  <c r="AY282" i="27"/>
  <c r="BA282" i="27"/>
  <c r="BJ280" i="27"/>
  <c r="BK280" i="27" s="1"/>
  <c r="BD282" i="27"/>
  <c r="BG282" i="27" s="1"/>
  <c r="AZ283" i="27"/>
  <c r="D280" i="30"/>
  <c r="I280" i="30" s="1"/>
  <c r="BI281" i="27"/>
  <c r="BH281" i="27"/>
  <c r="AU285" i="27"/>
  <c r="S295" i="27" l="1"/>
  <c r="T295" i="27" s="1"/>
  <c r="AQ293" i="27"/>
  <c r="AR293" i="27" s="1"/>
  <c r="BF293" i="27"/>
  <c r="G289" i="30"/>
  <c r="AM295" i="27"/>
  <c r="AS294" i="27"/>
  <c r="AN295" i="27"/>
  <c r="AP294" i="27"/>
  <c r="AO294" i="27"/>
  <c r="AA295" i="27"/>
  <c r="AG294" i="27"/>
  <c r="U295" i="27"/>
  <c r="AC295" i="27"/>
  <c r="AD295" i="27"/>
  <c r="AB296" i="27"/>
  <c r="AE294" i="27"/>
  <c r="AF294" i="27" s="1"/>
  <c r="AT280" i="27"/>
  <c r="H276" i="30" s="1"/>
  <c r="R296" i="27"/>
  <c r="Q296" i="27"/>
  <c r="I296" i="27"/>
  <c r="AX282" i="27"/>
  <c r="BE284" i="27"/>
  <c r="F280" i="30"/>
  <c r="BB283" i="27"/>
  <c r="BC283" i="27"/>
  <c r="BL283" i="27" s="1"/>
  <c r="E279" i="30"/>
  <c r="B289" i="30"/>
  <c r="AZ284" i="27"/>
  <c r="AY283" i="27"/>
  <c r="BA283" i="27"/>
  <c r="BD283" i="27"/>
  <c r="BG283" i="27" s="1"/>
  <c r="AU286" i="27"/>
  <c r="BJ281" i="27"/>
  <c r="BK281" i="27" s="1"/>
  <c r="D281" i="30"/>
  <c r="I281" i="30" s="1"/>
  <c r="BI282" i="27"/>
  <c r="BH282" i="27"/>
  <c r="AQ294" i="27" l="1"/>
  <c r="AR294" i="27" s="1"/>
  <c r="AM296" i="27"/>
  <c r="AS295" i="27"/>
  <c r="S296" i="27"/>
  <c r="T296" i="27" s="1"/>
  <c r="BF294" i="27"/>
  <c r="G290" i="30"/>
  <c r="AO295" i="27"/>
  <c r="AN296" i="27"/>
  <c r="AP295" i="27"/>
  <c r="AE295" i="27"/>
  <c r="AF295" i="27" s="1"/>
  <c r="AG295" i="27"/>
  <c r="AA296" i="27"/>
  <c r="U296" i="27"/>
  <c r="AB297" i="27"/>
  <c r="AC296" i="27"/>
  <c r="AD296" i="27"/>
  <c r="Q297" i="27"/>
  <c r="R297" i="27"/>
  <c r="AT281" i="27"/>
  <c r="H277" i="30" s="1"/>
  <c r="I297" i="27"/>
  <c r="BJ282" i="27"/>
  <c r="BK282" i="27" s="1"/>
  <c r="AX283" i="27"/>
  <c r="AY284" i="27"/>
  <c r="BE285" i="27"/>
  <c r="F281" i="30"/>
  <c r="AZ285" i="27"/>
  <c r="BC284" i="27"/>
  <c r="BB284" i="27"/>
  <c r="E280" i="30"/>
  <c r="B290" i="30"/>
  <c r="BA284" i="27"/>
  <c r="D282" i="30"/>
  <c r="I282" i="30" s="1"/>
  <c r="AU287" i="27"/>
  <c r="BI283" i="27"/>
  <c r="BH283" i="27"/>
  <c r="BD284" i="27"/>
  <c r="BG284" i="27" s="1"/>
  <c r="G291" i="30" l="1"/>
  <c r="BF295" i="27"/>
  <c r="AM297" i="27"/>
  <c r="AS296" i="27"/>
  <c r="AP296" i="27"/>
  <c r="AN297" i="27"/>
  <c r="AO296" i="27"/>
  <c r="AQ295" i="27"/>
  <c r="AR295" i="27" s="1"/>
  <c r="AG296" i="27"/>
  <c r="AA297" i="27"/>
  <c r="AX284" i="27"/>
  <c r="U297" i="27"/>
  <c r="AE296" i="27"/>
  <c r="AF296" i="27" s="1"/>
  <c r="AB298" i="27"/>
  <c r="AD297" i="27"/>
  <c r="AC297" i="27"/>
  <c r="I298" i="27"/>
  <c r="AT282" i="27"/>
  <c r="H278" i="30" s="1"/>
  <c r="Q298" i="27"/>
  <c r="R298" i="27"/>
  <c r="S297" i="27"/>
  <c r="T297" i="27" s="1"/>
  <c r="BL284" i="27"/>
  <c r="BE286" i="27"/>
  <c r="F282" i="30"/>
  <c r="BB285" i="27"/>
  <c r="BC285" i="27"/>
  <c r="BL285" i="27" s="1"/>
  <c r="E281" i="30"/>
  <c r="B291" i="30"/>
  <c r="AZ286" i="27"/>
  <c r="BA285" i="27"/>
  <c r="D283" i="30"/>
  <c r="I283" i="30" s="1"/>
  <c r="AY285" i="27"/>
  <c r="BD285" i="27"/>
  <c r="BG285" i="27" s="1"/>
  <c r="AU288" i="27"/>
  <c r="BI284" i="27"/>
  <c r="BH284" i="27"/>
  <c r="BJ283" i="27"/>
  <c r="BK283" i="27" s="1"/>
  <c r="AQ296" i="27" l="1"/>
  <c r="AR296" i="27" s="1"/>
  <c r="AS297" i="27"/>
  <c r="AM298" i="27"/>
  <c r="BF296" i="27"/>
  <c r="G292" i="30"/>
  <c r="AN298" i="27"/>
  <c r="AP297" i="27"/>
  <c r="AO297" i="27"/>
  <c r="AE297" i="27"/>
  <c r="AF297" i="27" s="1"/>
  <c r="AG297" i="27"/>
  <c r="AA298" i="27"/>
  <c r="U298" i="27"/>
  <c r="AD298" i="27"/>
  <c r="AC298" i="27"/>
  <c r="AB299" i="27"/>
  <c r="R299" i="27"/>
  <c r="Q299" i="27"/>
  <c r="I299" i="27"/>
  <c r="S298" i="27"/>
  <c r="T298" i="27" s="1"/>
  <c r="AT283" i="27"/>
  <c r="H279" i="30" s="1"/>
  <c r="AZ287" i="27"/>
  <c r="BE287" i="27"/>
  <c r="F283" i="30"/>
  <c r="AX285" i="27"/>
  <c r="BB286" i="27"/>
  <c r="BC286" i="27"/>
  <c r="E282" i="30"/>
  <c r="B292" i="30"/>
  <c r="AY286" i="27"/>
  <c r="BA286" i="27"/>
  <c r="AU289" i="27"/>
  <c r="BJ284" i="27"/>
  <c r="BK284" i="27" s="1"/>
  <c r="BI285" i="27"/>
  <c r="BH285" i="27"/>
  <c r="BD286" i="27"/>
  <c r="BG286" i="27" s="1"/>
  <c r="D284" i="30"/>
  <c r="I284" i="30" s="1"/>
  <c r="AQ297" i="27" l="1"/>
  <c r="AR297" i="27" s="1"/>
  <c r="AM299" i="27"/>
  <c r="AS298" i="27"/>
  <c r="G293" i="30"/>
  <c r="BF297" i="27"/>
  <c r="AO298" i="27"/>
  <c r="AP298" i="27"/>
  <c r="AN299" i="27"/>
  <c r="AE298" i="27"/>
  <c r="AF298" i="27" s="1"/>
  <c r="S299" i="27"/>
  <c r="T299" i="27" s="1"/>
  <c r="AA299" i="27"/>
  <c r="AG298" i="27"/>
  <c r="U299" i="27"/>
  <c r="AC299" i="27"/>
  <c r="AB300" i="27"/>
  <c r="AD299" i="27"/>
  <c r="AT284" i="27"/>
  <c r="H280" i="30" s="1"/>
  <c r="R300" i="27"/>
  <c r="Q300" i="27"/>
  <c r="I300" i="27"/>
  <c r="BL286" i="27"/>
  <c r="AX286" i="27"/>
  <c r="BE288" i="27"/>
  <c r="F284" i="30"/>
  <c r="B293" i="30"/>
  <c r="BB287" i="27"/>
  <c r="BC287" i="27"/>
  <c r="BL287" i="27" s="1"/>
  <c r="E283" i="30"/>
  <c r="BD287" i="27"/>
  <c r="BG287" i="27" s="1"/>
  <c r="BJ285" i="27"/>
  <c r="BK285" i="27" s="1"/>
  <c r="BA287" i="27"/>
  <c r="AZ288" i="27"/>
  <c r="AU290" i="27"/>
  <c r="D285" i="30"/>
  <c r="I285" i="30" s="1"/>
  <c r="BI286" i="27"/>
  <c r="BH286" i="27"/>
  <c r="AY287" i="27"/>
  <c r="S300" i="27" l="1"/>
  <c r="T300" i="27" s="1"/>
  <c r="G294" i="30"/>
  <c r="BF298" i="27"/>
  <c r="AM300" i="27"/>
  <c r="AS299" i="27"/>
  <c r="AO299" i="27"/>
  <c r="AN300" i="27"/>
  <c r="AP299" i="27"/>
  <c r="AQ298" i="27"/>
  <c r="AR298" i="27" s="1"/>
  <c r="AA300" i="27"/>
  <c r="AG299" i="27"/>
  <c r="U300" i="27"/>
  <c r="AD300" i="27"/>
  <c r="AC300" i="27"/>
  <c r="AB301" i="27"/>
  <c r="AE299" i="27"/>
  <c r="AF299" i="27" s="1"/>
  <c r="Q301" i="27"/>
  <c r="R301" i="27"/>
  <c r="AT285" i="27"/>
  <c r="H281" i="30" s="1"/>
  <c r="I301" i="27"/>
  <c r="BJ286" i="27"/>
  <c r="BK286" i="27" s="1"/>
  <c r="AZ289" i="27"/>
  <c r="BE289" i="27"/>
  <c r="F285" i="30"/>
  <c r="BB288" i="27"/>
  <c r="BC288" i="27"/>
  <c r="BL288" i="27" s="1"/>
  <c r="E284" i="30"/>
  <c r="B294" i="30"/>
  <c r="BA288" i="27"/>
  <c r="AY288" i="27"/>
  <c r="AU291" i="27"/>
  <c r="AX287" i="27"/>
  <c r="BD288" i="27"/>
  <c r="BG288" i="27" s="1"/>
  <c r="D286" i="30"/>
  <c r="I286" i="30" s="1"/>
  <c r="BI287" i="27"/>
  <c r="BH287" i="27"/>
  <c r="AE300" i="27" l="1"/>
  <c r="AF300" i="27" s="1"/>
  <c r="G295" i="30"/>
  <c r="BF299" i="27"/>
  <c r="AS300" i="27"/>
  <c r="AM301" i="27"/>
  <c r="AO300" i="27"/>
  <c r="AN301" i="27"/>
  <c r="AP300" i="27"/>
  <c r="AQ299" i="27"/>
  <c r="AR299" i="27" s="1"/>
  <c r="AA301" i="27"/>
  <c r="AG300" i="27"/>
  <c r="U301" i="27"/>
  <c r="AD301" i="27"/>
  <c r="AB302" i="27"/>
  <c r="AC301" i="27"/>
  <c r="AT286" i="27"/>
  <c r="H282" i="30" s="1"/>
  <c r="I302" i="27"/>
  <c r="R302" i="27"/>
  <c r="Q302" i="27"/>
  <c r="S301" i="27"/>
  <c r="T301" i="27" s="1"/>
  <c r="BJ287" i="27"/>
  <c r="BK287" i="27" s="1"/>
  <c r="AX288" i="27"/>
  <c r="BE290" i="27"/>
  <c r="F286" i="30"/>
  <c r="B295" i="30"/>
  <c r="BB289" i="27"/>
  <c r="BC289" i="27"/>
  <c r="BL289" i="27" s="1"/>
  <c r="E285" i="30"/>
  <c r="BA289" i="27"/>
  <c r="AZ290" i="27"/>
  <c r="BI288" i="27"/>
  <c r="BH288" i="27"/>
  <c r="BD289" i="27"/>
  <c r="BG289" i="27" s="1"/>
  <c r="D287" i="30"/>
  <c r="I287" i="30" s="1"/>
  <c r="AU292" i="27"/>
  <c r="AY289" i="27"/>
  <c r="AE301" i="27" l="1"/>
  <c r="AF301" i="27" s="1"/>
  <c r="AS301" i="27"/>
  <c r="AM302" i="27"/>
  <c r="G296" i="30"/>
  <c r="BF300" i="27"/>
  <c r="AP301" i="27"/>
  <c r="AO301" i="27"/>
  <c r="AN302" i="27"/>
  <c r="AQ300" i="27"/>
  <c r="AR300" i="27" s="1"/>
  <c r="AA302" i="27"/>
  <c r="AG301" i="27"/>
  <c r="U302" i="27"/>
  <c r="AB303" i="27"/>
  <c r="AC302" i="27"/>
  <c r="AD302" i="27"/>
  <c r="I303" i="27"/>
  <c r="S302" i="27"/>
  <c r="T302" i="27" s="1"/>
  <c r="R303" i="27"/>
  <c r="Q303" i="27"/>
  <c r="AT287" i="27"/>
  <c r="H283" i="30" s="1"/>
  <c r="BJ288" i="27"/>
  <c r="BK288" i="27" s="1"/>
  <c r="AX289" i="27"/>
  <c r="BE291" i="27"/>
  <c r="F287" i="30"/>
  <c r="BC290" i="27"/>
  <c r="BB290" i="27"/>
  <c r="E286" i="30"/>
  <c r="B296" i="30"/>
  <c r="AZ291" i="27"/>
  <c r="BA290" i="27"/>
  <c r="AY290" i="27"/>
  <c r="AU293" i="27"/>
  <c r="D288" i="30"/>
  <c r="I288" i="30" s="1"/>
  <c r="BD290" i="27"/>
  <c r="BG290" i="27" s="1"/>
  <c r="BH289" i="27"/>
  <c r="BI289" i="27"/>
  <c r="AM303" i="27" l="1"/>
  <c r="AS302" i="27"/>
  <c r="BF301" i="27"/>
  <c r="G297" i="30"/>
  <c r="AQ301" i="27"/>
  <c r="AR301" i="27" s="1"/>
  <c r="S303" i="27"/>
  <c r="T303" i="27" s="1"/>
  <c r="AN303" i="27"/>
  <c r="AP302" i="27"/>
  <c r="AO302" i="27"/>
  <c r="AG302" i="27"/>
  <c r="AA303" i="27"/>
  <c r="U303" i="27"/>
  <c r="AE302" i="27"/>
  <c r="AF302" i="27" s="1"/>
  <c r="AB304" i="27"/>
  <c r="AC303" i="27"/>
  <c r="AD303" i="27"/>
  <c r="Q304" i="27"/>
  <c r="R304" i="27"/>
  <c r="AT288" i="27"/>
  <c r="H284" i="30" s="1"/>
  <c r="I304" i="27"/>
  <c r="BL290" i="27"/>
  <c r="AX290" i="27"/>
  <c r="BE292" i="27"/>
  <c r="F288" i="30"/>
  <c r="BB291" i="27"/>
  <c r="BC291" i="27"/>
  <c r="E287" i="30"/>
  <c r="B297" i="30"/>
  <c r="BJ289" i="27"/>
  <c r="BK289" i="27" s="1"/>
  <c r="BA291" i="27"/>
  <c r="AY291" i="27"/>
  <c r="AU294" i="27"/>
  <c r="BI290" i="27"/>
  <c r="BH290" i="27"/>
  <c r="D289" i="30"/>
  <c r="I289" i="30" s="1"/>
  <c r="AZ292" i="27"/>
  <c r="BD291" i="27"/>
  <c r="BG291" i="27" s="1"/>
  <c r="AQ302" i="27" l="1"/>
  <c r="AR302" i="27" s="1"/>
  <c r="G298" i="30"/>
  <c r="BF302" i="27"/>
  <c r="AS303" i="27"/>
  <c r="AM304" i="27"/>
  <c r="AN304" i="27"/>
  <c r="AP303" i="27"/>
  <c r="AO303" i="27"/>
  <c r="AG303" i="27"/>
  <c r="AA304" i="27"/>
  <c r="AX291" i="27"/>
  <c r="U304" i="27"/>
  <c r="AE303" i="27"/>
  <c r="AF303" i="27" s="1"/>
  <c r="AD304" i="27"/>
  <c r="AB305" i="27"/>
  <c r="AC304" i="27"/>
  <c r="Q305" i="27"/>
  <c r="R305" i="27"/>
  <c r="S304" i="27"/>
  <c r="T304" i="27" s="1"/>
  <c r="I305" i="27"/>
  <c r="AT289" i="27"/>
  <c r="H285" i="30" s="1"/>
  <c r="BL291" i="27"/>
  <c r="BE293" i="27"/>
  <c r="F289" i="30"/>
  <c r="BC292" i="27"/>
  <c r="BB292" i="27"/>
  <c r="E288" i="30"/>
  <c r="B298" i="30"/>
  <c r="BA292" i="27"/>
  <c r="AY292" i="27"/>
  <c r="BJ290" i="27"/>
  <c r="BK290" i="27" s="1"/>
  <c r="AZ293" i="27"/>
  <c r="AU295" i="27"/>
  <c r="BI291" i="27"/>
  <c r="BH291" i="27"/>
  <c r="BD292" i="27"/>
  <c r="BG292" i="27" s="1"/>
  <c r="D290" i="30"/>
  <c r="I290" i="30" s="1"/>
  <c r="AQ303" i="27" l="1"/>
  <c r="AR303" i="27" s="1"/>
  <c r="AS304" i="27"/>
  <c r="AM305" i="27"/>
  <c r="G299" i="30"/>
  <c r="BF303" i="27"/>
  <c r="AO304" i="27"/>
  <c r="AP304" i="27"/>
  <c r="AN305" i="27"/>
  <c r="AE304" i="27"/>
  <c r="AF304" i="27" s="1"/>
  <c r="AG304" i="27"/>
  <c r="AA305" i="27"/>
  <c r="U305" i="27"/>
  <c r="AB306" i="27"/>
  <c r="AC305" i="27"/>
  <c r="AD305" i="27"/>
  <c r="S305" i="27"/>
  <c r="T305" i="27" s="1"/>
  <c r="I306" i="27"/>
  <c r="AT290" i="27"/>
  <c r="H286" i="30" s="1"/>
  <c r="Q306" i="27"/>
  <c r="R306" i="27"/>
  <c r="BL292" i="27"/>
  <c r="BA293" i="27"/>
  <c r="BE294" i="27"/>
  <c r="F290" i="30"/>
  <c r="AX292" i="27"/>
  <c r="BB293" i="27"/>
  <c r="BC293" i="27"/>
  <c r="BL293" i="27" s="1"/>
  <c r="E289" i="30"/>
  <c r="B299" i="30"/>
  <c r="BJ291" i="27"/>
  <c r="BK291" i="27" s="1"/>
  <c r="AZ294" i="27"/>
  <c r="AY293" i="27"/>
  <c r="D291" i="30"/>
  <c r="I291" i="30" s="1"/>
  <c r="BD293" i="27"/>
  <c r="BG293" i="27" s="1"/>
  <c r="BI292" i="27"/>
  <c r="BH292" i="27"/>
  <c r="AU296" i="27"/>
  <c r="AS305" i="27" l="1"/>
  <c r="AM306" i="27"/>
  <c r="G300" i="30"/>
  <c r="BF304" i="27"/>
  <c r="AP305" i="27"/>
  <c r="AN306" i="27"/>
  <c r="AO305" i="27"/>
  <c r="AQ304" i="27"/>
  <c r="AR304" i="27" s="1"/>
  <c r="AA306" i="27"/>
  <c r="AG305" i="27"/>
  <c r="U306" i="27"/>
  <c r="AE305" i="27"/>
  <c r="AF305" i="27" s="1"/>
  <c r="AD306" i="27"/>
  <c r="AB307" i="27"/>
  <c r="AC306" i="27"/>
  <c r="AX293" i="27"/>
  <c r="AT291" i="27"/>
  <c r="H287" i="30" s="1"/>
  <c r="I307" i="27"/>
  <c r="Q307" i="27"/>
  <c r="R307" i="27"/>
  <c r="S306" i="27"/>
  <c r="T306" i="27" s="1"/>
  <c r="BE295" i="27"/>
  <c r="F291" i="30"/>
  <c r="BC294" i="27"/>
  <c r="BB294" i="27"/>
  <c r="E290" i="30"/>
  <c r="B300" i="30"/>
  <c r="AY294" i="27"/>
  <c r="BJ292" i="27"/>
  <c r="BK292" i="27" s="1"/>
  <c r="AZ295" i="27"/>
  <c r="BI293" i="27"/>
  <c r="BH293" i="27"/>
  <c r="BA294" i="27"/>
  <c r="BD294" i="27"/>
  <c r="BG294" i="27" s="1"/>
  <c r="D292" i="30"/>
  <c r="I292" i="30" s="1"/>
  <c r="AU297" i="27"/>
  <c r="AQ305" i="27" l="1"/>
  <c r="AR305" i="27" s="1"/>
  <c r="AM307" i="27"/>
  <c r="AS306" i="27"/>
  <c r="BF305" i="27"/>
  <c r="G301" i="30"/>
  <c r="AN307" i="27"/>
  <c r="AP306" i="27"/>
  <c r="AO306" i="27"/>
  <c r="AE306" i="27"/>
  <c r="AF306" i="27" s="1"/>
  <c r="AA307" i="27"/>
  <c r="AG306" i="27"/>
  <c r="U307" i="27"/>
  <c r="AC307" i="27"/>
  <c r="AD307" i="27"/>
  <c r="AB308" i="27"/>
  <c r="S307" i="27"/>
  <c r="T307" i="27" s="1"/>
  <c r="AT292" i="27"/>
  <c r="H288" i="30" s="1"/>
  <c r="R308" i="27"/>
  <c r="Q308" i="27"/>
  <c r="I308" i="27"/>
  <c r="BL294" i="27"/>
  <c r="AX294" i="27"/>
  <c r="BE296" i="27"/>
  <c r="F292" i="30"/>
  <c r="B301" i="30"/>
  <c r="BC295" i="27"/>
  <c r="BL295" i="27" s="1"/>
  <c r="BB295" i="27"/>
  <c r="E291" i="30"/>
  <c r="AZ296" i="27"/>
  <c r="BA295" i="27"/>
  <c r="BJ293" i="27"/>
  <c r="BK293" i="27" s="1"/>
  <c r="AY295" i="27"/>
  <c r="D293" i="30"/>
  <c r="I293" i="30" s="1"/>
  <c r="BD295" i="27"/>
  <c r="BG295" i="27" s="1"/>
  <c r="BI294" i="27"/>
  <c r="BH294" i="27"/>
  <c r="AU298" i="27"/>
  <c r="AQ306" i="27" l="1"/>
  <c r="AR306" i="27" s="1"/>
  <c r="BF306" i="27"/>
  <c r="G302" i="30"/>
  <c r="AS307" i="27"/>
  <c r="AM308" i="27"/>
  <c r="S308" i="27"/>
  <c r="T308" i="27" s="1"/>
  <c r="AP307" i="27"/>
  <c r="AO307" i="27"/>
  <c r="AN308" i="27"/>
  <c r="AG307" i="27"/>
  <c r="AA308" i="27"/>
  <c r="U308" i="27"/>
  <c r="AC308" i="27"/>
  <c r="AD308" i="27"/>
  <c r="AB309" i="27"/>
  <c r="AE307" i="27"/>
  <c r="AF307" i="27" s="1"/>
  <c r="AT293" i="27"/>
  <c r="H289" i="30" s="1"/>
  <c r="Q309" i="27"/>
  <c r="R309" i="27"/>
  <c r="I309" i="27"/>
  <c r="AX295" i="27"/>
  <c r="BE297" i="27"/>
  <c r="F293" i="30"/>
  <c r="BB296" i="27"/>
  <c r="BC296" i="27"/>
  <c r="BL296" i="27" s="1"/>
  <c r="E292" i="30"/>
  <c r="B302" i="30"/>
  <c r="BA296" i="27"/>
  <c r="AZ297" i="27"/>
  <c r="BI295" i="27"/>
  <c r="BH295" i="27"/>
  <c r="BD296" i="27"/>
  <c r="BG296" i="27" s="1"/>
  <c r="AU299" i="27"/>
  <c r="BJ294" i="27"/>
  <c r="BK294" i="27" s="1"/>
  <c r="D294" i="30"/>
  <c r="I294" i="30" s="1"/>
  <c r="AY296" i="27"/>
  <c r="AQ307" i="27" l="1"/>
  <c r="AR307" i="27" s="1"/>
  <c r="AM309" i="27"/>
  <c r="AS309" i="27" s="1"/>
  <c r="BF309" i="27" s="1"/>
  <c r="AS308" i="27"/>
  <c r="BF307" i="27"/>
  <c r="G303" i="30"/>
  <c r="AN309" i="27"/>
  <c r="AP308" i="27"/>
  <c r="AO308" i="27"/>
  <c r="AA309" i="27"/>
  <c r="AG309" i="27" s="1"/>
  <c r="AG308" i="27"/>
  <c r="U309" i="27"/>
  <c r="AD309" i="27"/>
  <c r="AC309" i="27"/>
  <c r="AE308" i="27"/>
  <c r="AF308" i="27" s="1"/>
  <c r="S309" i="27"/>
  <c r="T309" i="27" s="1"/>
  <c r="AT294" i="27"/>
  <c r="H290" i="30" s="1"/>
  <c r="BJ295" i="27"/>
  <c r="BK295" i="27" s="1"/>
  <c r="AX296" i="27"/>
  <c r="BE298" i="27"/>
  <c r="F294" i="30"/>
  <c r="BC297" i="27"/>
  <c r="BB297" i="27"/>
  <c r="E293" i="30"/>
  <c r="B303" i="30"/>
  <c r="AY297" i="27"/>
  <c r="AZ298" i="27"/>
  <c r="BA297" i="27"/>
  <c r="BI296" i="27"/>
  <c r="BH296" i="27"/>
  <c r="AU300" i="27"/>
  <c r="D295" i="30"/>
  <c r="I295" i="30" s="1"/>
  <c r="BD297" i="27"/>
  <c r="BG297" i="27" s="1"/>
  <c r="G305" i="30" l="1"/>
  <c r="AE309" i="27"/>
  <c r="AF309" i="27" s="1"/>
  <c r="AQ308" i="27"/>
  <c r="AR308" i="27" s="1"/>
  <c r="BF308" i="27"/>
  <c r="G304" i="30"/>
  <c r="AP309" i="27"/>
  <c r="AO309" i="27"/>
  <c r="AT295" i="27"/>
  <c r="H291" i="30" s="1"/>
  <c r="G306" i="30"/>
  <c r="BL297" i="27"/>
  <c r="AX297" i="27"/>
  <c r="BE299" i="27"/>
  <c r="F295" i="30"/>
  <c r="BB298" i="27"/>
  <c r="BC298" i="27"/>
  <c r="BL298" i="27" s="1"/>
  <c r="E294" i="30"/>
  <c r="B304" i="30"/>
  <c r="AZ299" i="27"/>
  <c r="AY298" i="27"/>
  <c r="BA298" i="27"/>
  <c r="BJ296" i="27"/>
  <c r="BK296" i="27" s="1"/>
  <c r="BD298" i="27"/>
  <c r="BG298" i="27" s="1"/>
  <c r="BI297" i="27"/>
  <c r="BH297" i="27"/>
  <c r="AU301" i="27"/>
  <c r="D296" i="30"/>
  <c r="I296" i="30" s="1"/>
  <c r="AQ309" i="27" l="1"/>
  <c r="AR309" i="27" s="1"/>
  <c r="AT296" i="27"/>
  <c r="H292" i="30" s="1"/>
  <c r="G307" i="30"/>
  <c r="AX298" i="27"/>
  <c r="BE300" i="27"/>
  <c r="F296" i="30"/>
  <c r="BB299" i="27"/>
  <c r="BC299" i="27"/>
  <c r="BL299" i="27" s="1"/>
  <c r="E295" i="30"/>
  <c r="B305" i="30"/>
  <c r="AZ300" i="27"/>
  <c r="D297" i="30"/>
  <c r="I297" i="30" s="1"/>
  <c r="AU302" i="27"/>
  <c r="BI298" i="27"/>
  <c r="BH298" i="27"/>
  <c r="BD299" i="27"/>
  <c r="BG299" i="27" s="1"/>
  <c r="BA299" i="27"/>
  <c r="AY299" i="27"/>
  <c r="BJ297" i="27"/>
  <c r="BK297" i="27" s="1"/>
  <c r="G308" i="30" l="1"/>
  <c r="AT297" i="27"/>
  <c r="H293" i="30" s="1"/>
  <c r="BE301" i="27"/>
  <c r="F297" i="30"/>
  <c r="B306" i="30"/>
  <c r="BB300" i="27"/>
  <c r="BC300" i="27"/>
  <c r="BL300" i="27" s="1"/>
  <c r="E296" i="30"/>
  <c r="BJ298" i="27"/>
  <c r="BK298" i="27" s="1"/>
  <c r="AZ301" i="27"/>
  <c r="BA300" i="27"/>
  <c r="AY300" i="27"/>
  <c r="BD300" i="27"/>
  <c r="BG300" i="27" s="1"/>
  <c r="BI299" i="27"/>
  <c r="BH299" i="27"/>
  <c r="AU303" i="27"/>
  <c r="D298" i="30"/>
  <c r="I298" i="30" s="1"/>
  <c r="AX299" i="27"/>
  <c r="AT298" i="27" l="1"/>
  <c r="H294" i="30" s="1"/>
  <c r="G309" i="30"/>
  <c r="BA301" i="27"/>
  <c r="BE302" i="27"/>
  <c r="F298" i="30"/>
  <c r="BB301" i="27"/>
  <c r="BC301" i="27"/>
  <c r="BL301" i="27" s="1"/>
  <c r="E297" i="30"/>
  <c r="B307" i="30"/>
  <c r="AX300" i="27"/>
  <c r="AZ302" i="27"/>
  <c r="BJ299" i="27"/>
  <c r="BK299" i="27" s="1"/>
  <c r="D299" i="30"/>
  <c r="I299" i="30" s="1"/>
  <c r="BD301" i="27"/>
  <c r="BG301" i="27" s="1"/>
  <c r="BI300" i="27"/>
  <c r="BH300" i="27"/>
  <c r="AU304" i="27"/>
  <c r="AY301" i="27"/>
  <c r="AT299" i="27" l="1"/>
  <c r="H295" i="30" s="1"/>
  <c r="AX301" i="27"/>
  <c r="G310" i="30"/>
  <c r="BE303" i="27"/>
  <c r="F299" i="30"/>
  <c r="BC302" i="27"/>
  <c r="BB302" i="27"/>
  <c r="E298" i="30"/>
  <c r="B308" i="30"/>
  <c r="AZ303" i="27"/>
  <c r="BJ300" i="27"/>
  <c r="BK300" i="27" s="1"/>
  <c r="BA302" i="27"/>
  <c r="BI301" i="27"/>
  <c r="BH301" i="27"/>
  <c r="BD302" i="27"/>
  <c r="BG302" i="27" s="1"/>
  <c r="AU305" i="27"/>
  <c r="AY302" i="27"/>
  <c r="D300" i="30"/>
  <c r="I300" i="30" s="1"/>
  <c r="AT300" i="27" l="1"/>
  <c r="H296" i="30" s="1"/>
  <c r="G311" i="30"/>
  <c r="BL302" i="27"/>
  <c r="BE304" i="27"/>
  <c r="F300" i="30"/>
  <c r="BB303" i="27"/>
  <c r="BC303" i="27"/>
  <c r="BL303" i="27" s="1"/>
  <c r="E299" i="30"/>
  <c r="B309" i="30"/>
  <c r="AX302" i="27"/>
  <c r="BJ301" i="27"/>
  <c r="BK301" i="27" s="1"/>
  <c r="BA303" i="27"/>
  <c r="AZ304" i="27"/>
  <c r="AU306" i="27"/>
  <c r="BI302" i="27"/>
  <c r="BH302" i="27"/>
  <c r="D301" i="30"/>
  <c r="I301" i="30" s="1"/>
  <c r="BD303" i="27"/>
  <c r="BG303" i="27" s="1"/>
  <c r="AY303" i="27"/>
  <c r="G312" i="30" l="1"/>
  <c r="AT301" i="27"/>
  <c r="H297" i="30" s="1"/>
  <c r="BE305" i="27"/>
  <c r="F301" i="30"/>
  <c r="BB304" i="27"/>
  <c r="BC304" i="27"/>
  <c r="BL304" i="27" s="1"/>
  <c r="E300" i="30"/>
  <c r="B310" i="30"/>
  <c r="AX303" i="27"/>
  <c r="AY304" i="27"/>
  <c r="BJ302" i="27"/>
  <c r="BK302" i="27" s="1"/>
  <c r="AZ305" i="27"/>
  <c r="D302" i="30"/>
  <c r="I302" i="30" s="1"/>
  <c r="AZ306" i="27"/>
  <c r="BI303" i="27"/>
  <c r="BH303" i="27"/>
  <c r="AU307" i="27"/>
  <c r="BA304" i="27"/>
  <c r="BD304" i="27"/>
  <c r="BG304" i="27" s="1"/>
  <c r="G313" i="30" l="1"/>
  <c r="AT302" i="27"/>
  <c r="H298" i="30" s="1"/>
  <c r="AX304" i="27"/>
  <c r="BE306" i="27"/>
  <c r="F302" i="30"/>
  <c r="BB305" i="27"/>
  <c r="BC305" i="27"/>
  <c r="E301" i="30"/>
  <c r="B311" i="30"/>
  <c r="BA305" i="27"/>
  <c r="AU308" i="27"/>
  <c r="BD305" i="27"/>
  <c r="BG305" i="27" s="1"/>
  <c r="D303" i="30"/>
  <c r="I303" i="30" s="1"/>
  <c r="BI304" i="27"/>
  <c r="BH304" i="27"/>
  <c r="BJ303" i="27"/>
  <c r="BK303" i="27" s="1"/>
  <c r="AY305" i="27"/>
  <c r="AT303" i="27" l="1"/>
  <c r="H299" i="30" s="1"/>
  <c r="G314" i="30"/>
  <c r="BL305" i="27"/>
  <c r="AX305" i="27"/>
  <c r="BE307" i="27"/>
  <c r="F303" i="30"/>
  <c r="BC306" i="27"/>
  <c r="BB306" i="27"/>
  <c r="E302" i="30"/>
  <c r="B312" i="30"/>
  <c r="AZ307" i="27"/>
  <c r="D304" i="30"/>
  <c r="I304" i="30" s="1"/>
  <c r="BJ304" i="27"/>
  <c r="BK304" i="27" s="1"/>
  <c r="BD306" i="27"/>
  <c r="BG306" i="27" s="1"/>
  <c r="AU309" i="27"/>
  <c r="AY306" i="27"/>
  <c r="BA306" i="27"/>
  <c r="BI305" i="27"/>
  <c r="BH305" i="27"/>
  <c r="AT304" i="27" l="1"/>
  <c r="H300" i="30" s="1"/>
  <c r="G315" i="30"/>
  <c r="BL306" i="27"/>
  <c r="BA307" i="27"/>
  <c r="BE308" i="27"/>
  <c r="F304" i="30"/>
  <c r="BC307" i="27"/>
  <c r="BL307" i="27" s="1"/>
  <c r="BB307" i="27"/>
  <c r="E303" i="30"/>
  <c r="B313" i="30"/>
  <c r="BJ305" i="27"/>
  <c r="BK305" i="27" s="1"/>
  <c r="AX306" i="27"/>
  <c r="AY307" i="27"/>
  <c r="BD307" i="27"/>
  <c r="BG307" i="27" s="1"/>
  <c r="AZ308" i="27"/>
  <c r="D305" i="30"/>
  <c r="I305" i="30" s="1"/>
  <c r="BI306" i="27"/>
  <c r="BH306" i="27"/>
  <c r="AX307" i="27" l="1"/>
  <c r="AT305" i="27"/>
  <c r="H301" i="30" s="1"/>
  <c r="G316" i="30"/>
  <c r="AY308" i="27"/>
  <c r="AZ309" i="27"/>
  <c r="BE309" i="27"/>
  <c r="F305" i="30"/>
  <c r="B314" i="30"/>
  <c r="BC308" i="27"/>
  <c r="BL308" i="27" s="1"/>
  <c r="BB308" i="27"/>
  <c r="E304" i="30"/>
  <c r="BA308" i="27"/>
  <c r="BJ306" i="27"/>
  <c r="BK306" i="27" s="1"/>
  <c r="BD308" i="27"/>
  <c r="BG308" i="27" s="1"/>
  <c r="BI307" i="27"/>
  <c r="BH307" i="27"/>
  <c r="D306" i="30"/>
  <c r="I306" i="30" s="1"/>
  <c r="AX308" i="27" l="1"/>
  <c r="G317" i="30"/>
  <c r="AT306" i="27"/>
  <c r="H302" i="30" s="1"/>
  <c r="F306" i="30"/>
  <c r="BB309" i="27"/>
  <c r="BC309" i="27"/>
  <c r="BL309" i="27" s="1"/>
  <c r="E305" i="30"/>
  <c r="B315" i="30"/>
  <c r="BJ307" i="27"/>
  <c r="BK307" i="27" s="1"/>
  <c r="AY309" i="27"/>
  <c r="BD309" i="27"/>
  <c r="BG309" i="27" s="1"/>
  <c r="D307" i="30"/>
  <c r="I307" i="30" s="1"/>
  <c r="BI308" i="27"/>
  <c r="BH308" i="27"/>
  <c r="BA309" i="27"/>
  <c r="AT307" i="27" l="1"/>
  <c r="H303" i="30" s="1"/>
  <c r="G318" i="30"/>
  <c r="AX309" i="27"/>
  <c r="F307" i="30"/>
  <c r="E306" i="30"/>
  <c r="B316" i="30"/>
  <c r="D308" i="30"/>
  <c r="I308" i="30" s="1"/>
  <c r="BI309" i="27"/>
  <c r="BH309" i="27"/>
  <c r="BJ308" i="27"/>
  <c r="BK308" i="27" s="1"/>
  <c r="G319" i="30" l="1"/>
  <c r="AT308" i="27"/>
  <c r="H304" i="30" s="1"/>
  <c r="F308" i="30"/>
  <c r="B317" i="30"/>
  <c r="E307" i="30"/>
  <c r="BJ309" i="27"/>
  <c r="BK309" i="27" s="1"/>
  <c r="D309" i="30"/>
  <c r="I309" i="30" s="1"/>
  <c r="G320" i="30" l="1"/>
  <c r="AT309" i="27"/>
  <c r="F309" i="30"/>
  <c r="E308" i="30"/>
  <c r="B318" i="30"/>
  <c r="D310" i="30"/>
  <c r="I310" i="30" s="1"/>
  <c r="H305" i="30" l="1"/>
  <c r="AT311" i="27"/>
  <c r="AT312" i="27" s="1"/>
  <c r="H306" i="30"/>
  <c r="G321" i="30"/>
  <c r="F310" i="30"/>
  <c r="E309" i="30"/>
  <c r="B319" i="30"/>
  <c r="D311" i="30"/>
  <c r="I311" i="30" s="1"/>
  <c r="G322" i="30" l="1"/>
  <c r="H307" i="30"/>
  <c r="F311" i="30"/>
  <c r="E310" i="30"/>
  <c r="B320" i="30"/>
  <c r="D312" i="30"/>
  <c r="I312" i="30" s="1"/>
  <c r="H308" i="30" l="1"/>
  <c r="G323" i="30"/>
  <c r="F312" i="30"/>
  <c r="B321" i="30"/>
  <c r="E311" i="30"/>
  <c r="D313" i="30"/>
  <c r="I313" i="30" s="1"/>
  <c r="H309" i="30" l="1"/>
  <c r="G324" i="30"/>
  <c r="F313" i="30"/>
  <c r="E312" i="30"/>
  <c r="B322" i="30"/>
  <c r="D314" i="30"/>
  <c r="I314" i="30" s="1"/>
  <c r="G325" i="30" l="1"/>
  <c r="H310" i="30"/>
  <c r="F314" i="30"/>
  <c r="B323" i="30"/>
  <c r="E313" i="30"/>
  <c r="D315" i="30"/>
  <c r="I315" i="30" s="1"/>
  <c r="G326" i="30" l="1"/>
  <c r="H311" i="30"/>
  <c r="F315" i="30"/>
  <c r="E314" i="30"/>
  <c r="B324" i="30"/>
  <c r="D316" i="30"/>
  <c r="I316" i="30" s="1"/>
  <c r="G327" i="30" l="1"/>
  <c r="H312" i="30"/>
  <c r="F316" i="30"/>
  <c r="E315" i="30"/>
  <c r="B325" i="30"/>
  <c r="D317" i="30"/>
  <c r="I317" i="30" s="1"/>
  <c r="G328" i="30" l="1"/>
  <c r="H313" i="30"/>
  <c r="F317" i="30"/>
  <c r="E316" i="30"/>
  <c r="B326" i="30"/>
  <c r="D318" i="30"/>
  <c r="I318" i="30" s="1"/>
  <c r="G329" i="30" l="1"/>
  <c r="H314" i="30"/>
  <c r="F318" i="30"/>
  <c r="E317" i="30"/>
  <c r="B327" i="30"/>
  <c r="D319" i="30"/>
  <c r="I319" i="30" s="1"/>
  <c r="H315" i="30" l="1"/>
  <c r="G330" i="30"/>
  <c r="F319" i="30"/>
  <c r="E318" i="30"/>
  <c r="B328" i="30"/>
  <c r="D320" i="30"/>
  <c r="I320" i="30" s="1"/>
  <c r="H316" i="30" l="1"/>
  <c r="G331" i="30"/>
  <c r="F320" i="30"/>
  <c r="E319" i="30"/>
  <c r="B329" i="30"/>
  <c r="D321" i="30"/>
  <c r="I321" i="30" s="1"/>
  <c r="H317" i="30" l="1"/>
  <c r="G332" i="30"/>
  <c r="F321" i="30"/>
  <c r="E320" i="30"/>
  <c r="B330" i="30"/>
  <c r="D322" i="30"/>
  <c r="I322" i="30" s="1"/>
  <c r="G333" i="30" l="1"/>
  <c r="H318" i="30"/>
  <c r="F322" i="30"/>
  <c r="E321" i="30"/>
  <c r="B331" i="30"/>
  <c r="D323" i="30"/>
  <c r="I323" i="30" s="1"/>
  <c r="G334" i="30" l="1"/>
  <c r="H319" i="30"/>
  <c r="F323" i="30"/>
  <c r="B332" i="30"/>
  <c r="E322" i="30"/>
  <c r="D324" i="30"/>
  <c r="I324" i="30" s="1"/>
  <c r="H320" i="30" l="1"/>
  <c r="G335" i="30"/>
  <c r="F324" i="30"/>
  <c r="E323" i="30"/>
  <c r="B333" i="30"/>
  <c r="D325" i="30"/>
  <c r="I325" i="30" s="1"/>
  <c r="H321" i="30" l="1"/>
  <c r="G336" i="30"/>
  <c r="F325" i="30"/>
  <c r="B334" i="30"/>
  <c r="E324" i="30"/>
  <c r="D326" i="30"/>
  <c r="I326" i="30" s="1"/>
  <c r="H322" i="30" l="1"/>
  <c r="G337" i="30"/>
  <c r="F326" i="30"/>
  <c r="E325" i="30"/>
  <c r="B335" i="30"/>
  <c r="D327" i="30"/>
  <c r="I327" i="30" s="1"/>
  <c r="G338" i="30" l="1"/>
  <c r="H323" i="30"/>
  <c r="F327" i="30"/>
  <c r="B336" i="30"/>
  <c r="E326" i="30"/>
  <c r="D328" i="30"/>
  <c r="I328" i="30" s="1"/>
  <c r="H324" i="30" l="1"/>
  <c r="G339" i="30"/>
  <c r="F328" i="30"/>
  <c r="E327" i="30"/>
  <c r="B337" i="30"/>
  <c r="D329" i="30"/>
  <c r="I329" i="30" s="1"/>
  <c r="H325" i="30" l="1"/>
  <c r="G340" i="30"/>
  <c r="F329" i="30"/>
  <c r="E328" i="30"/>
  <c r="B338" i="30"/>
  <c r="D330" i="30"/>
  <c r="I330" i="30" s="1"/>
  <c r="H326" i="30" l="1"/>
  <c r="G341" i="30"/>
  <c r="F330" i="30"/>
  <c r="E329" i="30"/>
  <c r="B339" i="30"/>
  <c r="D331" i="30"/>
  <c r="I331" i="30" s="1"/>
  <c r="H327" i="30" l="1"/>
  <c r="G342" i="30"/>
  <c r="F331" i="30"/>
  <c r="B340" i="30"/>
  <c r="E330" i="30"/>
  <c r="D332" i="30"/>
  <c r="I332" i="30" s="1"/>
  <c r="G343" i="30" l="1"/>
  <c r="H328" i="30"/>
  <c r="F332" i="30"/>
  <c r="E331" i="30"/>
  <c r="B341" i="30"/>
  <c r="D333" i="30"/>
  <c r="I333" i="30" s="1"/>
  <c r="H329" i="30" l="1"/>
  <c r="G344" i="30"/>
  <c r="F333" i="30"/>
  <c r="E332" i="30"/>
  <c r="B342" i="30"/>
  <c r="D334" i="30"/>
  <c r="I334" i="30" s="1"/>
  <c r="H330" i="30" l="1"/>
  <c r="G345" i="30"/>
  <c r="F334" i="30"/>
  <c r="B343" i="30"/>
  <c r="E333" i="30"/>
  <c r="D335" i="30"/>
  <c r="I335" i="30" s="1"/>
  <c r="G346" i="30" l="1"/>
  <c r="H331" i="30"/>
  <c r="F335" i="30"/>
  <c r="E334" i="30"/>
  <c r="B344" i="30"/>
  <c r="D336" i="30"/>
  <c r="I336" i="30" s="1"/>
  <c r="H332" i="30" l="1"/>
  <c r="G347" i="30"/>
  <c r="F336" i="30"/>
  <c r="E335" i="30"/>
  <c r="B345" i="30"/>
  <c r="D337" i="30"/>
  <c r="I337" i="30" s="1"/>
  <c r="H333" i="30" l="1"/>
  <c r="G348" i="30"/>
  <c r="F337" i="30"/>
  <c r="E336" i="30"/>
  <c r="B346" i="30"/>
  <c r="D338" i="30"/>
  <c r="I338" i="30" s="1"/>
  <c r="G349" i="30" l="1"/>
  <c r="H334" i="30"/>
  <c r="F338" i="30"/>
  <c r="E337" i="30"/>
  <c r="B347" i="30"/>
  <c r="D339" i="30"/>
  <c r="I339" i="30" s="1"/>
  <c r="H335" i="30" l="1"/>
  <c r="G350" i="30"/>
  <c r="F339" i="30"/>
  <c r="B348" i="30"/>
  <c r="E338" i="30"/>
  <c r="D340" i="30"/>
  <c r="I340" i="30" s="1"/>
  <c r="G351" i="30" l="1"/>
  <c r="H336" i="30"/>
  <c r="F340" i="30"/>
  <c r="E339" i="30"/>
  <c r="B349" i="30"/>
  <c r="D341" i="30"/>
  <c r="I341" i="30" s="1"/>
  <c r="H337" i="30" l="1"/>
  <c r="G352" i="30"/>
  <c r="F341" i="30"/>
  <c r="B350" i="30"/>
  <c r="E340" i="30"/>
  <c r="D342" i="30"/>
  <c r="I342" i="30" s="1"/>
  <c r="G353" i="30" l="1"/>
  <c r="H338" i="30"/>
  <c r="F342" i="30"/>
  <c r="E341" i="30"/>
  <c r="B351" i="30"/>
  <c r="D343" i="30"/>
  <c r="I343" i="30" s="1"/>
  <c r="G354" i="30" l="1"/>
  <c r="H339" i="30"/>
  <c r="F343" i="30"/>
  <c r="E342" i="30"/>
  <c r="B352" i="30"/>
  <c r="D344" i="30"/>
  <c r="I344" i="30" s="1"/>
  <c r="G355" i="30" l="1"/>
  <c r="H340" i="30"/>
  <c r="F344" i="30"/>
  <c r="B353" i="30"/>
  <c r="E343" i="30"/>
  <c r="D345" i="30"/>
  <c r="I345" i="30" s="1"/>
  <c r="H341" i="30" l="1"/>
  <c r="G356" i="30"/>
  <c r="F345" i="30"/>
  <c r="E344" i="30"/>
  <c r="B354" i="30"/>
  <c r="D346" i="30"/>
  <c r="I346" i="30" s="1"/>
  <c r="H342" i="30" l="1"/>
  <c r="G357" i="30"/>
  <c r="F346" i="30"/>
  <c r="E345" i="30"/>
  <c r="B355" i="30"/>
  <c r="D347" i="30"/>
  <c r="I347" i="30" s="1"/>
  <c r="H343" i="30" l="1"/>
  <c r="G358" i="30"/>
  <c r="F347" i="30"/>
  <c r="E346" i="30"/>
  <c r="B356" i="30"/>
  <c r="D348" i="30"/>
  <c r="I348" i="30" s="1"/>
  <c r="G359" i="30" l="1"/>
  <c r="H344" i="30"/>
  <c r="F348" i="30"/>
  <c r="E347" i="30"/>
  <c r="B357" i="30"/>
  <c r="D349" i="30"/>
  <c r="I349" i="30" s="1"/>
  <c r="G360" i="30" l="1"/>
  <c r="H345" i="30"/>
  <c r="F349" i="30"/>
  <c r="B358" i="30"/>
  <c r="E348" i="30"/>
  <c r="D350" i="30"/>
  <c r="I350" i="30" s="1"/>
  <c r="H346" i="30" l="1"/>
  <c r="G361" i="30"/>
  <c r="F350" i="30"/>
  <c r="E349" i="30"/>
  <c r="B359" i="30"/>
  <c r="D351" i="30"/>
  <c r="I351" i="30" s="1"/>
  <c r="H347" i="30" l="1"/>
  <c r="G362" i="30"/>
  <c r="F351" i="30"/>
  <c r="E350" i="30"/>
  <c r="B360" i="30"/>
  <c r="D352" i="30"/>
  <c r="I352" i="30" s="1"/>
  <c r="G363" i="30" l="1"/>
  <c r="H348" i="30"/>
  <c r="F352" i="30"/>
  <c r="B361" i="30"/>
  <c r="E351" i="30"/>
  <c r="D353" i="30"/>
  <c r="I353" i="30" s="1"/>
  <c r="G364" i="30" l="1"/>
  <c r="H349" i="30"/>
  <c r="F353" i="30"/>
  <c r="E352" i="30"/>
  <c r="B362" i="30"/>
  <c r="D354" i="30"/>
  <c r="I354" i="30" s="1"/>
  <c r="G365" i="30" l="1"/>
  <c r="H350" i="30"/>
  <c r="F354" i="30"/>
  <c r="E353" i="30"/>
  <c r="B363" i="30"/>
  <c r="D355" i="30"/>
  <c r="I355" i="30" s="1"/>
  <c r="H351" i="30" l="1"/>
  <c r="F355" i="30"/>
  <c r="E354" i="30"/>
  <c r="B364" i="30"/>
  <c r="D356" i="30"/>
  <c r="I356" i="30" s="1"/>
  <c r="H352" i="30" l="1"/>
  <c r="F356" i="30"/>
  <c r="E355" i="30"/>
  <c r="B365" i="30"/>
  <c r="D357" i="30"/>
  <c r="I357" i="30" s="1"/>
  <c r="H353" i="30" l="1"/>
  <c r="F357" i="30"/>
  <c r="B366" i="30"/>
  <c r="E356" i="30"/>
  <c r="D358" i="30"/>
  <c r="I358" i="30" s="1"/>
  <c r="H354" i="30" l="1"/>
  <c r="F358" i="30"/>
  <c r="E357" i="30"/>
  <c r="B367" i="30"/>
  <c r="D359" i="30"/>
  <c r="I359" i="30" s="1"/>
  <c r="H355" i="30" l="1"/>
  <c r="F359" i="30"/>
  <c r="E358" i="30"/>
  <c r="B368" i="30"/>
  <c r="D360" i="30"/>
  <c r="I360" i="30" s="1"/>
  <c r="H356" i="30" l="1"/>
  <c r="F360" i="30"/>
  <c r="E359" i="30"/>
  <c r="B369" i="30"/>
  <c r="D361" i="30"/>
  <c r="I361" i="30" s="1"/>
  <c r="H357" i="30" l="1"/>
  <c r="F361" i="30"/>
  <c r="E360" i="30"/>
  <c r="B370" i="30"/>
  <c r="D362" i="30"/>
  <c r="I362" i="30" s="1"/>
  <c r="H358" i="30" l="1"/>
  <c r="F362" i="30"/>
  <c r="B371" i="30"/>
  <c r="E361" i="30"/>
  <c r="D363" i="30"/>
  <c r="I363" i="30" s="1"/>
  <c r="H359" i="30" l="1"/>
  <c r="F363" i="30"/>
  <c r="E362" i="30"/>
  <c r="B372" i="30"/>
  <c r="D364" i="30"/>
  <c r="I364" i="30" s="1"/>
  <c r="H360" i="30" l="1"/>
  <c r="F364" i="30"/>
  <c r="E363" i="30"/>
  <c r="B373" i="30"/>
  <c r="D365" i="30"/>
  <c r="I365" i="30" s="1"/>
  <c r="H361" i="30" l="1"/>
  <c r="H362" i="30"/>
  <c r="F365" i="30"/>
  <c r="B374" i="30"/>
  <c r="E364" i="30"/>
  <c r="D366" i="30"/>
  <c r="I366" i="30" s="1"/>
  <c r="F366" i="30" l="1"/>
  <c r="E365" i="30"/>
  <c r="B375" i="30"/>
  <c r="D367" i="30"/>
  <c r="I367" i="30" s="1"/>
  <c r="H363" i="30" l="1"/>
  <c r="F367" i="30"/>
  <c r="E366" i="30"/>
  <c r="B376" i="30"/>
  <c r="D368" i="30"/>
  <c r="I368" i="30" s="1"/>
  <c r="H364" i="30" l="1"/>
  <c r="F368" i="30"/>
  <c r="E367" i="30"/>
  <c r="B377" i="30"/>
  <c r="D369" i="30"/>
  <c r="I369" i="30" s="1"/>
  <c r="F369" i="30" l="1"/>
  <c r="E368" i="30"/>
  <c r="B378" i="30"/>
  <c r="D370" i="30"/>
  <c r="I370" i="30" s="1"/>
  <c r="H366" i="30"/>
  <c r="H365" i="30" l="1"/>
  <c r="F370" i="30"/>
  <c r="E369" i="30"/>
  <c r="B379" i="30"/>
  <c r="D371" i="30"/>
  <c r="I371" i="30" s="1"/>
  <c r="H367" i="30"/>
  <c r="F371" i="30" l="1"/>
  <c r="E370" i="30"/>
  <c r="B380" i="30"/>
  <c r="D372" i="30"/>
  <c r="I372" i="30" s="1"/>
  <c r="H368" i="30"/>
  <c r="F372" i="30" l="1"/>
  <c r="B381" i="30"/>
  <c r="E371" i="30"/>
  <c r="D373" i="30"/>
  <c r="I373" i="30" s="1"/>
  <c r="H369" i="30" l="1"/>
  <c r="F373" i="30"/>
  <c r="E372" i="30"/>
  <c r="B382" i="30"/>
  <c r="H370" i="30"/>
  <c r="D374" i="30"/>
  <c r="I374" i="30" s="1"/>
  <c r="F374" i="30" l="1"/>
  <c r="E373" i="30"/>
  <c r="B383" i="30"/>
  <c r="D375" i="30"/>
  <c r="I375" i="30" s="1"/>
  <c r="H371" i="30" l="1"/>
  <c r="F375" i="30"/>
  <c r="B384" i="30"/>
  <c r="E374" i="30"/>
  <c r="H372" i="30"/>
  <c r="D376" i="30"/>
  <c r="I376" i="30" s="1"/>
  <c r="F376" i="30" l="1"/>
  <c r="E375" i="30"/>
  <c r="B385" i="30"/>
  <c r="D377" i="30"/>
  <c r="I377" i="30" s="1"/>
  <c r="H373" i="30" l="1"/>
  <c r="F377" i="30"/>
  <c r="E376" i="30"/>
  <c r="B386" i="30"/>
  <c r="D378" i="30"/>
  <c r="I378" i="30" s="1"/>
  <c r="H374" i="30"/>
  <c r="F378" i="30" l="1"/>
  <c r="B387" i="30"/>
  <c r="E377" i="30"/>
  <c r="H375" i="30"/>
  <c r="D379" i="30"/>
  <c r="I379" i="30" s="1"/>
  <c r="H376" i="30" l="1"/>
  <c r="F379" i="30"/>
  <c r="E378" i="30"/>
  <c r="B388" i="30"/>
  <c r="D380" i="30"/>
  <c r="I380" i="30" s="1"/>
  <c r="F380" i="30" l="1"/>
  <c r="E379" i="30"/>
  <c r="B389" i="30"/>
  <c r="H377" i="30"/>
  <c r="D381" i="30"/>
  <c r="I381" i="30" s="1"/>
  <c r="F381" i="30" l="1"/>
  <c r="B390" i="30"/>
  <c r="E380" i="30"/>
  <c r="H378" i="30"/>
  <c r="D382" i="30"/>
  <c r="I382" i="30" s="1"/>
  <c r="F382" i="30" l="1"/>
  <c r="E381" i="30"/>
  <c r="B391" i="30"/>
  <c r="H379" i="30"/>
  <c r="D383" i="30"/>
  <c r="I383" i="30" s="1"/>
  <c r="F383" i="30" l="1"/>
  <c r="B392" i="30"/>
  <c r="E382" i="30"/>
  <c r="D384" i="30"/>
  <c r="I384" i="30" s="1"/>
  <c r="H380" i="30"/>
  <c r="F384" i="30" l="1"/>
  <c r="E383" i="30"/>
  <c r="B393" i="30"/>
  <c r="H381" i="30"/>
  <c r="D385" i="30"/>
  <c r="I385" i="30" s="1"/>
  <c r="F385" i="30" l="1"/>
  <c r="E384" i="30"/>
  <c r="B394" i="30"/>
  <c r="H382" i="30"/>
  <c r="D386" i="30"/>
  <c r="I386" i="30" s="1"/>
  <c r="F386" i="30" l="1"/>
  <c r="E385" i="30"/>
  <c r="B395" i="30"/>
  <c r="H383" i="30"/>
  <c r="D387" i="30"/>
  <c r="I387" i="30" s="1"/>
  <c r="F387" i="30" l="1"/>
  <c r="B396" i="30"/>
  <c r="E386" i="30"/>
  <c r="H384" i="30"/>
  <c r="D388" i="30"/>
  <c r="I388" i="30" s="1"/>
  <c r="F388" i="30" l="1"/>
  <c r="E387" i="30"/>
  <c r="B397" i="30"/>
  <c r="H385" i="30"/>
  <c r="D389" i="30"/>
  <c r="I389" i="30" s="1"/>
  <c r="F389" i="30" l="1"/>
  <c r="E388" i="30"/>
  <c r="B398" i="30"/>
  <c r="H386" i="30"/>
  <c r="D390" i="30"/>
  <c r="I390" i="30" s="1"/>
  <c r="H387" i="30" l="1"/>
  <c r="F390" i="30"/>
  <c r="B399" i="30"/>
  <c r="E389" i="30"/>
  <c r="D391" i="30"/>
  <c r="I391" i="30" s="1"/>
  <c r="F391" i="30" l="1"/>
  <c r="E390" i="30"/>
  <c r="B400" i="30"/>
  <c r="H388" i="30"/>
  <c r="D392" i="30"/>
  <c r="I392" i="30" s="1"/>
  <c r="H389" i="30" l="1"/>
  <c r="F392" i="30"/>
  <c r="E391" i="30"/>
  <c r="B401" i="30"/>
  <c r="D393" i="30"/>
  <c r="I393" i="30" s="1"/>
  <c r="H390" i="30" l="1"/>
  <c r="F393" i="30"/>
  <c r="E392" i="30"/>
  <c r="B402" i="30"/>
  <c r="D394" i="30"/>
  <c r="I394" i="30" s="1"/>
  <c r="F394" i="30" l="1"/>
  <c r="E393" i="30"/>
  <c r="B403" i="30"/>
  <c r="H391" i="30"/>
  <c r="D395" i="30"/>
  <c r="I395" i="30" s="1"/>
  <c r="F395" i="30" l="1"/>
  <c r="E394" i="30"/>
  <c r="B404" i="30"/>
  <c r="H392" i="30"/>
  <c r="D396" i="30"/>
  <c r="I396" i="30" s="1"/>
  <c r="F396" i="30" l="1"/>
  <c r="B405" i="30"/>
  <c r="E395" i="30"/>
  <c r="D397" i="30"/>
  <c r="I397" i="30" s="1"/>
  <c r="H393" i="30"/>
  <c r="F397" i="30" l="1"/>
  <c r="E396" i="30"/>
  <c r="B406" i="30"/>
  <c r="H394" i="30"/>
  <c r="D398" i="30"/>
  <c r="I398" i="30" s="1"/>
  <c r="F398" i="30" l="1"/>
  <c r="B407" i="30"/>
  <c r="E397" i="30"/>
  <c r="H395" i="30"/>
  <c r="D399" i="30"/>
  <c r="I399" i="30" s="1"/>
  <c r="F399" i="30" l="1"/>
  <c r="E398" i="30"/>
  <c r="B408" i="30"/>
  <c r="D400" i="30"/>
  <c r="I400" i="30" s="1"/>
  <c r="H396" i="30"/>
  <c r="F400" i="30" l="1"/>
  <c r="E399" i="30"/>
  <c r="B409" i="30"/>
  <c r="H397" i="30"/>
  <c r="D401" i="30"/>
  <c r="I401" i="30" s="1"/>
  <c r="F401" i="30" l="1"/>
  <c r="E400" i="30"/>
  <c r="B410" i="30"/>
  <c r="H398" i="30"/>
  <c r="D402" i="30"/>
  <c r="I402" i="30" s="1"/>
  <c r="F402" i="30" l="1"/>
  <c r="B411" i="30"/>
  <c r="E401" i="30"/>
  <c r="H399" i="30"/>
  <c r="D403" i="30"/>
  <c r="I403" i="30" s="1"/>
  <c r="F403" i="30" l="1"/>
  <c r="E402" i="30"/>
  <c r="B412" i="30"/>
  <c r="H400" i="30"/>
  <c r="D404" i="30"/>
  <c r="I404" i="30" s="1"/>
  <c r="F404" i="30" l="1"/>
  <c r="E403" i="30"/>
  <c r="B413" i="30"/>
  <c r="D405" i="30"/>
  <c r="I405" i="30" s="1"/>
  <c r="H401" i="30"/>
  <c r="F405" i="30" l="1"/>
  <c r="E404" i="30"/>
  <c r="B414" i="30"/>
  <c r="D406" i="30"/>
  <c r="I406" i="30" s="1"/>
  <c r="H402" i="30"/>
  <c r="F406" i="30" l="1"/>
  <c r="E405" i="30"/>
  <c r="B415" i="30"/>
  <c r="D407" i="30"/>
  <c r="I407" i="30" s="1"/>
  <c r="H403" i="30"/>
  <c r="F407" i="30" l="1"/>
  <c r="E406" i="30"/>
  <c r="B416" i="30"/>
  <c r="H404" i="30"/>
  <c r="D408" i="30"/>
  <c r="I408" i="30" s="1"/>
  <c r="F408" i="30" l="1"/>
  <c r="E407" i="30"/>
  <c r="B417" i="30"/>
  <c r="H405" i="30"/>
  <c r="D409" i="30"/>
  <c r="I409" i="30" s="1"/>
  <c r="F409" i="30" l="1"/>
  <c r="E408" i="30"/>
  <c r="B418" i="30"/>
  <c r="H406" i="30"/>
  <c r="D410" i="30"/>
  <c r="I410" i="30" s="1"/>
  <c r="F410" i="30" l="1"/>
  <c r="B419" i="30"/>
  <c r="E409" i="30"/>
  <c r="D411" i="30"/>
  <c r="I411" i="30" s="1"/>
  <c r="H407" i="30"/>
  <c r="H408" i="30" l="1"/>
  <c r="F411" i="30"/>
  <c r="E410" i="30"/>
  <c r="B420" i="30"/>
  <c r="D412" i="30"/>
  <c r="I412" i="30" s="1"/>
  <c r="H409" i="30" l="1"/>
  <c r="F412" i="30"/>
  <c r="B421" i="30"/>
  <c r="E411" i="30"/>
  <c r="D413" i="30"/>
  <c r="I413" i="30" s="1"/>
  <c r="F413" i="30" l="1"/>
  <c r="E412" i="30"/>
  <c r="B422" i="30"/>
  <c r="H410" i="30"/>
  <c r="D414" i="30"/>
  <c r="I414" i="30" s="1"/>
  <c r="F414" i="30" l="1"/>
  <c r="E413" i="30"/>
  <c r="B423" i="30"/>
  <c r="H411" i="30"/>
  <c r="D415" i="30"/>
  <c r="I415" i="30" s="1"/>
  <c r="F415" i="30" l="1"/>
  <c r="B424" i="30"/>
  <c r="E414" i="30"/>
  <c r="H412" i="30"/>
  <c r="D416" i="30"/>
  <c r="I416" i="30" s="1"/>
  <c r="F416" i="30" l="1"/>
  <c r="E415" i="30"/>
  <c r="B425" i="30"/>
  <c r="H413" i="30"/>
  <c r="D417" i="30"/>
  <c r="I417" i="30" s="1"/>
  <c r="F417" i="30" l="1"/>
  <c r="E416" i="30"/>
  <c r="B426" i="30"/>
  <c r="H414" i="30"/>
  <c r="D418" i="30"/>
  <c r="I418" i="30" s="1"/>
  <c r="F418" i="30" l="1"/>
  <c r="E417" i="30"/>
  <c r="B427" i="30"/>
  <c r="H415" i="30"/>
  <c r="D419" i="30"/>
  <c r="I419" i="30" s="1"/>
  <c r="F419" i="30" l="1"/>
  <c r="E418" i="30"/>
  <c r="B428" i="30"/>
  <c r="H416" i="30"/>
  <c r="D420" i="30"/>
  <c r="I420" i="30" s="1"/>
  <c r="H417" i="30" l="1"/>
  <c r="F420" i="30"/>
  <c r="E419" i="30"/>
  <c r="B429" i="30"/>
  <c r="D421" i="30"/>
  <c r="I421" i="30" s="1"/>
  <c r="H418" i="30" l="1"/>
  <c r="F421" i="30"/>
  <c r="E420" i="30"/>
  <c r="B430" i="30"/>
  <c r="D422" i="30"/>
  <c r="I422" i="30" s="1"/>
  <c r="F422" i="30" l="1"/>
  <c r="B431" i="30"/>
  <c r="E421" i="30"/>
  <c r="H419" i="30"/>
  <c r="D423" i="30"/>
  <c r="I423" i="30" s="1"/>
  <c r="F423" i="30" l="1"/>
  <c r="E422" i="30"/>
  <c r="B432" i="30"/>
  <c r="H420" i="30"/>
  <c r="D424" i="30"/>
  <c r="I424" i="30" s="1"/>
  <c r="F424" i="30" l="1"/>
  <c r="B433" i="30"/>
  <c r="E423" i="30"/>
  <c r="H421" i="30"/>
  <c r="D425" i="30"/>
  <c r="I425" i="30" s="1"/>
  <c r="H422" i="30" l="1"/>
  <c r="F425" i="30"/>
  <c r="E424" i="30"/>
  <c r="B434" i="30"/>
  <c r="D426" i="30"/>
  <c r="I426" i="30" s="1"/>
  <c r="F426" i="30" l="1"/>
  <c r="B435" i="30"/>
  <c r="E425" i="30"/>
  <c r="H423" i="30"/>
  <c r="D427" i="30"/>
  <c r="I427" i="30" s="1"/>
  <c r="F427" i="30" l="1"/>
  <c r="E426" i="30"/>
  <c r="B436" i="30"/>
  <c r="H424" i="30"/>
  <c r="D428" i="30"/>
  <c r="I428" i="30" s="1"/>
  <c r="F428" i="30" l="1"/>
  <c r="B437" i="30"/>
  <c r="E427" i="30"/>
  <c r="H425" i="30"/>
  <c r="D429" i="30"/>
  <c r="I429" i="30" s="1"/>
  <c r="F429" i="30" l="1"/>
  <c r="E428" i="30"/>
  <c r="B438" i="30"/>
  <c r="D430" i="30"/>
  <c r="I430" i="30" s="1"/>
  <c r="H426" i="30"/>
  <c r="F430" i="30" l="1"/>
  <c r="E429" i="30"/>
  <c r="B439" i="30"/>
  <c r="H427" i="30"/>
  <c r="D431" i="30"/>
  <c r="I431" i="30" s="1"/>
  <c r="F431" i="30" l="1"/>
  <c r="E430" i="30"/>
  <c r="B440" i="30"/>
  <c r="H428" i="30"/>
  <c r="D432" i="30"/>
  <c r="I432" i="30" s="1"/>
  <c r="H429" i="30" l="1"/>
  <c r="F432" i="30"/>
  <c r="E431" i="30"/>
  <c r="B441" i="30"/>
  <c r="D433" i="30"/>
  <c r="I433" i="30" s="1"/>
  <c r="F433" i="30" l="1"/>
  <c r="E432" i="30"/>
  <c r="B442" i="30"/>
  <c r="H430" i="30"/>
  <c r="D434" i="30"/>
  <c r="I434" i="30" s="1"/>
  <c r="F434" i="30" l="1"/>
  <c r="E433" i="30"/>
  <c r="B443" i="30"/>
  <c r="H431" i="30"/>
  <c r="D435" i="30"/>
  <c r="I435" i="30" s="1"/>
  <c r="F435" i="30" l="1"/>
  <c r="E434" i="30"/>
  <c r="B444" i="30"/>
  <c r="H432" i="30"/>
  <c r="D436" i="30"/>
  <c r="I436" i="30" s="1"/>
  <c r="F436" i="30" l="1"/>
  <c r="E435" i="30"/>
  <c r="B445" i="30"/>
  <c r="H433" i="30"/>
  <c r="D437" i="30"/>
  <c r="I437" i="30" s="1"/>
  <c r="F437" i="30" l="1"/>
  <c r="E436" i="30"/>
  <c r="B446" i="30"/>
  <c r="D438" i="30"/>
  <c r="I438" i="30" s="1"/>
  <c r="H434" i="30"/>
  <c r="F438" i="30" l="1"/>
  <c r="E437" i="30"/>
  <c r="B447" i="30"/>
  <c r="H435" i="30"/>
  <c r="D439" i="30"/>
  <c r="I439" i="30" s="1"/>
  <c r="H436" i="30" l="1"/>
  <c r="F439" i="30"/>
  <c r="E438" i="30"/>
  <c r="B448" i="30"/>
  <c r="D440" i="30"/>
  <c r="I440" i="30" s="1"/>
  <c r="F440" i="30" l="1"/>
  <c r="B449" i="30"/>
  <c r="E439" i="30"/>
  <c r="H437" i="30"/>
  <c r="D441" i="30"/>
  <c r="I441" i="30" s="1"/>
  <c r="F441" i="30" l="1"/>
  <c r="E440" i="30"/>
  <c r="B450" i="30"/>
  <c r="H438" i="30"/>
  <c r="D442" i="30"/>
  <c r="I442" i="30" s="1"/>
  <c r="H439" i="30"/>
  <c r="F442" i="30" l="1"/>
  <c r="B451" i="30"/>
  <c r="E441" i="30"/>
  <c r="D443" i="30"/>
  <c r="I443" i="30" s="1"/>
  <c r="F443" i="30" l="1"/>
  <c r="E442" i="30"/>
  <c r="B452" i="30"/>
  <c r="H440" i="30"/>
  <c r="D444" i="30"/>
  <c r="I444" i="30" s="1"/>
  <c r="F444" i="30" l="1"/>
  <c r="E443" i="30"/>
  <c r="B453" i="30"/>
  <c r="H441" i="30"/>
  <c r="D445" i="30"/>
  <c r="I445" i="30" s="1"/>
  <c r="F445" i="30" l="1"/>
  <c r="E444" i="30"/>
  <c r="B454" i="30"/>
  <c r="H442" i="30"/>
  <c r="D446" i="30"/>
  <c r="I446" i="30" s="1"/>
  <c r="F446" i="30" l="1"/>
  <c r="B455" i="30"/>
  <c r="E445" i="30"/>
  <c r="H443" i="30"/>
  <c r="D447" i="30"/>
  <c r="I447" i="30" s="1"/>
  <c r="F447" i="30" l="1"/>
  <c r="E446" i="30"/>
  <c r="B456" i="30"/>
  <c r="H444" i="30"/>
  <c r="D448" i="30"/>
  <c r="I448" i="30" s="1"/>
  <c r="F448" i="30" l="1"/>
  <c r="E447" i="30"/>
  <c r="B457" i="30"/>
  <c r="H445" i="30"/>
  <c r="D449" i="30"/>
  <c r="I449" i="30" s="1"/>
  <c r="F449" i="30" l="1"/>
  <c r="B458" i="30"/>
  <c r="E448" i="30"/>
  <c r="H446" i="30"/>
  <c r="D450" i="30"/>
  <c r="I450" i="30" s="1"/>
  <c r="F450" i="30" l="1"/>
  <c r="E449" i="30"/>
  <c r="B459" i="30"/>
  <c r="D451" i="30"/>
  <c r="I451" i="30" s="1"/>
  <c r="H447" i="30"/>
  <c r="F451" i="30" l="1"/>
  <c r="B460" i="30"/>
  <c r="E450" i="30"/>
  <c r="D452" i="30"/>
  <c r="I452" i="30" s="1"/>
  <c r="H448" i="30"/>
  <c r="F452" i="30" l="1"/>
  <c r="E451" i="30"/>
  <c r="B461" i="30"/>
  <c r="D453" i="30"/>
  <c r="I453" i="30" s="1"/>
  <c r="H449" i="30"/>
  <c r="F453" i="30" l="1"/>
  <c r="B462" i="30"/>
  <c r="E452" i="30"/>
  <c r="H450" i="30"/>
  <c r="D454" i="30"/>
  <c r="I454" i="30" s="1"/>
  <c r="H451" i="30" l="1"/>
  <c r="F454" i="30"/>
  <c r="E453" i="30"/>
  <c r="B463" i="30"/>
  <c r="D455" i="30"/>
  <c r="I455" i="30" s="1"/>
  <c r="F455" i="30" l="1"/>
  <c r="E454" i="30"/>
  <c r="B464" i="30"/>
  <c r="H452" i="30"/>
  <c r="D456" i="30"/>
  <c r="I456" i="30" s="1"/>
  <c r="F456" i="30" l="1"/>
  <c r="B465" i="30"/>
  <c r="E455" i="30"/>
  <c r="H453" i="30"/>
  <c r="D457" i="30"/>
  <c r="I457" i="30" s="1"/>
  <c r="F457" i="30" l="1"/>
  <c r="E456" i="30"/>
  <c r="B466" i="30"/>
  <c r="H454" i="30"/>
  <c r="D458" i="30"/>
  <c r="I458" i="30" s="1"/>
  <c r="F458" i="30" l="1"/>
  <c r="E457" i="30"/>
  <c r="B467" i="30"/>
  <c r="H455" i="30"/>
  <c r="D459" i="30"/>
  <c r="I459" i="30" s="1"/>
  <c r="F459" i="30" l="1"/>
  <c r="E458" i="30"/>
  <c r="B468" i="30"/>
  <c r="H456" i="30"/>
  <c r="D460" i="30"/>
  <c r="I460" i="30" s="1"/>
  <c r="F460" i="30" l="1"/>
  <c r="E459" i="30"/>
  <c r="B469" i="30"/>
  <c r="D461" i="30"/>
  <c r="I461" i="30" s="1"/>
  <c r="H457" i="30"/>
  <c r="F461" i="30" l="1"/>
  <c r="B470" i="30"/>
  <c r="E460" i="30"/>
  <c r="H458" i="30"/>
  <c r="D462" i="30"/>
  <c r="I462" i="30" s="1"/>
  <c r="H459" i="30" l="1"/>
  <c r="F462" i="30"/>
  <c r="E461" i="30"/>
  <c r="B471" i="30"/>
  <c r="D463" i="30"/>
  <c r="I463" i="30" s="1"/>
  <c r="H460" i="30" l="1"/>
  <c r="F463" i="30"/>
  <c r="B472" i="30"/>
  <c r="E462" i="30"/>
  <c r="D464" i="30"/>
  <c r="I464" i="30" s="1"/>
  <c r="H461" i="30" l="1"/>
  <c r="F464" i="30"/>
  <c r="E463" i="30"/>
  <c r="B473" i="30"/>
  <c r="D465" i="30"/>
  <c r="I465" i="30" s="1"/>
  <c r="F465" i="30" l="1"/>
  <c r="B474" i="30"/>
  <c r="E464" i="30"/>
  <c r="H462" i="30"/>
  <c r="D466" i="30"/>
  <c r="I466" i="30" s="1"/>
  <c r="H463" i="30" l="1"/>
  <c r="F466" i="30"/>
  <c r="E465" i="30"/>
  <c r="B475" i="30"/>
  <c r="D467" i="30"/>
  <c r="I467" i="30" s="1"/>
  <c r="F467" i="30" l="1"/>
  <c r="E466" i="30"/>
  <c r="B476" i="30"/>
  <c r="H464" i="30"/>
  <c r="D468" i="30"/>
  <c r="I468" i="30" s="1"/>
  <c r="F468" i="30" l="1"/>
  <c r="B477" i="30"/>
  <c r="E467" i="30"/>
  <c r="H465" i="30"/>
  <c r="D469" i="30"/>
  <c r="I469" i="30" s="1"/>
  <c r="F469" i="30" l="1"/>
  <c r="E468" i="30"/>
  <c r="B478" i="30"/>
  <c r="D470" i="30"/>
  <c r="I470" i="30" s="1"/>
  <c r="H466" i="30"/>
  <c r="F470" i="30" l="1"/>
  <c r="E469" i="30"/>
  <c r="B479" i="30"/>
  <c r="H467" i="30"/>
  <c r="D471" i="30"/>
  <c r="I471" i="30" s="1"/>
  <c r="F471" i="30" l="1"/>
  <c r="E470" i="30"/>
  <c r="B480" i="30"/>
  <c r="H468" i="30"/>
  <c r="D472" i="30"/>
  <c r="I472" i="30" s="1"/>
  <c r="F472" i="30" l="1"/>
  <c r="E471" i="30"/>
  <c r="B481" i="30"/>
  <c r="H469" i="30"/>
  <c r="D473" i="30"/>
  <c r="I473" i="30" s="1"/>
  <c r="F473" i="30" l="1"/>
  <c r="E472" i="30"/>
  <c r="B482" i="30"/>
  <c r="H470" i="30"/>
  <c r="D474" i="30"/>
  <c r="I474" i="30" s="1"/>
  <c r="F474" i="30" l="1"/>
  <c r="E473" i="30"/>
  <c r="B483" i="30"/>
  <c r="H471" i="30"/>
  <c r="D475" i="30"/>
  <c r="I475" i="30" s="1"/>
  <c r="F475" i="30" l="1"/>
  <c r="B484" i="30"/>
  <c r="E474" i="30"/>
  <c r="D476" i="30"/>
  <c r="I476" i="30" s="1"/>
  <c r="H472" i="30"/>
  <c r="F476" i="30" l="1"/>
  <c r="E475" i="30"/>
  <c r="B485" i="30"/>
  <c r="D477" i="30"/>
  <c r="I477" i="30" s="1"/>
  <c r="H473" i="30"/>
  <c r="F477" i="30" l="1"/>
  <c r="E476" i="30"/>
  <c r="B486" i="30"/>
  <c r="H474" i="30"/>
  <c r="D478" i="30"/>
  <c r="I478" i="30" s="1"/>
  <c r="F478" i="30" l="1"/>
  <c r="E477" i="30"/>
  <c r="B487" i="30"/>
  <c r="H475" i="30"/>
  <c r="D479" i="30"/>
  <c r="I479" i="30" s="1"/>
  <c r="F479" i="30" l="1"/>
  <c r="E478" i="30"/>
  <c r="B488" i="30"/>
  <c r="H476" i="30"/>
  <c r="D480" i="30"/>
  <c r="I480" i="30" s="1"/>
  <c r="F480" i="30" l="1"/>
  <c r="E479" i="30"/>
  <c r="B489" i="30"/>
  <c r="H477" i="30"/>
  <c r="D481" i="30"/>
  <c r="I481" i="30" s="1"/>
  <c r="F481" i="30" l="1"/>
  <c r="E480" i="30"/>
  <c r="B490" i="30"/>
  <c r="H478" i="30"/>
  <c r="D482" i="30"/>
  <c r="I482" i="30" s="1"/>
  <c r="F482" i="30" l="1"/>
  <c r="E481" i="30"/>
  <c r="B491" i="30"/>
  <c r="H479" i="30"/>
  <c r="D483" i="30"/>
  <c r="I483" i="30" s="1"/>
  <c r="F483" i="30" l="1"/>
  <c r="H480" i="30"/>
  <c r="E482" i="30"/>
  <c r="B492" i="30"/>
  <c r="D484" i="30"/>
  <c r="I484" i="30" s="1"/>
  <c r="F484" i="30" l="1"/>
  <c r="E483" i="30"/>
  <c r="B493" i="30"/>
  <c r="H481" i="30"/>
  <c r="D485" i="30"/>
  <c r="I485" i="30" s="1"/>
  <c r="F485" i="30" l="1"/>
  <c r="E484" i="30"/>
  <c r="B494" i="30"/>
  <c r="D486" i="30"/>
  <c r="I486" i="30" s="1"/>
  <c r="H482" i="30"/>
  <c r="F486" i="30" l="1"/>
  <c r="E485" i="30"/>
  <c r="B495" i="30"/>
  <c r="H483" i="30"/>
  <c r="D487" i="30"/>
  <c r="I487" i="30" s="1"/>
  <c r="F487" i="30" l="1"/>
  <c r="E486" i="30"/>
  <c r="B496" i="30"/>
  <c r="H484" i="30"/>
  <c r="D488" i="30"/>
  <c r="I488" i="30" s="1"/>
  <c r="F488" i="30" l="1"/>
  <c r="E487" i="30"/>
  <c r="B497" i="30"/>
  <c r="H485" i="30"/>
  <c r="D489" i="30"/>
  <c r="I489" i="30" s="1"/>
  <c r="F489" i="30" l="1"/>
  <c r="B498" i="30"/>
  <c r="E488" i="30"/>
  <c r="D490" i="30"/>
  <c r="I490" i="30" s="1"/>
  <c r="H486" i="30"/>
  <c r="F490" i="30" l="1"/>
  <c r="E489" i="30"/>
  <c r="B499" i="30"/>
  <c r="H487" i="30"/>
  <c r="D491" i="30"/>
  <c r="I491" i="30" s="1"/>
  <c r="F491" i="30" l="1"/>
  <c r="E490" i="30"/>
  <c r="B500" i="30"/>
  <c r="D492" i="30"/>
  <c r="I492" i="30" s="1"/>
  <c r="H488" i="30"/>
  <c r="F492" i="30" l="1"/>
  <c r="B501" i="30"/>
  <c r="E491" i="30"/>
  <c r="H489" i="30"/>
  <c r="D493" i="30"/>
  <c r="I493" i="30" s="1"/>
  <c r="F493" i="30" l="1"/>
  <c r="E492" i="30"/>
  <c r="B502" i="30"/>
  <c r="D494" i="30"/>
  <c r="I494" i="30" s="1"/>
  <c r="H490" i="30"/>
  <c r="F494" i="30" l="1"/>
  <c r="B503" i="30"/>
  <c r="E493" i="30"/>
  <c r="H491" i="30"/>
  <c r="D495" i="30"/>
  <c r="I495" i="30" s="1"/>
  <c r="F495" i="30" l="1"/>
  <c r="E494" i="30"/>
  <c r="B504" i="30"/>
  <c r="H492" i="30"/>
  <c r="D496" i="30"/>
  <c r="I496" i="30" s="1"/>
  <c r="F496" i="30" l="1"/>
  <c r="B505" i="30"/>
  <c r="E495" i="30"/>
  <c r="D497" i="30"/>
  <c r="I497" i="30" s="1"/>
  <c r="H493" i="30"/>
  <c r="F497" i="30" l="1"/>
  <c r="E496" i="30"/>
  <c r="B506" i="30"/>
  <c r="H494" i="30"/>
  <c r="D498" i="30"/>
  <c r="I498" i="30" s="1"/>
  <c r="F498" i="30" l="1"/>
  <c r="E497" i="30"/>
  <c r="B507" i="30"/>
  <c r="H495" i="30"/>
  <c r="D499" i="30"/>
  <c r="I499" i="30" s="1"/>
  <c r="F499" i="30" l="1"/>
  <c r="E498" i="30"/>
  <c r="B508" i="30"/>
  <c r="H496" i="30"/>
  <c r="D500" i="30"/>
  <c r="I500" i="30" s="1"/>
  <c r="H497" i="30" l="1"/>
  <c r="F500" i="30"/>
  <c r="B509" i="30"/>
  <c r="E499" i="30"/>
  <c r="D501" i="30"/>
  <c r="I501" i="30" s="1"/>
  <c r="F501" i="30" l="1"/>
  <c r="E500" i="30"/>
  <c r="B510" i="30"/>
  <c r="D502" i="30"/>
  <c r="I502" i="30" s="1"/>
  <c r="H498" i="30"/>
  <c r="F502" i="30" l="1"/>
  <c r="E501" i="30"/>
  <c r="B511" i="30"/>
  <c r="H499" i="30"/>
  <c r="D503" i="30"/>
  <c r="I503" i="30" s="1"/>
  <c r="F503" i="30" l="1"/>
  <c r="E502" i="30"/>
  <c r="B512" i="30"/>
  <c r="H500" i="30"/>
  <c r="D504" i="30"/>
  <c r="I504" i="30" s="1"/>
  <c r="F504" i="30" l="1"/>
  <c r="E503" i="30"/>
  <c r="B513" i="30"/>
  <c r="H501" i="30"/>
  <c r="F505" i="30" l="1"/>
  <c r="B514" i="30"/>
  <c r="E504" i="30"/>
  <c r="D506" i="30"/>
  <c r="I506" i="30" s="1"/>
  <c r="D505" i="30"/>
  <c r="I505" i="30" s="1"/>
  <c r="H502" i="30" l="1"/>
  <c r="H503" i="30"/>
  <c r="F506" i="30"/>
  <c r="E505" i="30"/>
  <c r="D507" i="30"/>
  <c r="I507" i="30" s="1"/>
  <c r="E506" i="30"/>
  <c r="B515" i="30"/>
  <c r="D508" i="30"/>
  <c r="I508" i="30" s="1"/>
  <c r="F507" i="30" l="1"/>
  <c r="B516" i="30"/>
  <c r="E507" i="30"/>
  <c r="D509" i="30"/>
  <c r="I509" i="30" s="1"/>
  <c r="H504" i="30" l="1"/>
  <c r="H506" i="30"/>
  <c r="F508" i="30"/>
  <c r="E508" i="30"/>
  <c r="B517" i="30"/>
  <c r="D510" i="30"/>
  <c r="I510" i="30" s="1"/>
  <c r="H505" i="30"/>
  <c r="F509" i="30" l="1"/>
  <c r="E509" i="30"/>
  <c r="B518" i="30"/>
  <c r="D511" i="30"/>
  <c r="I511" i="30" s="1"/>
  <c r="H507" i="30" l="1"/>
  <c r="F510" i="30"/>
  <c r="E510" i="30"/>
  <c r="B519" i="30"/>
  <c r="H508" i="30"/>
  <c r="D512" i="30"/>
  <c r="I512" i="30" s="1"/>
  <c r="F511" i="30" l="1"/>
  <c r="B520" i="30"/>
  <c r="E511" i="30"/>
  <c r="D513" i="30"/>
  <c r="I513" i="30" s="1"/>
  <c r="H509" i="30" l="1"/>
  <c r="H510" i="30"/>
  <c r="F512" i="30"/>
  <c r="E512" i="30"/>
  <c r="B521" i="30"/>
  <c r="D514" i="30"/>
  <c r="I514" i="30" s="1"/>
  <c r="F513" i="30" l="1"/>
  <c r="B522" i="30"/>
  <c r="E513" i="30"/>
  <c r="D515" i="30"/>
  <c r="I515" i="30" s="1"/>
  <c r="H512" i="30" l="1"/>
  <c r="H511" i="30"/>
  <c r="F514" i="30"/>
  <c r="E514" i="30"/>
  <c r="B523" i="30"/>
  <c r="D516" i="30"/>
  <c r="I516" i="30" s="1"/>
  <c r="F515" i="30" l="1"/>
  <c r="E515" i="30"/>
  <c r="B524" i="30"/>
  <c r="H513" i="30"/>
  <c r="D517" i="30"/>
  <c r="I517" i="30" s="1"/>
  <c r="F516" i="30" l="1"/>
  <c r="B525" i="30"/>
  <c r="E516" i="30"/>
  <c r="H514" i="30"/>
  <c r="D518" i="30"/>
  <c r="I518" i="30" s="1"/>
  <c r="F517" i="30" l="1"/>
  <c r="E517" i="30"/>
  <c r="B526" i="30"/>
  <c r="H515" i="30"/>
  <c r="D519" i="30"/>
  <c r="I519" i="30" s="1"/>
  <c r="H516" i="30" l="1"/>
  <c r="F518" i="30"/>
  <c r="B527" i="30"/>
  <c r="E518" i="30"/>
  <c r="D520" i="30"/>
  <c r="I520" i="30" s="1"/>
  <c r="H517" i="30" l="1"/>
  <c r="F519" i="30"/>
  <c r="E519" i="30"/>
  <c r="B528" i="30"/>
  <c r="D521" i="30"/>
  <c r="I521" i="30" s="1"/>
  <c r="H518" i="30" l="1"/>
  <c r="F520" i="30"/>
  <c r="B529" i="30"/>
  <c r="E520" i="30"/>
  <c r="D522" i="30"/>
  <c r="I522" i="30" s="1"/>
  <c r="H519" i="30" l="1"/>
  <c r="F521" i="30"/>
  <c r="E521" i="30"/>
  <c r="B530" i="30"/>
  <c r="D523" i="30"/>
  <c r="I523" i="30" s="1"/>
  <c r="F522" i="30" l="1"/>
  <c r="E522" i="30"/>
  <c r="B531" i="30"/>
  <c r="H520" i="30"/>
  <c r="D524" i="30"/>
  <c r="I524" i="30" s="1"/>
  <c r="H521" i="30" l="1"/>
  <c r="F523" i="30"/>
  <c r="B532" i="30"/>
  <c r="E523" i="30"/>
  <c r="D525" i="30"/>
  <c r="I525" i="30" s="1"/>
  <c r="F524" i="30" l="1"/>
  <c r="E524" i="30"/>
  <c r="B533" i="30"/>
  <c r="H522" i="30"/>
  <c r="D526" i="30"/>
  <c r="I526" i="30" s="1"/>
  <c r="F525" i="30" l="1"/>
  <c r="B534" i="30"/>
  <c r="E525" i="30"/>
  <c r="H523" i="30"/>
  <c r="D527" i="30"/>
  <c r="I527" i="30" s="1"/>
  <c r="H524" i="30" l="1"/>
  <c r="F526" i="30"/>
  <c r="E526" i="30"/>
  <c r="B535" i="30"/>
  <c r="D528" i="30"/>
  <c r="I528" i="30" s="1"/>
  <c r="F527" i="30" l="1"/>
  <c r="B536" i="30"/>
  <c r="E527" i="30"/>
  <c r="H525" i="30"/>
  <c r="D529" i="30"/>
  <c r="I529" i="30" s="1"/>
  <c r="F528" i="30" l="1"/>
  <c r="E528" i="30"/>
  <c r="B537" i="30"/>
  <c r="H526" i="30"/>
  <c r="D530" i="30"/>
  <c r="I530" i="30" s="1"/>
  <c r="F529" i="30" l="1"/>
  <c r="E529" i="30"/>
  <c r="B538" i="30"/>
  <c r="H527" i="30"/>
  <c r="D531" i="30"/>
  <c r="I531" i="30" s="1"/>
  <c r="F530" i="30" l="1"/>
  <c r="B539" i="30"/>
  <c r="E530" i="30"/>
  <c r="H528" i="30"/>
  <c r="D532" i="30"/>
  <c r="I532" i="30" s="1"/>
  <c r="H529" i="30" l="1"/>
  <c r="F531" i="30"/>
  <c r="E531" i="30"/>
  <c r="B540" i="30"/>
  <c r="D533" i="30"/>
  <c r="I533" i="30" s="1"/>
  <c r="H530" i="30" l="1"/>
  <c r="F532" i="30"/>
  <c r="B541" i="30"/>
  <c r="E532" i="30"/>
  <c r="D534" i="30"/>
  <c r="I534" i="30" s="1"/>
  <c r="F533" i="30" l="1"/>
  <c r="E533" i="30"/>
  <c r="B542" i="30"/>
  <c r="H531" i="30"/>
  <c r="D535" i="30"/>
  <c r="I535" i="30" s="1"/>
  <c r="F534" i="30" l="1"/>
  <c r="E534" i="30"/>
  <c r="B543" i="30"/>
  <c r="H532" i="30"/>
  <c r="D536" i="30"/>
  <c r="I536" i="30" s="1"/>
  <c r="F535" i="30" l="1"/>
  <c r="E535" i="30"/>
  <c r="B544" i="30"/>
  <c r="H533" i="30"/>
  <c r="D537" i="30"/>
  <c r="I537" i="30" s="1"/>
  <c r="F536" i="30" l="1"/>
  <c r="E536" i="30"/>
  <c r="H534" i="30"/>
  <c r="B545" i="30"/>
  <c r="D538" i="30"/>
  <c r="I538" i="30" s="1"/>
  <c r="H535" i="30" l="1"/>
  <c r="F537" i="30"/>
  <c r="B546" i="30"/>
  <c r="E537" i="30"/>
  <c r="D539" i="30"/>
  <c r="I539" i="30" s="1"/>
  <c r="H536" i="30" l="1"/>
  <c r="F538" i="30"/>
  <c r="E538" i="30"/>
  <c r="B547" i="30"/>
  <c r="D540" i="30"/>
  <c r="I540" i="30" s="1"/>
  <c r="F539" i="30" l="1"/>
  <c r="E539" i="30"/>
  <c r="B548" i="30"/>
  <c r="H537" i="30"/>
  <c r="D541" i="30"/>
  <c r="I541" i="30" s="1"/>
  <c r="F540" i="30" l="1"/>
  <c r="E540" i="30"/>
  <c r="B549" i="30"/>
  <c r="H538" i="30"/>
  <c r="D542" i="30"/>
  <c r="I542" i="30" s="1"/>
  <c r="F541" i="30" l="1"/>
  <c r="E541" i="30"/>
  <c r="B550" i="30"/>
  <c r="H539" i="30"/>
  <c r="D543" i="30"/>
  <c r="I543" i="30" s="1"/>
  <c r="F542" i="30" l="1"/>
  <c r="E542" i="30"/>
  <c r="B551" i="30"/>
  <c r="H540" i="30"/>
  <c r="D544" i="30"/>
  <c r="I544" i="30" s="1"/>
  <c r="F543" i="30" l="1"/>
  <c r="B552" i="30"/>
  <c r="E543" i="30"/>
  <c r="H541" i="30"/>
  <c r="D545" i="30"/>
  <c r="I545" i="30" s="1"/>
  <c r="F544" i="30" l="1"/>
  <c r="E544" i="30"/>
  <c r="B553" i="30"/>
  <c r="H542" i="30"/>
  <c r="D546" i="30"/>
  <c r="I546" i="30" s="1"/>
  <c r="F545" i="30" l="1"/>
  <c r="E545" i="30"/>
  <c r="B554" i="30"/>
  <c r="H543" i="30"/>
  <c r="D547" i="30"/>
  <c r="I547" i="30" s="1"/>
  <c r="H544" i="30" l="1"/>
  <c r="F546" i="30"/>
  <c r="E546" i="30"/>
  <c r="B555" i="30"/>
  <c r="D548" i="30"/>
  <c r="I548" i="30" s="1"/>
  <c r="F547" i="30" l="1"/>
  <c r="E547" i="30"/>
  <c r="B556" i="30"/>
  <c r="D549" i="30"/>
  <c r="I549" i="30" s="1"/>
  <c r="H545" i="30" l="1"/>
  <c r="H546" i="30"/>
  <c r="F548" i="30"/>
  <c r="B557" i="30"/>
  <c r="E548" i="30"/>
  <c r="D550" i="30"/>
  <c r="I550" i="30" s="1"/>
  <c r="F549" i="30" l="1"/>
  <c r="E549" i="30"/>
  <c r="B558" i="30"/>
  <c r="D551" i="30"/>
  <c r="I551" i="30" s="1"/>
  <c r="H547" i="30" l="1"/>
  <c r="H548" i="30"/>
  <c r="F550" i="30"/>
  <c r="E550" i="30"/>
  <c r="B559" i="30"/>
  <c r="D552" i="30"/>
  <c r="I552" i="30" s="1"/>
  <c r="F551" i="30" l="1"/>
  <c r="E551" i="30"/>
  <c r="B560" i="30"/>
  <c r="D553" i="30"/>
  <c r="I553" i="30" s="1"/>
  <c r="H549" i="30" l="1"/>
  <c r="F552" i="30"/>
  <c r="B561" i="30"/>
  <c r="E552" i="30"/>
  <c r="H550" i="30"/>
  <c r="D554" i="30"/>
  <c r="I554" i="30" s="1"/>
  <c r="F553" i="30" l="1"/>
  <c r="E553" i="30"/>
  <c r="B562" i="30"/>
  <c r="D555" i="30"/>
  <c r="I555" i="30" s="1"/>
  <c r="H551" i="30" l="1"/>
  <c r="F554" i="30"/>
  <c r="B563" i="30"/>
  <c r="E554" i="30"/>
  <c r="H552" i="30"/>
  <c r="D556" i="30"/>
  <c r="I556" i="30" s="1"/>
  <c r="F555" i="30" l="1"/>
  <c r="E555" i="30"/>
  <c r="B564" i="30"/>
  <c r="D557" i="30"/>
  <c r="I557" i="30" s="1"/>
  <c r="H553" i="30" l="1"/>
  <c r="F556" i="30"/>
  <c r="E556" i="30"/>
  <c r="B565" i="30"/>
  <c r="H554" i="30"/>
  <c r="D558" i="30"/>
  <c r="I558" i="30" s="1"/>
  <c r="F557" i="30" l="1"/>
  <c r="E557" i="30"/>
  <c r="B566" i="30"/>
  <c r="D559" i="30"/>
  <c r="I559" i="30" s="1"/>
  <c r="H555" i="30" l="1"/>
  <c r="F558" i="30"/>
  <c r="H556" i="30"/>
  <c r="B567" i="30"/>
  <c r="E558" i="30"/>
  <c r="D560" i="30"/>
  <c r="I560" i="30" s="1"/>
  <c r="F559" i="30" l="1"/>
  <c r="E559" i="30"/>
  <c r="B568" i="30"/>
  <c r="H557" i="30"/>
  <c r="D561" i="30"/>
  <c r="I561" i="30" s="1"/>
  <c r="H558" i="30" l="1"/>
  <c r="F560" i="30"/>
  <c r="B569" i="30"/>
  <c r="E560" i="30"/>
  <c r="D562" i="30"/>
  <c r="I562" i="30" s="1"/>
  <c r="F561" i="30" l="1"/>
  <c r="E561" i="30"/>
  <c r="B570" i="30"/>
  <c r="H559" i="30"/>
  <c r="D563" i="30"/>
  <c r="I563" i="30" s="1"/>
  <c r="F562" i="30" l="1"/>
  <c r="B571" i="30"/>
  <c r="E562" i="30"/>
  <c r="H560" i="30"/>
  <c r="D564" i="30"/>
  <c r="I564" i="30" s="1"/>
  <c r="F563" i="30" l="1"/>
  <c r="E563" i="30"/>
  <c r="B572" i="30"/>
  <c r="H561" i="30"/>
  <c r="D565" i="30"/>
  <c r="I565" i="30" s="1"/>
  <c r="H562" i="30" l="1"/>
  <c r="F564" i="30"/>
  <c r="E564" i="30"/>
  <c r="B573" i="30"/>
  <c r="D566" i="30"/>
  <c r="I566" i="30" s="1"/>
  <c r="F565" i="30" l="1"/>
  <c r="E565" i="30"/>
  <c r="B574" i="30"/>
  <c r="H563" i="30"/>
  <c r="D567" i="30"/>
  <c r="I567" i="30" s="1"/>
  <c r="F566" i="30" l="1"/>
  <c r="B575" i="30"/>
  <c r="E566" i="30"/>
  <c r="H564" i="30"/>
  <c r="D568" i="30"/>
  <c r="I568" i="30" s="1"/>
  <c r="F567" i="30" l="1"/>
  <c r="E567" i="30"/>
  <c r="H565" i="30"/>
  <c r="B576" i="30"/>
  <c r="D569" i="30"/>
  <c r="I569" i="30" s="1"/>
  <c r="F568" i="30" l="1"/>
  <c r="B577" i="30"/>
  <c r="E568" i="30"/>
  <c r="H566" i="30"/>
  <c r="D570" i="30"/>
  <c r="I570" i="30" s="1"/>
  <c r="F569" i="30" l="1"/>
  <c r="E569" i="30"/>
  <c r="B578" i="30"/>
  <c r="H567" i="30"/>
  <c r="D571" i="30"/>
  <c r="I571" i="30" s="1"/>
  <c r="F570" i="30" l="1"/>
  <c r="B579" i="30"/>
  <c r="E570" i="30"/>
  <c r="H568" i="30"/>
  <c r="D572" i="30"/>
  <c r="I572" i="30" s="1"/>
  <c r="H569" i="30" l="1"/>
  <c r="F571" i="30"/>
  <c r="E571" i="30"/>
  <c r="B580" i="30"/>
  <c r="D573" i="30"/>
  <c r="I573" i="30" s="1"/>
  <c r="F572" i="30" l="1"/>
  <c r="E572" i="30"/>
  <c r="H570" i="30"/>
  <c r="B581" i="30"/>
  <c r="D574" i="30"/>
  <c r="I574" i="30" s="1"/>
  <c r="H571" i="30" l="1"/>
  <c r="F573" i="30"/>
  <c r="E573" i="30"/>
  <c r="B582" i="30"/>
  <c r="D575" i="30"/>
  <c r="I575" i="30" s="1"/>
  <c r="F574" i="30" l="1"/>
  <c r="E574" i="30"/>
  <c r="B583" i="30"/>
  <c r="H572" i="30"/>
  <c r="D576" i="30"/>
  <c r="I576" i="30" s="1"/>
  <c r="F575" i="30" l="1"/>
  <c r="B584" i="30"/>
  <c r="E575" i="30"/>
  <c r="H573" i="30"/>
  <c r="D577" i="30"/>
  <c r="I577" i="30" s="1"/>
  <c r="H574" i="30" l="1"/>
  <c r="F576" i="30"/>
  <c r="B585" i="30"/>
  <c r="E576" i="30"/>
  <c r="D578" i="30"/>
  <c r="I578" i="30" s="1"/>
  <c r="F577" i="30" l="1"/>
  <c r="E577" i="30"/>
  <c r="B586" i="30"/>
  <c r="H575" i="30"/>
  <c r="D579" i="30"/>
  <c r="I579" i="30" s="1"/>
  <c r="F578" i="30" l="1"/>
  <c r="E578" i="30"/>
  <c r="B587" i="30"/>
  <c r="H576" i="30"/>
  <c r="D580" i="30"/>
  <c r="I580" i="30" s="1"/>
  <c r="F579" i="30" l="1"/>
  <c r="E579" i="30"/>
  <c r="B588" i="30"/>
  <c r="H577" i="30"/>
  <c r="D581" i="30"/>
  <c r="I581" i="30" s="1"/>
  <c r="F580" i="30" l="1"/>
  <c r="H578" i="30"/>
  <c r="E580" i="30"/>
  <c r="B589" i="30"/>
  <c r="D582" i="30"/>
  <c r="I582" i="30" s="1"/>
  <c r="F581" i="30" l="1"/>
  <c r="E581" i="30"/>
  <c r="B590" i="30"/>
  <c r="H579" i="30"/>
  <c r="D583" i="30"/>
  <c r="I583" i="30" s="1"/>
  <c r="F582" i="30" l="1"/>
  <c r="B591" i="30"/>
  <c r="E582" i="30"/>
  <c r="H580" i="30"/>
  <c r="D584" i="30"/>
  <c r="I584" i="30" s="1"/>
  <c r="H581" i="30" l="1"/>
  <c r="F583" i="30"/>
  <c r="E583" i="30"/>
  <c r="B592" i="30"/>
  <c r="D585" i="30"/>
  <c r="I585" i="30" s="1"/>
  <c r="F584" i="30" l="1"/>
  <c r="E584" i="30"/>
  <c r="B593" i="30"/>
  <c r="H582" i="30"/>
  <c r="D586" i="30"/>
  <c r="I586" i="30" s="1"/>
  <c r="H583" i="30" l="1"/>
  <c r="F585" i="30"/>
  <c r="B594" i="30"/>
  <c r="E585" i="30"/>
  <c r="D587" i="30"/>
  <c r="I587" i="30" s="1"/>
  <c r="F586" i="30" l="1"/>
  <c r="E586" i="30"/>
  <c r="H584" i="30"/>
  <c r="B595" i="30"/>
  <c r="D588" i="30"/>
  <c r="I588" i="30" s="1"/>
  <c r="H585" i="30" l="1"/>
  <c r="F587" i="30"/>
  <c r="B596" i="30"/>
  <c r="E587" i="30"/>
  <c r="D589" i="30"/>
  <c r="I589" i="30" s="1"/>
  <c r="H586" i="30" l="1"/>
  <c r="F588" i="30"/>
  <c r="E588" i="30"/>
  <c r="B597" i="30"/>
  <c r="D590" i="30"/>
  <c r="I590" i="30" s="1"/>
  <c r="H587" i="30" l="1"/>
  <c r="F589" i="30"/>
  <c r="E589" i="30"/>
  <c r="B598" i="30"/>
  <c r="D591" i="30"/>
  <c r="I591" i="30" s="1"/>
  <c r="H588" i="30" l="1"/>
  <c r="F590" i="30"/>
  <c r="E590" i="30"/>
  <c r="B599" i="30"/>
  <c r="D592" i="30"/>
  <c r="I592" i="30" s="1"/>
  <c r="H589" i="30" l="1"/>
  <c r="F591" i="30"/>
  <c r="E591" i="30"/>
  <c r="B600" i="30"/>
  <c r="D593" i="30"/>
  <c r="I593" i="30" s="1"/>
  <c r="H590" i="30" l="1"/>
  <c r="F592" i="30"/>
  <c r="B601" i="30"/>
  <c r="E592" i="30"/>
  <c r="D594" i="30"/>
  <c r="I594" i="30" s="1"/>
  <c r="F593" i="30" l="1"/>
  <c r="E593" i="30"/>
  <c r="B602" i="30"/>
  <c r="H591" i="30"/>
  <c r="D595" i="30"/>
  <c r="I595" i="30" s="1"/>
  <c r="F594" i="30" l="1"/>
  <c r="E594" i="30"/>
  <c r="B603" i="30"/>
  <c r="H592" i="30"/>
  <c r="D596" i="30"/>
  <c r="I596" i="30" s="1"/>
  <c r="F595" i="30" l="1"/>
  <c r="E595" i="30"/>
  <c r="B604" i="30"/>
  <c r="H593" i="30"/>
  <c r="D597" i="30"/>
  <c r="I597" i="30" s="1"/>
  <c r="H594" i="30" l="1"/>
  <c r="F596" i="30"/>
  <c r="E596" i="30"/>
  <c r="B605" i="30"/>
  <c r="D598" i="30"/>
  <c r="I598" i="30" s="1"/>
  <c r="H595" i="30" l="1"/>
  <c r="F597" i="30"/>
  <c r="B606" i="30"/>
  <c r="E597" i="30"/>
  <c r="D599" i="30"/>
  <c r="I599" i="30" s="1"/>
  <c r="F598" i="30" l="1"/>
  <c r="E598" i="30"/>
  <c r="B607" i="30"/>
  <c r="H596" i="30"/>
  <c r="D600" i="30"/>
  <c r="I600" i="30" s="1"/>
  <c r="F599" i="30" l="1"/>
  <c r="E599" i="30"/>
  <c r="H597" i="30"/>
  <c r="B608" i="30"/>
  <c r="D601" i="30"/>
  <c r="I601" i="30" s="1"/>
  <c r="F600" i="30" l="1"/>
  <c r="E600" i="30"/>
  <c r="B609" i="30"/>
  <c r="H598" i="30"/>
  <c r="D602" i="30"/>
  <c r="I602" i="30" s="1"/>
  <c r="H599" i="30" l="1"/>
  <c r="F601" i="30"/>
  <c r="E601" i="30"/>
  <c r="B610" i="30"/>
  <c r="D603" i="30"/>
  <c r="I603" i="30" s="1"/>
  <c r="F602" i="30" l="1"/>
  <c r="H600" i="30"/>
  <c r="E602" i="30"/>
  <c r="B611" i="30"/>
  <c r="D604" i="30"/>
  <c r="I604" i="30" s="1"/>
  <c r="F603" i="30" l="1"/>
  <c r="E603" i="30"/>
  <c r="B612" i="30"/>
  <c r="H601" i="30"/>
  <c r="D605" i="30"/>
  <c r="I605" i="30" s="1"/>
  <c r="H602" i="30" l="1"/>
  <c r="F604" i="30"/>
  <c r="E604" i="30"/>
  <c r="B613" i="30"/>
  <c r="D606" i="30"/>
  <c r="I606" i="30" s="1"/>
  <c r="F605" i="30" l="1"/>
  <c r="E605" i="30"/>
  <c r="B614" i="30"/>
  <c r="H603" i="30"/>
  <c r="D607" i="30"/>
  <c r="I607" i="30" s="1"/>
  <c r="H604" i="30" l="1"/>
  <c r="F606" i="30"/>
  <c r="E606" i="30"/>
  <c r="B615" i="30"/>
  <c r="D608" i="30"/>
  <c r="I608" i="30" s="1"/>
  <c r="F607" i="30" l="1"/>
  <c r="E607" i="30"/>
  <c r="B616" i="30"/>
  <c r="H605" i="30"/>
  <c r="D609" i="30"/>
  <c r="I609" i="30" s="1"/>
  <c r="F608" i="30" l="1"/>
  <c r="B617" i="30"/>
  <c r="H606" i="30"/>
  <c r="E608" i="30"/>
  <c r="D610" i="30"/>
  <c r="I610" i="30" s="1"/>
  <c r="H607" i="30" l="1"/>
  <c r="F609" i="30"/>
  <c r="E609" i="30"/>
  <c r="B618" i="30"/>
  <c r="D611" i="30"/>
  <c r="I611" i="30" s="1"/>
  <c r="H608" i="30" l="1"/>
  <c r="F610" i="30"/>
  <c r="B619" i="30"/>
  <c r="E610" i="30"/>
  <c r="D612" i="30"/>
  <c r="I612" i="30" s="1"/>
  <c r="F611" i="30" l="1"/>
  <c r="E611" i="30"/>
  <c r="B620" i="30"/>
  <c r="H609" i="30"/>
  <c r="D613" i="30"/>
  <c r="I613" i="30" s="1"/>
  <c r="H610" i="30" l="1"/>
  <c r="F612" i="30"/>
  <c r="E612" i="30"/>
  <c r="B621" i="30"/>
  <c r="D614" i="30"/>
  <c r="I614" i="30" s="1"/>
  <c r="H611" i="30" l="1"/>
  <c r="F613" i="30"/>
  <c r="E613" i="30"/>
  <c r="B622" i="30"/>
  <c r="D615" i="30"/>
  <c r="I615" i="30" s="1"/>
  <c r="F614" i="30" l="1"/>
  <c r="E614" i="30"/>
  <c r="H612" i="30"/>
  <c r="B623" i="30"/>
  <c r="D616" i="30"/>
  <c r="I616" i="30" s="1"/>
  <c r="F615" i="30" l="1"/>
  <c r="E615" i="30"/>
  <c r="B624" i="30"/>
  <c r="H613" i="30"/>
  <c r="D617" i="30"/>
  <c r="I617" i="30" s="1"/>
  <c r="H614" i="30" l="1"/>
  <c r="F616" i="30"/>
  <c r="B625" i="30"/>
  <c r="E616" i="30"/>
  <c r="D618" i="30"/>
  <c r="I618" i="30" s="1"/>
  <c r="H615" i="30" l="1"/>
  <c r="F617" i="30"/>
  <c r="E617" i="30"/>
  <c r="B626" i="30"/>
  <c r="D619" i="30"/>
  <c r="I619" i="30" s="1"/>
  <c r="F618" i="30" l="1"/>
  <c r="E618" i="30"/>
  <c r="B627" i="30"/>
  <c r="H616" i="30"/>
  <c r="D620" i="30"/>
  <c r="I620" i="30" s="1"/>
  <c r="F619" i="30" l="1"/>
  <c r="B628" i="30"/>
  <c r="E619" i="30"/>
  <c r="H617" i="30"/>
  <c r="D621" i="30"/>
  <c r="I621" i="30" s="1"/>
  <c r="H618" i="30" l="1"/>
  <c r="F620" i="30"/>
  <c r="E620" i="30"/>
  <c r="B629" i="30"/>
  <c r="D622" i="30"/>
  <c r="I622" i="30" s="1"/>
  <c r="F621" i="30" l="1"/>
  <c r="B630" i="30"/>
  <c r="E621" i="30"/>
  <c r="H619" i="30"/>
  <c r="D623" i="30"/>
  <c r="I623" i="30" s="1"/>
  <c r="F622" i="30" l="1"/>
  <c r="E622" i="30"/>
  <c r="B631" i="30"/>
  <c r="H620" i="30"/>
  <c r="D624" i="30"/>
  <c r="I624" i="30" s="1"/>
  <c r="F623" i="30" l="1"/>
  <c r="E623" i="30"/>
  <c r="B632" i="30"/>
  <c r="H621" i="30"/>
  <c r="D625" i="30"/>
  <c r="I625" i="30" s="1"/>
  <c r="H622" i="30" l="1"/>
  <c r="F624" i="30"/>
  <c r="E624" i="30"/>
  <c r="B633" i="30"/>
  <c r="D626" i="30"/>
  <c r="I626" i="30" s="1"/>
  <c r="F625" i="30" l="1"/>
  <c r="B634" i="30"/>
  <c r="E625" i="30"/>
  <c r="H623" i="30"/>
  <c r="D627" i="30"/>
  <c r="I627" i="30" s="1"/>
  <c r="F626" i="30" l="1"/>
  <c r="E626" i="30"/>
  <c r="B635" i="30"/>
  <c r="H624" i="30"/>
  <c r="D628" i="30"/>
  <c r="I628" i="30" s="1"/>
  <c r="F627" i="30" l="1"/>
  <c r="E627" i="30"/>
  <c r="H625" i="30"/>
  <c r="D629" i="30"/>
  <c r="I629" i="30" s="1"/>
  <c r="H626" i="30" l="1"/>
  <c r="F628" i="30"/>
  <c r="E628" i="30"/>
  <c r="D630" i="30"/>
  <c r="I630" i="30" s="1"/>
  <c r="H627" i="30" l="1"/>
  <c r="F629" i="30"/>
  <c r="E629" i="30"/>
  <c r="D631" i="30"/>
  <c r="I631" i="30" s="1"/>
  <c r="F630" i="30" l="1"/>
  <c r="E630" i="30"/>
  <c r="H628" i="30"/>
  <c r="D632" i="30"/>
  <c r="I632" i="30" s="1"/>
  <c r="F631" i="30" l="1"/>
  <c r="H629" i="30"/>
  <c r="E631" i="30"/>
  <c r="D633" i="30"/>
  <c r="I633" i="30" s="1"/>
  <c r="F632" i="30" l="1"/>
  <c r="E632" i="30"/>
  <c r="H630" i="30"/>
  <c r="D634" i="30"/>
  <c r="I634" i="30" s="1"/>
  <c r="F633" i="30" l="1"/>
  <c r="E633" i="30"/>
  <c r="H631" i="30"/>
  <c r="H632" i="30" l="1"/>
  <c r="F634" i="30"/>
  <c r="E636" i="30"/>
  <c r="E634" i="30"/>
  <c r="D635" i="30"/>
  <c r="I635" i="30" s="1"/>
  <c r="H633" i="30" l="1"/>
  <c r="F635" i="30"/>
  <c r="E637" i="30"/>
  <c r="E635" i="30"/>
  <c r="F636" i="30" l="1"/>
  <c r="H634" i="30"/>
  <c r="E638" i="30"/>
  <c r="F637" i="30" l="1"/>
  <c r="H635" i="30"/>
  <c r="H636" i="30"/>
  <c r="E639" i="30"/>
  <c r="F638" i="30" l="1"/>
  <c r="H637" i="30"/>
  <c r="E640" i="30"/>
  <c r="F639" i="30" l="1"/>
  <c r="H638" i="30"/>
  <c r="E641" i="30"/>
  <c r="F640" i="30" l="1"/>
  <c r="E642" i="30"/>
  <c r="H639" i="30"/>
  <c r="F641" i="30" l="1"/>
  <c r="H640" i="30"/>
  <c r="E643" i="30"/>
  <c r="F642" i="30" l="1"/>
  <c r="E644" i="30"/>
  <c r="H641" i="30"/>
  <c r="F643" i="30" l="1"/>
  <c r="H642" i="30"/>
  <c r="E645" i="30"/>
  <c r="F644" i="30" l="1"/>
  <c r="H643" i="30"/>
  <c r="E646" i="30"/>
  <c r="F645" i="30" l="1"/>
  <c r="H644" i="30"/>
  <c r="E647" i="30"/>
  <c r="F646" i="30" l="1"/>
  <c r="H645" i="30"/>
  <c r="E648" i="30"/>
  <c r="H646" i="30" l="1"/>
  <c r="F647" i="30"/>
  <c r="E649" i="30"/>
  <c r="F648" i="30" l="1"/>
  <c r="H647" i="30"/>
  <c r="E650" i="30"/>
  <c r="H648" i="30" l="1"/>
  <c r="F649" i="30"/>
  <c r="E651" i="30"/>
  <c r="F650" i="30" l="1"/>
  <c r="H649" i="30"/>
  <c r="E652" i="30"/>
  <c r="F651" i="30" l="1"/>
  <c r="H650" i="30"/>
  <c r="E653" i="30"/>
  <c r="F652" i="30" l="1"/>
  <c r="E654" i="30"/>
  <c r="H651" i="30"/>
  <c r="F653" i="30" l="1"/>
  <c r="E655" i="30"/>
  <c r="H652" i="30"/>
  <c r="F654" i="30" l="1"/>
  <c r="E656" i="30"/>
  <c r="H653" i="30"/>
  <c r="H654" i="30" l="1"/>
  <c r="F655" i="30"/>
  <c r="E657" i="30"/>
  <c r="F656" i="30" l="1"/>
  <c r="H655" i="30"/>
  <c r="E658" i="30"/>
  <c r="F657" i="30" l="1"/>
  <c r="E659" i="30"/>
  <c r="H656" i="30"/>
  <c r="F658" i="30" l="1"/>
  <c r="H657" i="30"/>
  <c r="E660" i="30"/>
  <c r="F659" i="30" l="1"/>
  <c r="E661" i="30"/>
  <c r="H658" i="30" l="1"/>
  <c r="F660" i="30"/>
  <c r="H659" i="30"/>
  <c r="E662" i="30"/>
  <c r="F661" i="30" l="1"/>
  <c r="H660" i="30"/>
  <c r="E663" i="30"/>
  <c r="F662" i="30" l="1"/>
  <c r="H661" i="30"/>
  <c r="E664" i="30"/>
  <c r="F663" i="30" l="1"/>
  <c r="H662" i="30"/>
  <c r="E665" i="30"/>
  <c r="F664" i="30" l="1"/>
  <c r="H663" i="30"/>
  <c r="E666" i="30"/>
  <c r="F665" i="30" l="1"/>
  <c r="E667" i="30"/>
  <c r="H664" i="30"/>
  <c r="F666" i="30" l="1"/>
  <c r="H665" i="30"/>
  <c r="E668" i="30"/>
  <c r="F667" i="30" l="1"/>
  <c r="H666" i="30"/>
  <c r="E669" i="30"/>
  <c r="F668" i="30" l="1"/>
  <c r="H667" i="30"/>
  <c r="E670" i="30"/>
  <c r="F669" i="30" l="1"/>
  <c r="H668" i="30"/>
  <c r="E671" i="30"/>
  <c r="F670" i="30" l="1"/>
  <c r="H669" i="30"/>
  <c r="E672" i="30"/>
  <c r="F671" i="30" l="1"/>
  <c r="H670" i="30"/>
  <c r="E673" i="30"/>
  <c r="F672" i="30" l="1"/>
  <c r="H671" i="30"/>
  <c r="E674" i="30"/>
  <c r="F673" i="30" l="1"/>
  <c r="H672" i="30"/>
  <c r="E675" i="30"/>
  <c r="H673" i="30" l="1"/>
  <c r="F674" i="30"/>
  <c r="E676" i="30"/>
  <c r="F675" i="30" l="1"/>
  <c r="H674" i="30"/>
  <c r="E677" i="30"/>
  <c r="F676" i="30" l="1"/>
  <c r="H675" i="30"/>
  <c r="E678" i="30"/>
  <c r="F677" i="30" l="1"/>
  <c r="H676" i="30"/>
  <c r="E679" i="30"/>
  <c r="H677" i="30" l="1"/>
  <c r="F678" i="30"/>
  <c r="E680" i="30"/>
  <c r="F679" i="30" l="1"/>
  <c r="E681" i="30"/>
  <c r="H678" i="30"/>
  <c r="F680" i="30" l="1"/>
  <c r="H679" i="30"/>
  <c r="E682" i="30"/>
  <c r="H680" i="30" l="1"/>
  <c r="F681" i="30"/>
  <c r="E683" i="30"/>
  <c r="F682" i="30" l="1"/>
  <c r="H681" i="30"/>
  <c r="E684" i="30"/>
  <c r="F683" i="30" l="1"/>
  <c r="H682" i="30"/>
  <c r="E685" i="30"/>
  <c r="F684" i="30" l="1"/>
  <c r="H683" i="30"/>
  <c r="E686" i="30"/>
  <c r="F685" i="30" l="1"/>
  <c r="H684" i="30"/>
  <c r="E687" i="30"/>
  <c r="H685" i="30" l="1"/>
  <c r="F686" i="30"/>
  <c r="E688" i="30"/>
  <c r="F687" i="30" l="1"/>
  <c r="H686" i="30"/>
  <c r="E689" i="30"/>
  <c r="F688" i="30" l="1"/>
  <c r="E690" i="30"/>
  <c r="H687" i="30"/>
  <c r="F689" i="30" l="1"/>
  <c r="H688" i="30"/>
  <c r="E691" i="30"/>
  <c r="F690" i="30" l="1"/>
  <c r="H689" i="30"/>
  <c r="E692" i="30"/>
  <c r="F691" i="30" l="1"/>
  <c r="H690" i="30"/>
  <c r="E693" i="30"/>
  <c r="F692" i="30" l="1"/>
  <c r="H691" i="30"/>
  <c r="E694" i="30"/>
  <c r="F693" i="30" l="1"/>
  <c r="H692" i="30"/>
  <c r="E695" i="30"/>
  <c r="F694" i="30" l="1"/>
  <c r="H693" i="30"/>
  <c r="E696" i="30"/>
  <c r="H694" i="30" l="1"/>
  <c r="F695" i="30"/>
  <c r="E697" i="30"/>
  <c r="F696" i="30" l="1"/>
  <c r="H695" i="30"/>
  <c r="E698" i="30"/>
  <c r="F697" i="30" l="1"/>
  <c r="H696" i="30"/>
  <c r="E699" i="30"/>
  <c r="H697" i="30" l="1"/>
  <c r="F698" i="30"/>
  <c r="E700" i="30"/>
  <c r="F699" i="30" l="1"/>
  <c r="H698" i="30"/>
  <c r="E701" i="30"/>
  <c r="F700" i="30" l="1"/>
  <c r="H699" i="30"/>
  <c r="E702" i="30"/>
  <c r="F701" i="30" l="1"/>
  <c r="H700" i="30"/>
  <c r="E703" i="30"/>
  <c r="F702" i="30" l="1"/>
  <c r="E704" i="30"/>
  <c r="H701" i="30"/>
  <c r="H702" i="30" l="1"/>
  <c r="F703" i="30"/>
  <c r="E705" i="30"/>
  <c r="F704" i="30" l="1"/>
  <c r="H703" i="30"/>
  <c r="E706" i="30"/>
  <c r="F705" i="30" l="1"/>
  <c r="H704" i="30"/>
  <c r="E707" i="30"/>
  <c r="F706" i="30" l="1"/>
  <c r="H705" i="30"/>
  <c r="E708" i="30"/>
  <c r="F707" i="30" l="1"/>
  <c r="H706" i="30"/>
  <c r="E709" i="30"/>
  <c r="F708" i="30" l="1"/>
  <c r="H707" i="30"/>
  <c r="E710" i="30"/>
  <c r="F709" i="30" l="1"/>
  <c r="E711" i="30"/>
  <c r="H708" i="30"/>
  <c r="H709" i="30" l="1"/>
  <c r="F710" i="30"/>
  <c r="E712" i="30"/>
  <c r="H710" i="30" l="1"/>
  <c r="F711" i="30"/>
  <c r="E713" i="30"/>
  <c r="F712" i="30" l="1"/>
  <c r="E714" i="30"/>
  <c r="H711" i="30" l="1"/>
  <c r="F713" i="30"/>
  <c r="H712" i="30"/>
  <c r="E715" i="30"/>
  <c r="F714" i="30" l="1"/>
  <c r="H713" i="30"/>
  <c r="E716" i="30"/>
  <c r="H714" i="30" l="1"/>
  <c r="F715" i="30"/>
  <c r="E717" i="30"/>
  <c r="F716" i="30" l="1"/>
  <c r="E718" i="30"/>
  <c r="H715" i="30"/>
  <c r="F717" i="30" l="1"/>
  <c r="H716" i="30"/>
  <c r="E719" i="30"/>
  <c r="F718" i="30" l="1"/>
  <c r="E720" i="30"/>
  <c r="H717" i="30"/>
  <c r="F719" i="30" l="1"/>
  <c r="H718" i="30"/>
  <c r="E721" i="30"/>
  <c r="F720" i="30" l="1"/>
  <c r="H719" i="30"/>
  <c r="E722" i="30"/>
  <c r="F721" i="30" l="1"/>
  <c r="E723" i="30"/>
  <c r="F722" i="30" l="1"/>
  <c r="H720" i="30"/>
  <c r="H721" i="30"/>
  <c r="E724" i="30"/>
  <c r="E725" i="30"/>
  <c r="H722" i="30" l="1"/>
  <c r="F723" i="30"/>
  <c r="H723" i="30"/>
  <c r="F725" i="30" l="1"/>
  <c r="F724" i="30"/>
  <c r="H724" i="30" l="1"/>
  <c r="H725" i="30" l="1"/>
</calcChain>
</file>

<file path=xl/sharedStrings.xml><?xml version="1.0" encoding="utf-8"?>
<sst xmlns="http://schemas.openxmlformats.org/spreadsheetml/2006/main" count="152" uniqueCount="109">
  <si>
    <t>L.I.</t>
  </si>
  <si>
    <t>L.F.</t>
  </si>
  <si>
    <t>Vol. P</t>
  </si>
  <si>
    <t>E %</t>
  </si>
  <si>
    <t>Estado</t>
  </si>
  <si>
    <t>Q1</t>
  </si>
  <si>
    <t>Q3</t>
  </si>
  <si>
    <t>Q2</t>
  </si>
  <si>
    <t>Temperatura</t>
  </si>
  <si>
    <t>Tiempo</t>
  </si>
  <si>
    <t># Medidor</t>
  </si>
  <si>
    <t>(±) 2%</t>
  </si>
  <si>
    <t xml:space="preserve">(±) 2% </t>
  </si>
  <si>
    <t>FORMATO</t>
  </si>
  <si>
    <t>Alcance Q3/Q1:</t>
  </si>
  <si>
    <r>
      <t>Q3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0"/>
        <rFont val="Arial"/>
        <family val="2"/>
      </rPr>
      <t>/h):</t>
    </r>
  </si>
  <si>
    <t>Presión (bar)</t>
  </si>
  <si>
    <t>Presión Estática</t>
  </si>
  <si>
    <t>Nro de ceritificado</t>
  </si>
  <si>
    <t>RANGOS ACEPTABLES DE CAUDAL</t>
  </si>
  <si>
    <t>(±) 5%</t>
  </si>
  <si>
    <t>Item</t>
  </si>
  <si>
    <t>Fecha de Ensayo errores de indicacion</t>
  </si>
  <si>
    <t xml:space="preserve">Fecha de Ensayo presion estatica </t>
  </si>
  <si>
    <t>Presión Entrada</t>
  </si>
  <si>
    <t>Presión Salida</t>
  </si>
  <si>
    <t>N° de banco de ensayo</t>
  </si>
  <si>
    <t xml:space="preserve">  INGRESO DE DATOS DE LA VERIFICACIÓN INICIAL DE MEDIDORES EN LA COMPUTADORA</t>
  </si>
  <si>
    <t>Caudal</t>
  </si>
  <si>
    <t>Ley Signos y Errores</t>
  </si>
  <si>
    <t>1' Técnico</t>
  </si>
  <si>
    <t>Código: F05-GA-PR-01</t>
  </si>
  <si>
    <t>Q3/Q1</t>
  </si>
  <si>
    <t>Q3 (m3/h):</t>
  </si>
  <si>
    <t>MAXIMO ERROR PERMISIBLE (EMP):</t>
  </si>
  <si>
    <t>Condición</t>
  </si>
  <si>
    <t>Q1
E %</t>
  </si>
  <si>
    <t>Q2
E %</t>
  </si>
  <si>
    <t>Q3
E %</t>
  </si>
  <si>
    <t>Presión Estática
(Estado)</t>
  </si>
  <si>
    <t>LO VERIFICADO</t>
  </si>
  <si>
    <t>VIMA</t>
  </si>
  <si>
    <t>Revisado por:</t>
  </si>
  <si>
    <t>Aprobado por:</t>
  </si>
  <si>
    <t>Fecha:</t>
  </si>
  <si>
    <t>-</t>
  </si>
  <si>
    <t>Versión: 08</t>
  </si>
  <si>
    <t>Fecha de Vigencia:  2024-05-14</t>
  </si>
  <si>
    <t>Presión Estática:    0=conforme; 1 = Daño Físico;   2 = Fuga;  3 = Picado; 4 = Desfasado; 5 = Paralizado</t>
  </si>
  <si>
    <t>2,29,610</t>
  </si>
  <si>
    <t>11,12,670</t>
  </si>
  <si>
    <t>7,19,050</t>
  </si>
  <si>
    <t>11,15,880</t>
  </si>
  <si>
    <t>PA25516865</t>
  </si>
  <si>
    <t>PA25516866</t>
  </si>
  <si>
    <t>PA25516867</t>
  </si>
  <si>
    <t>PA25516868</t>
  </si>
  <si>
    <t>PA25516869</t>
  </si>
  <si>
    <t>PA25516870</t>
  </si>
  <si>
    <t>PA25516871</t>
  </si>
  <si>
    <t>PA25516872</t>
  </si>
  <si>
    <t>PA25516873</t>
  </si>
  <si>
    <t>PA25516874</t>
  </si>
  <si>
    <t>PA25516875</t>
  </si>
  <si>
    <t>PA25516876</t>
  </si>
  <si>
    <t>PA25516877</t>
  </si>
  <si>
    <t>PA25516878</t>
  </si>
  <si>
    <t>PA25516879</t>
  </si>
  <si>
    <t>PA25516880</t>
  </si>
  <si>
    <t>PA25516881</t>
  </si>
  <si>
    <t>PA25516882</t>
  </si>
  <si>
    <t>PA25516883</t>
  </si>
  <si>
    <t>PA25516884</t>
  </si>
  <si>
    <t>PA25516885</t>
  </si>
  <si>
    <t>PA25516886</t>
  </si>
  <si>
    <t>PA25516887</t>
  </si>
  <si>
    <t>PA25516888</t>
  </si>
  <si>
    <t>PA25516889</t>
  </si>
  <si>
    <t>PA25516890</t>
  </si>
  <si>
    <t>PA25516891</t>
  </si>
  <si>
    <t>PA25516892</t>
  </si>
  <si>
    <t>PA25516893</t>
  </si>
  <si>
    <t>PA25516894</t>
  </si>
  <si>
    <t>PA25516895</t>
  </si>
  <si>
    <t>PA25516896</t>
  </si>
  <si>
    <t>PA25516897</t>
  </si>
  <si>
    <t>PA25516898</t>
  </si>
  <si>
    <t>PA25516899</t>
  </si>
  <si>
    <t>PA25516900</t>
  </si>
  <si>
    <t>PA25516901</t>
  </si>
  <si>
    <t>PA25516902</t>
  </si>
  <si>
    <t>PA25516903</t>
  </si>
  <si>
    <t>PA25516904</t>
  </si>
  <si>
    <t>PA25516905</t>
  </si>
  <si>
    <t>PA25516906</t>
  </si>
  <si>
    <t>PA25516907</t>
  </si>
  <si>
    <t>PA25516908</t>
  </si>
  <si>
    <t>PA25516909</t>
  </si>
  <si>
    <t>PA25516910</t>
  </si>
  <si>
    <t>PA25516911</t>
  </si>
  <si>
    <t>PA25516912</t>
  </si>
  <si>
    <t>2,30,160</t>
  </si>
  <si>
    <t>22,55,230</t>
  </si>
  <si>
    <t>18,15,540</t>
  </si>
  <si>
    <t>2,30,140</t>
  </si>
  <si>
    <t>22,32,060</t>
  </si>
  <si>
    <t>18,09,850</t>
  </si>
  <si>
    <t>22,44,380</t>
  </si>
  <si>
    <t>18,16,100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</si>
</sst>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* #,##0.00_ ;_ * \-#,##0.00_ ;_ * &quot;-&quot;??_ ;_ @_ "/>
    <numFmt numFmtId="165" formatCode="00000"/>
    <numFmt numFmtId="166" formatCode="h:mm:ss;@"/>
    <numFmt numFmtId="167" formatCode="0.0"/>
    <numFmt numFmtId="168" formatCode="#,##0.0"/>
    <numFmt numFmtId="169" formatCode="#,##0.000"/>
    <numFmt numFmtId="170" formatCode="yyyy\-mm\-dd"/>
    <numFmt numFmtId="171" formatCode="yyyy\-mm\-dd;@"/>
  </numFmts>
  <fonts count="3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3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i/>
      <u/>
      <sz val="10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22"/>
      <color theme="0"/>
      <name val="Arial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99"/>
        <bgColor rgb="FF000000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14" fillId="0" borderId="0"/>
    <xf numFmtId="0" fontId="10" fillId="0" borderId="0"/>
    <xf numFmtId="0" fontId="11" fillId="0" borderId="0"/>
    <xf numFmtId="0" fontId="9" fillId="0" borderId="0"/>
    <xf numFmtId="0" fontId="8" fillId="0" borderId="0"/>
    <xf numFmtId="0" fontId="8" fillId="0" borderId="0"/>
    <xf numFmtId="0" fontId="8" fillId="0" borderId="0"/>
    <xf numFmtId="164" fontId="11" fillId="0" borderId="0" applyFont="0" applyFill="0" applyBorder="0" applyAlignment="0" applyProtection="0"/>
    <xf numFmtId="0" fontId="8" fillId="0" borderId="0"/>
    <xf numFmtId="0" fontId="8" fillId="0" borderId="0"/>
    <xf numFmtId="164" fontId="11" fillId="0" borderId="0" applyFont="0" applyFill="0" applyBorder="0" applyAlignment="0" applyProtection="0"/>
    <xf numFmtId="0" fontId="8" fillId="0" borderId="0"/>
    <xf numFmtId="0" fontId="8" fillId="0" borderId="0"/>
    <xf numFmtId="164" fontId="11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7" fillId="0" borderId="0"/>
    <xf numFmtId="9" fontId="3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357">
    <xf numFmtId="0" fontId="0" fillId="0" borderId="0" xfId="0"/>
    <xf numFmtId="0" fontId="10" fillId="0" borderId="0" xfId="2"/>
    <xf numFmtId="0" fontId="11" fillId="0" borderId="0" xfId="2" applyFont="1" applyAlignment="1">
      <alignment horizontal="left" vertical="center"/>
    </xf>
    <xf numFmtId="0" fontId="11" fillId="0" borderId="0" xfId="2" applyFont="1" applyAlignment="1">
      <alignment shrinkToFit="1"/>
    </xf>
    <xf numFmtId="0" fontId="12" fillId="0" borderId="0" xfId="2" applyFont="1" applyAlignment="1">
      <alignment textRotation="90" shrinkToFit="1"/>
    </xf>
    <xf numFmtId="0" fontId="21" fillId="7" borderId="2" xfId="3" applyFont="1" applyFill="1" applyBorder="1" applyAlignment="1">
      <alignment horizontal="center" vertical="center" shrinkToFit="1"/>
    </xf>
    <xf numFmtId="0" fontId="9" fillId="0" borderId="0" xfId="4"/>
    <xf numFmtId="0" fontId="11" fillId="0" borderId="0" xfId="4" applyFont="1" applyAlignment="1">
      <alignment shrinkToFit="1"/>
    </xf>
    <xf numFmtId="0" fontId="11" fillId="0" borderId="0" xfId="4" applyFont="1" applyAlignment="1">
      <alignment horizontal="center" shrinkToFit="1"/>
    </xf>
    <xf numFmtId="0" fontId="13" fillId="0" borderId="0" xfId="4" applyFont="1" applyAlignment="1">
      <alignment shrinkToFit="1"/>
    </xf>
    <xf numFmtId="1" fontId="11" fillId="3" borderId="1" xfId="2" applyNumberFormat="1" applyFont="1" applyFill="1" applyBorder="1" applyAlignment="1">
      <alignment horizontal="center" shrinkToFit="1"/>
    </xf>
    <xf numFmtId="4" fontId="11" fillId="4" borderId="1" xfId="2" applyNumberFormat="1" applyFont="1" applyFill="1" applyBorder="1" applyAlignment="1">
      <alignment horizontal="center" shrinkToFit="1"/>
    </xf>
    <xf numFmtId="1" fontId="11" fillId="11" borderId="1" xfId="4" applyNumberFormat="1" applyFont="1" applyFill="1" applyBorder="1" applyAlignment="1">
      <alignment horizontal="center" vertical="center" shrinkToFit="1"/>
    </xf>
    <xf numFmtId="0" fontId="0" fillId="11" borderId="1" xfId="0" applyFill="1" applyBorder="1" applyAlignment="1">
      <alignment horizontal="center"/>
    </xf>
    <xf numFmtId="4" fontId="11" fillId="10" borderId="1" xfId="2" applyNumberFormat="1" applyFont="1" applyFill="1" applyBorder="1" applyAlignment="1">
      <alignment horizontal="center" shrinkToFit="1"/>
    </xf>
    <xf numFmtId="0" fontId="11" fillId="0" borderId="0" xfId="2" applyFont="1" applyAlignment="1">
      <alignment horizontal="center" shrinkToFit="1"/>
    </xf>
    <xf numFmtId="1" fontId="11" fillId="0" borderId="0" xfId="2" applyNumberFormat="1" applyFont="1" applyAlignment="1">
      <alignment vertical="center" shrinkToFit="1"/>
    </xf>
    <xf numFmtId="1" fontId="11" fillId="0" borderId="0" xfId="2" applyNumberFormat="1" applyFont="1" applyAlignment="1">
      <alignment shrinkToFit="1"/>
    </xf>
    <xf numFmtId="165" fontId="11" fillId="0" borderId="0" xfId="2" applyNumberFormat="1" applyFont="1" applyAlignment="1">
      <alignment shrinkToFit="1"/>
    </xf>
    <xf numFmtId="4" fontId="11" fillId="0" borderId="0" xfId="2" applyNumberFormat="1" applyFont="1" applyAlignment="1">
      <alignment shrinkToFit="1"/>
    </xf>
    <xf numFmtId="2" fontId="11" fillId="0" borderId="0" xfId="2" applyNumberFormat="1" applyFont="1" applyAlignment="1">
      <alignment shrinkToFit="1"/>
    </xf>
    <xf numFmtId="0" fontId="13" fillId="0" borderId="0" xfId="2" applyFont="1" applyAlignment="1">
      <alignment shrinkToFit="1"/>
    </xf>
    <xf numFmtId="0" fontId="11" fillId="0" borderId="1" xfId="4" applyFont="1" applyBorder="1" applyAlignment="1">
      <alignment horizontal="center" shrinkToFit="1"/>
    </xf>
    <xf numFmtId="0" fontId="9" fillId="0" borderId="0" xfId="4" applyAlignment="1">
      <alignment horizontal="center"/>
    </xf>
    <xf numFmtId="0" fontId="10" fillId="0" borderId="0" xfId="2" applyAlignment="1">
      <alignment horizontal="center"/>
    </xf>
    <xf numFmtId="0" fontId="13" fillId="7" borderId="2" xfId="3" applyFont="1" applyFill="1" applyBorder="1" applyAlignment="1">
      <alignment horizontal="center" vertical="center" shrinkToFit="1"/>
    </xf>
    <xf numFmtId="0" fontId="11" fillId="0" borderId="23" xfId="4" applyFont="1" applyBorder="1" applyAlignment="1">
      <alignment horizontal="center" shrinkToFit="1"/>
    </xf>
    <xf numFmtId="165" fontId="12" fillId="13" borderId="1" xfId="4" applyNumberFormat="1" applyFont="1" applyFill="1" applyBorder="1" applyAlignment="1">
      <alignment horizontal="center" vertical="center" shrinkToFit="1"/>
    </xf>
    <xf numFmtId="170" fontId="11" fillId="11" borderId="1" xfId="2" applyNumberFormat="1" applyFont="1" applyFill="1" applyBorder="1" applyAlignment="1">
      <alignment horizontal="center" shrinkToFit="1"/>
    </xf>
    <xf numFmtId="0" fontId="12" fillId="13" borderId="1" xfId="4" applyFont="1" applyFill="1" applyBorder="1" applyAlignment="1">
      <alignment horizontal="center" shrinkToFit="1"/>
    </xf>
    <xf numFmtId="167" fontId="11" fillId="0" borderId="0" xfId="2" applyNumberFormat="1" applyFont="1" applyAlignment="1">
      <alignment horizontal="center" shrinkToFit="1"/>
    </xf>
    <xf numFmtId="4" fontId="11" fillId="0" borderId="0" xfId="2" applyNumberFormat="1" applyFont="1" applyAlignment="1">
      <alignment horizontal="center" shrinkToFit="1"/>
    </xf>
    <xf numFmtId="4" fontId="11" fillId="3" borderId="1" xfId="2" applyNumberFormat="1" applyFont="1" applyFill="1" applyBorder="1" applyAlignment="1">
      <alignment horizontal="center" shrinkToFit="1"/>
    </xf>
    <xf numFmtId="166" fontId="11" fillId="8" borderId="1" xfId="2" applyNumberFormat="1" applyFont="1" applyFill="1" applyBorder="1" applyAlignment="1">
      <alignment horizontal="center" shrinkToFit="1"/>
    </xf>
    <xf numFmtId="169" fontId="11" fillId="3" borderId="1" xfId="2" applyNumberFormat="1" applyFont="1" applyFill="1" applyBorder="1" applyAlignment="1">
      <alignment horizontal="center" shrinkToFit="1"/>
    </xf>
    <xf numFmtId="168" fontId="24" fillId="3" borderId="1" xfId="2" applyNumberFormat="1" applyFont="1" applyFill="1" applyBorder="1" applyAlignment="1">
      <alignment horizontal="center" shrinkToFit="1"/>
    </xf>
    <xf numFmtId="1" fontId="24" fillId="3" borderId="1" xfId="2" applyNumberFormat="1" applyFont="1" applyFill="1" applyBorder="1" applyAlignment="1">
      <alignment horizontal="center" shrinkToFit="1"/>
    </xf>
    <xf numFmtId="167" fontId="11" fillId="2" borderId="1" xfId="2" applyNumberFormat="1" applyFont="1" applyFill="1" applyBorder="1" applyAlignment="1">
      <alignment horizontal="center" shrinkToFit="1"/>
    </xf>
    <xf numFmtId="168" fontId="17" fillId="3" borderId="1" xfId="2" applyNumberFormat="1" applyFont="1" applyFill="1" applyBorder="1" applyAlignment="1">
      <alignment horizontal="center" shrinkToFit="1"/>
    </xf>
    <xf numFmtId="168" fontId="16" fillId="2" borderId="1" xfId="2" applyNumberFormat="1" applyFont="1" applyFill="1" applyBorder="1" applyAlignment="1">
      <alignment horizontal="center" vertical="center" shrinkToFit="1"/>
    </xf>
    <xf numFmtId="0" fontId="11" fillId="0" borderId="4" xfId="2" applyFont="1" applyBorder="1" applyAlignment="1">
      <alignment horizontal="center" shrinkToFit="1"/>
    </xf>
    <xf numFmtId="4" fontId="11" fillId="3" borderId="1" xfId="3" applyNumberFormat="1" applyFill="1" applyBorder="1" applyAlignment="1">
      <alignment horizontal="center" shrinkToFit="1"/>
    </xf>
    <xf numFmtId="0" fontId="0" fillId="11" borderId="6" xfId="0" applyFill="1" applyBorder="1" applyAlignment="1">
      <alignment horizontal="center"/>
    </xf>
    <xf numFmtId="0" fontId="0" fillId="11" borderId="35" xfId="0" applyFill="1" applyBorder="1" applyAlignment="1">
      <alignment horizontal="center"/>
    </xf>
    <xf numFmtId="165" fontId="12" fillId="12" borderId="6" xfId="2" applyNumberFormat="1" applyFont="1" applyFill="1" applyBorder="1" applyAlignment="1">
      <alignment horizontal="center" shrinkToFit="1"/>
    </xf>
    <xf numFmtId="0" fontId="0" fillId="11" borderId="34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165" fontId="12" fillId="12" borderId="35" xfId="2" applyNumberFormat="1" applyFont="1" applyFill="1" applyBorder="1" applyAlignment="1">
      <alignment horizontal="center" shrinkToFit="1"/>
    </xf>
    <xf numFmtId="0" fontId="11" fillId="0" borderId="0" xfId="0" applyFont="1"/>
    <xf numFmtId="0" fontId="9" fillId="0" borderId="17" xfId="4" applyBorder="1" applyAlignment="1">
      <alignment vertical="center"/>
    </xf>
    <xf numFmtId="0" fontId="9" fillId="0" borderId="10" xfId="4" applyBorder="1" applyAlignment="1">
      <alignment vertical="center"/>
    </xf>
    <xf numFmtId="0" fontId="9" fillId="0" borderId="18" xfId="4" applyBorder="1" applyAlignment="1">
      <alignment vertical="center"/>
    </xf>
    <xf numFmtId="0" fontId="9" fillId="0" borderId="20" xfId="4" applyBorder="1" applyAlignment="1">
      <alignment vertical="center"/>
    </xf>
    <xf numFmtId="0" fontId="9" fillId="0" borderId="0" xfId="4" applyAlignment="1">
      <alignment vertical="center"/>
    </xf>
    <xf numFmtId="0" fontId="9" fillId="0" borderId="19" xfId="4" applyBorder="1" applyAlignment="1">
      <alignment vertical="center"/>
    </xf>
    <xf numFmtId="0" fontId="9" fillId="0" borderId="21" xfId="4" applyBorder="1" applyAlignment="1">
      <alignment vertical="center"/>
    </xf>
    <xf numFmtId="0" fontId="9" fillId="0" borderId="16" xfId="4" applyBorder="1" applyAlignment="1">
      <alignment vertical="center"/>
    </xf>
    <xf numFmtId="0" fontId="9" fillId="0" borderId="22" xfId="4" applyBorder="1" applyAlignment="1">
      <alignment vertical="center"/>
    </xf>
    <xf numFmtId="0" fontId="31" fillId="15" borderId="0" xfId="2" applyFont="1" applyFill="1" applyAlignment="1">
      <alignment shrinkToFit="1"/>
    </xf>
    <xf numFmtId="9" fontId="31" fillId="15" borderId="0" xfId="19" applyFont="1" applyFill="1" applyAlignment="1">
      <alignment shrinkToFit="1"/>
    </xf>
    <xf numFmtId="0" fontId="6" fillId="0" borderId="0" xfId="4" applyFont="1" applyAlignment="1">
      <alignment horizontal="center"/>
    </xf>
    <xf numFmtId="1" fontId="0" fillId="0" borderId="1" xfId="0" applyNumberFormat="1" applyBorder="1" applyAlignment="1">
      <alignment horizontal="center"/>
    </xf>
    <xf numFmtId="1" fontId="11" fillId="0" borderId="1" xfId="21" applyNumberFormat="1" applyFont="1" applyBorder="1" applyAlignment="1">
      <alignment horizontal="center" vertical="center" shrinkToFit="1"/>
    </xf>
    <xf numFmtId="165" fontId="12" fillId="0" borderId="1" xfId="20" applyNumberFormat="1" applyFont="1" applyBorder="1" applyAlignment="1">
      <alignment horizontal="center" shrinkToFit="1"/>
    </xf>
    <xf numFmtId="1" fontId="24" fillId="0" borderId="1" xfId="20" applyNumberFormat="1" applyFont="1" applyBorder="1" applyAlignment="1">
      <alignment horizontal="center" shrinkToFit="1"/>
    </xf>
    <xf numFmtId="167" fontId="11" fillId="0" borderId="1" xfId="20" applyNumberFormat="1" applyFont="1" applyBorder="1" applyAlignment="1">
      <alignment horizontal="center" shrinkToFit="1"/>
    </xf>
    <xf numFmtId="168" fontId="16" fillId="0" borderId="1" xfId="20" applyNumberFormat="1" applyFont="1" applyBorder="1" applyAlignment="1">
      <alignment horizontal="center" vertical="center" shrinkToFit="1"/>
    </xf>
    <xf numFmtId="0" fontId="11" fillId="0" borderId="1" xfId="20" applyFont="1" applyBorder="1" applyAlignment="1">
      <alignment horizontal="center" shrinkToFit="1"/>
    </xf>
    <xf numFmtId="0" fontId="0" fillId="0" borderId="1" xfId="0" applyBorder="1" applyAlignment="1">
      <alignment horizontal="center"/>
    </xf>
    <xf numFmtId="165" fontId="12" fillId="0" borderId="1" xfId="2" applyNumberFormat="1" applyFont="1" applyBorder="1" applyAlignment="1">
      <alignment horizontal="center" shrinkToFit="1"/>
    </xf>
    <xf numFmtId="167" fontId="24" fillId="3" borderId="1" xfId="2" applyNumberFormat="1" applyFont="1" applyFill="1" applyBorder="1" applyAlignment="1">
      <alignment horizontal="center" shrinkToFit="1"/>
    </xf>
    <xf numFmtId="165" fontId="12" fillId="16" borderId="1" xfId="2" applyNumberFormat="1" applyFont="1" applyFill="1" applyBorder="1" applyAlignment="1">
      <alignment horizontal="center" shrinkToFit="1"/>
    </xf>
    <xf numFmtId="165" fontId="12" fillId="0" borderId="35" xfId="2" applyNumberFormat="1" applyFont="1" applyBorder="1" applyAlignment="1">
      <alignment horizontal="center" shrinkToFit="1"/>
    </xf>
    <xf numFmtId="169" fontId="4" fillId="8" borderId="1" xfId="2" applyNumberFormat="1" applyFont="1" applyFill="1" applyBorder="1" applyAlignment="1">
      <alignment horizontal="center" shrinkToFit="1"/>
    </xf>
    <xf numFmtId="165" fontId="12" fillId="12" borderId="1" xfId="2" applyNumberFormat="1" applyFont="1" applyFill="1" applyBorder="1" applyAlignment="1">
      <alignment horizontal="center" shrinkToFit="1"/>
    </xf>
    <xf numFmtId="165" fontId="12" fillId="0" borderId="6" xfId="2" applyNumberFormat="1" applyFont="1" applyBorder="1" applyAlignment="1">
      <alignment horizontal="center" shrinkToFit="1"/>
    </xf>
    <xf numFmtId="165" fontId="12" fillId="0" borderId="23" xfId="2" applyNumberFormat="1" applyFont="1" applyBorder="1" applyAlignment="1">
      <alignment horizontal="center" shrinkToFit="1"/>
    </xf>
    <xf numFmtId="165" fontId="12" fillId="0" borderId="34" xfId="2" applyNumberFormat="1" applyFont="1" applyBorder="1" applyAlignment="1">
      <alignment horizontal="center" shrinkToFit="1"/>
    </xf>
    <xf numFmtId="165" fontId="12" fillId="0" borderId="36" xfId="2" applyNumberFormat="1" applyFont="1" applyBorder="1" applyAlignment="1">
      <alignment horizontal="center" shrinkToFit="1"/>
    </xf>
    <xf numFmtId="0" fontId="32" fillId="17" borderId="1" xfId="0" applyFont="1" applyFill="1" applyBorder="1"/>
    <xf numFmtId="0" fontId="32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1" fontId="11" fillId="0" borderId="6" xfId="21" applyNumberFormat="1" applyFont="1" applyBorder="1" applyAlignment="1">
      <alignment horizontal="center" vertical="center" shrinkToFit="1"/>
    </xf>
    <xf numFmtId="165" fontId="12" fillId="0" borderId="6" xfId="20" applyNumberFormat="1" applyFont="1" applyBorder="1" applyAlignment="1">
      <alignment horizontal="center" vertical="center" shrinkToFit="1"/>
    </xf>
    <xf numFmtId="1" fontId="24" fillId="0" borderId="6" xfId="20" applyNumberFormat="1" applyFont="1" applyBorder="1" applyAlignment="1">
      <alignment horizontal="center" vertical="center" shrinkToFit="1"/>
    </xf>
    <xf numFmtId="167" fontId="11" fillId="0" borderId="6" xfId="20" applyNumberFormat="1" applyFont="1" applyBorder="1" applyAlignment="1">
      <alignment horizontal="center" vertical="center" shrinkToFit="1"/>
    </xf>
    <xf numFmtId="168" fontId="16" fillId="0" borderId="6" xfId="20" applyNumberFormat="1" applyFont="1" applyBorder="1" applyAlignment="1">
      <alignment horizontal="center" vertical="center" shrinkToFit="1"/>
    </xf>
    <xf numFmtId="0" fontId="11" fillId="0" borderId="6" xfId="20" applyFont="1" applyBorder="1" applyAlignment="1">
      <alignment horizontal="center" vertical="center" shrinkToFit="1"/>
    </xf>
    <xf numFmtId="0" fontId="0" fillId="0" borderId="8" xfId="0" applyBorder="1" applyAlignment="1">
      <alignment horizontal="center" vertical="center"/>
    </xf>
    <xf numFmtId="171" fontId="11" fillId="0" borderId="15" xfId="2" applyNumberFormat="1" applyFont="1" applyBorder="1" applyAlignment="1">
      <alignment horizontal="center" vertical="center"/>
    </xf>
    <xf numFmtId="169" fontId="4" fillId="3" borderId="1" xfId="2" applyNumberFormat="1" applyFont="1" applyFill="1" applyBorder="1" applyAlignment="1">
      <alignment horizontal="center" shrinkToFit="1"/>
    </xf>
    <xf numFmtId="1" fontId="11" fillId="3" borderId="37" xfId="2" applyNumberFormat="1" applyFont="1" applyFill="1" applyBorder="1" applyAlignment="1">
      <alignment horizontal="center" shrinkToFit="1"/>
    </xf>
    <xf numFmtId="170" fontId="11" fillId="11" borderId="5" xfId="2" applyNumberFormat="1" applyFont="1" applyFill="1" applyBorder="1" applyAlignment="1">
      <alignment horizontal="center" shrinkToFit="1"/>
    </xf>
    <xf numFmtId="1" fontId="11" fillId="11" borderId="5" xfId="4" applyNumberFormat="1" applyFont="1" applyFill="1" applyBorder="1" applyAlignment="1">
      <alignment horizontal="center" vertical="center" shrinkToFit="1"/>
    </xf>
    <xf numFmtId="1" fontId="11" fillId="3" borderId="5" xfId="2" applyNumberFormat="1" applyFont="1" applyFill="1" applyBorder="1" applyAlignment="1">
      <alignment horizontal="center" shrinkToFit="1"/>
    </xf>
    <xf numFmtId="167" fontId="24" fillId="3" borderId="38" xfId="2" applyNumberFormat="1" applyFont="1" applyFill="1" applyBorder="1" applyAlignment="1">
      <alignment horizontal="center" shrinkToFit="1"/>
    </xf>
    <xf numFmtId="4" fontId="11" fillId="3" borderId="23" xfId="3" applyNumberFormat="1" applyFill="1" applyBorder="1" applyAlignment="1">
      <alignment horizontal="center" shrinkToFit="1"/>
    </xf>
    <xf numFmtId="4" fontId="11" fillId="4" borderId="23" xfId="2" applyNumberFormat="1" applyFont="1" applyFill="1" applyBorder="1" applyAlignment="1">
      <alignment horizontal="center" shrinkToFit="1"/>
    </xf>
    <xf numFmtId="4" fontId="11" fillId="10" borderId="23" xfId="2" applyNumberFormat="1" applyFont="1" applyFill="1" applyBorder="1" applyAlignment="1">
      <alignment horizontal="center" shrinkToFit="1"/>
    </xf>
    <xf numFmtId="167" fontId="11" fillId="2" borderId="23" xfId="2" applyNumberFormat="1" applyFont="1" applyFill="1" applyBorder="1" applyAlignment="1">
      <alignment horizontal="center" shrinkToFit="1"/>
    </xf>
    <xf numFmtId="168" fontId="16" fillId="2" borderId="23" xfId="2" applyNumberFormat="1" applyFont="1" applyFill="1" applyBorder="1" applyAlignment="1">
      <alignment horizontal="center" vertical="center" shrinkToFit="1"/>
    </xf>
    <xf numFmtId="169" fontId="11" fillId="14" borderId="23" xfId="2" applyNumberFormat="1" applyFont="1" applyFill="1" applyBorder="1" applyAlignment="1">
      <alignment horizontal="center" shrinkToFit="1"/>
    </xf>
    <xf numFmtId="0" fontId="11" fillId="0" borderId="39" xfId="2" applyFont="1" applyBorder="1" applyAlignment="1">
      <alignment horizontal="center" shrinkToFit="1"/>
    </xf>
    <xf numFmtId="165" fontId="12" fillId="5" borderId="35" xfId="4" applyNumberFormat="1" applyFont="1" applyFill="1" applyBorder="1" applyAlignment="1">
      <alignment horizontal="center" vertical="center" textRotation="90" shrinkToFit="1"/>
    </xf>
    <xf numFmtId="165" fontId="12" fillId="5" borderId="44" xfId="4" applyNumberFormat="1" applyFont="1" applyFill="1" applyBorder="1" applyAlignment="1">
      <alignment vertical="center" textRotation="90" shrinkToFit="1"/>
    </xf>
    <xf numFmtId="165" fontId="12" fillId="5" borderId="43" xfId="4" applyNumberFormat="1" applyFont="1" applyFill="1" applyBorder="1" applyAlignment="1">
      <alignment vertical="center" textRotation="90" shrinkToFit="1"/>
    </xf>
    <xf numFmtId="165" fontId="12" fillId="5" borderId="44" xfId="4" applyNumberFormat="1" applyFont="1" applyFill="1" applyBorder="1" applyAlignment="1">
      <alignment horizontal="center" vertical="center" textRotation="90" shrinkToFit="1"/>
    </xf>
    <xf numFmtId="165" fontId="12" fillId="5" borderId="45" xfId="4" applyNumberFormat="1" applyFont="1" applyFill="1" applyBorder="1" applyAlignment="1">
      <alignment horizontal="center" vertical="center" textRotation="90" shrinkToFit="1"/>
    </xf>
    <xf numFmtId="165" fontId="12" fillId="5" borderId="35" xfId="4" applyNumberFormat="1" applyFont="1" applyFill="1" applyBorder="1" applyAlignment="1">
      <alignment horizontal="center" vertical="center" shrinkToFit="1"/>
    </xf>
    <xf numFmtId="165" fontId="12" fillId="10" borderId="35" xfId="4" applyNumberFormat="1" applyFont="1" applyFill="1" applyBorder="1" applyAlignment="1">
      <alignment horizontal="center" vertical="center" shrinkToFit="1"/>
    </xf>
    <xf numFmtId="165" fontId="12" fillId="10" borderId="43" xfId="4" applyNumberFormat="1" applyFont="1" applyFill="1" applyBorder="1" applyAlignment="1">
      <alignment horizontal="center" vertical="center" shrinkToFit="1"/>
    </xf>
    <xf numFmtId="1" fontId="24" fillId="3" borderId="23" xfId="2" applyNumberFormat="1" applyFont="1" applyFill="1" applyBorder="1" applyAlignment="1">
      <alignment horizontal="center" shrinkToFit="1"/>
    </xf>
    <xf numFmtId="168" fontId="24" fillId="14" borderId="23" xfId="2" applyNumberFormat="1" applyFont="1" applyFill="1" applyBorder="1" applyAlignment="1">
      <alignment horizontal="center" shrinkToFit="1"/>
    </xf>
    <xf numFmtId="4" fontId="11" fillId="14" borderId="23" xfId="2" applyNumberFormat="1" applyFont="1" applyFill="1" applyBorder="1" applyAlignment="1">
      <alignment horizontal="center" shrinkToFit="1"/>
    </xf>
    <xf numFmtId="166" fontId="11" fillId="14" borderId="23" xfId="2" applyNumberFormat="1" applyFont="1" applyFill="1" applyBorder="1" applyAlignment="1">
      <alignment horizontal="center" shrinkToFit="1"/>
    </xf>
    <xf numFmtId="168" fontId="17" fillId="14" borderId="23" xfId="2" applyNumberFormat="1" applyFont="1" applyFill="1" applyBorder="1" applyAlignment="1">
      <alignment horizontal="center" shrinkToFit="1"/>
    </xf>
    <xf numFmtId="0" fontId="27" fillId="12" borderId="13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23" fillId="0" borderId="1" xfId="2" applyFont="1" applyBorder="1" applyAlignment="1">
      <alignment horizontal="center" shrinkToFit="1"/>
    </xf>
    <xf numFmtId="0" fontId="9" fillId="0" borderId="1" xfId="4" applyBorder="1" applyAlignment="1">
      <alignment horizontal="center"/>
    </xf>
    <xf numFmtId="167" fontId="9" fillId="0" borderId="1" xfId="4" applyNumberFormat="1" applyBorder="1" applyAlignment="1">
      <alignment horizontal="center"/>
    </xf>
    <xf numFmtId="169" fontId="24" fillId="14" borderId="23" xfId="2" applyNumberFormat="1" applyFont="1" applyFill="1" applyBorder="1" applyAlignment="1">
      <alignment horizontal="center" shrinkToFit="1"/>
    </xf>
    <xf numFmtId="169" fontId="24" fillId="3" borderId="1" xfId="2" applyNumberFormat="1" applyFont="1" applyFill="1" applyBorder="1" applyAlignment="1">
      <alignment horizontal="center" shrinkToFit="1"/>
    </xf>
    <xf numFmtId="169" fontId="17" fillId="0" borderId="23" xfId="2" applyNumberFormat="1" applyFont="1" applyBorder="1" applyAlignment="1">
      <alignment horizontal="center" shrinkToFit="1"/>
    </xf>
    <xf numFmtId="169" fontId="17" fillId="3" borderId="1" xfId="2" applyNumberFormat="1" applyFont="1" applyFill="1" applyBorder="1" applyAlignment="1">
      <alignment horizontal="center" shrinkToFit="1"/>
    </xf>
    <xf numFmtId="170" fontId="11" fillId="11" borderId="23" xfId="2" applyNumberFormat="1" applyFont="1" applyFill="1" applyBorder="1" applyAlignment="1">
      <alignment horizontal="center" shrinkToFit="1"/>
    </xf>
    <xf numFmtId="1" fontId="11" fillId="11" borderId="23" xfId="4" applyNumberFormat="1" applyFont="1" applyFill="1" applyBorder="1" applyAlignment="1">
      <alignment horizontal="center" vertical="center" shrinkToFit="1"/>
    </xf>
    <xf numFmtId="167" fontId="24" fillId="3" borderId="23" xfId="2" applyNumberFormat="1" applyFont="1" applyFill="1" applyBorder="1" applyAlignment="1">
      <alignment horizontal="center" shrinkToFit="1"/>
    </xf>
    <xf numFmtId="168" fontId="24" fillId="3" borderId="23" xfId="2" applyNumberFormat="1" applyFont="1" applyFill="1" applyBorder="1" applyAlignment="1">
      <alignment horizontal="center" shrinkToFit="1"/>
    </xf>
    <xf numFmtId="169" fontId="24" fillId="3" borderId="23" xfId="2" applyNumberFormat="1" applyFont="1" applyFill="1" applyBorder="1" applyAlignment="1">
      <alignment horizontal="center" shrinkToFit="1"/>
    </xf>
    <xf numFmtId="4" fontId="11" fillId="3" borderId="23" xfId="2" applyNumberFormat="1" applyFont="1" applyFill="1" applyBorder="1" applyAlignment="1">
      <alignment horizontal="center" shrinkToFit="1"/>
    </xf>
    <xf numFmtId="166" fontId="11" fillId="8" borderId="23" xfId="2" applyNumberFormat="1" applyFont="1" applyFill="1" applyBorder="1" applyAlignment="1">
      <alignment horizontal="center" shrinkToFit="1"/>
    </xf>
    <xf numFmtId="168" fontId="17" fillId="3" borderId="23" xfId="2" applyNumberFormat="1" applyFont="1" applyFill="1" applyBorder="1" applyAlignment="1">
      <alignment horizontal="center" shrinkToFit="1"/>
    </xf>
    <xf numFmtId="169" fontId="17" fillId="3" borderId="23" xfId="2" applyNumberFormat="1" applyFont="1" applyFill="1" applyBorder="1" applyAlignment="1">
      <alignment horizontal="center" shrinkToFit="1"/>
    </xf>
    <xf numFmtId="169" fontId="4" fillId="3" borderId="23" xfId="2" applyNumberFormat="1" applyFont="1" applyFill="1" applyBorder="1" applyAlignment="1">
      <alignment horizontal="center" shrinkToFit="1"/>
    </xf>
    <xf numFmtId="169" fontId="4" fillId="8" borderId="23" xfId="2" applyNumberFormat="1" applyFont="1" applyFill="1" applyBorder="1" applyAlignment="1">
      <alignment horizontal="center" shrinkToFit="1"/>
    </xf>
    <xf numFmtId="169" fontId="11" fillId="3" borderId="23" xfId="2" applyNumberFormat="1" applyFont="1" applyFill="1" applyBorder="1" applyAlignment="1">
      <alignment horizontal="center" shrinkToFit="1"/>
    </xf>
    <xf numFmtId="170" fontId="11" fillId="11" borderId="35" xfId="2" applyNumberFormat="1" applyFont="1" applyFill="1" applyBorder="1" applyAlignment="1">
      <alignment horizontal="center" shrinkToFit="1"/>
    </xf>
    <xf numFmtId="1" fontId="11" fillId="11" borderId="35" xfId="4" applyNumberFormat="1" applyFont="1" applyFill="1" applyBorder="1" applyAlignment="1">
      <alignment horizontal="center" vertical="center" shrinkToFit="1"/>
    </xf>
    <xf numFmtId="167" fontId="24" fillId="3" borderId="35" xfId="2" applyNumberFormat="1" applyFont="1" applyFill="1" applyBorder="1" applyAlignment="1">
      <alignment horizontal="center" shrinkToFit="1"/>
    </xf>
    <xf numFmtId="1" fontId="24" fillId="3" borderId="35" xfId="2" applyNumberFormat="1" applyFont="1" applyFill="1" applyBorder="1" applyAlignment="1">
      <alignment horizontal="center" shrinkToFit="1"/>
    </xf>
    <xf numFmtId="4" fontId="11" fillId="3" borderId="35" xfId="3" applyNumberFormat="1" applyFill="1" applyBorder="1" applyAlignment="1">
      <alignment horizontal="center" shrinkToFit="1"/>
    </xf>
    <xf numFmtId="4" fontId="11" fillId="4" borderId="35" xfId="2" applyNumberFormat="1" applyFont="1" applyFill="1" applyBorder="1" applyAlignment="1">
      <alignment horizontal="center" shrinkToFit="1"/>
    </xf>
    <xf numFmtId="4" fontId="11" fillId="10" borderId="35" xfId="2" applyNumberFormat="1" applyFont="1" applyFill="1" applyBorder="1" applyAlignment="1">
      <alignment horizontal="center" shrinkToFit="1"/>
    </xf>
    <xf numFmtId="167" fontId="11" fillId="2" borderId="35" xfId="2" applyNumberFormat="1" applyFont="1" applyFill="1" applyBorder="1" applyAlignment="1">
      <alignment horizontal="center" shrinkToFit="1"/>
    </xf>
    <xf numFmtId="168" fontId="16" fillId="2" borderId="35" xfId="2" applyNumberFormat="1" applyFont="1" applyFill="1" applyBorder="1" applyAlignment="1">
      <alignment horizontal="center" vertical="center" shrinkToFit="1"/>
    </xf>
    <xf numFmtId="0" fontId="11" fillId="0" borderId="43" xfId="2" applyFont="1" applyBorder="1" applyAlignment="1">
      <alignment horizontal="center" shrinkToFit="1"/>
    </xf>
    <xf numFmtId="0" fontId="11" fillId="0" borderId="16" xfId="4" applyFont="1" applyBorder="1" applyAlignment="1">
      <alignment horizontal="center" shrinkToFit="1"/>
    </xf>
    <xf numFmtId="0" fontId="11" fillId="0" borderId="35" xfId="4" applyFont="1" applyBorder="1" applyAlignment="1">
      <alignment horizontal="center" shrinkToFit="1"/>
    </xf>
    <xf numFmtId="0" fontId="13" fillId="7" borderId="49" xfId="3" applyFont="1" applyFill="1" applyBorder="1" applyAlignment="1">
      <alignment horizontal="center" vertical="center" shrinkToFit="1"/>
    </xf>
    <xf numFmtId="0" fontId="21" fillId="7" borderId="49" xfId="3" applyFont="1" applyFill="1" applyBorder="1" applyAlignment="1">
      <alignment horizontal="center" vertical="center" shrinkToFit="1"/>
    </xf>
    <xf numFmtId="0" fontId="11" fillId="0" borderId="16" xfId="2" applyFont="1" applyBorder="1" applyAlignment="1">
      <alignment horizontal="center" shrinkToFit="1"/>
    </xf>
    <xf numFmtId="0" fontId="11" fillId="0" borderId="16" xfId="2" applyFont="1" applyBorder="1" applyAlignment="1">
      <alignment shrinkToFit="1"/>
    </xf>
    <xf numFmtId="0" fontId="11" fillId="0" borderId="50" xfId="4" applyFont="1" applyBorder="1" applyAlignment="1">
      <alignment horizontal="center" shrinkToFit="1"/>
    </xf>
    <xf numFmtId="0" fontId="11" fillId="0" borderId="50" xfId="2" applyFont="1" applyBorder="1" applyAlignment="1">
      <alignment horizontal="center" shrinkToFit="1"/>
    </xf>
    <xf numFmtId="0" fontId="11" fillId="0" borderId="50" xfId="2" applyFont="1" applyBorder="1" applyAlignment="1">
      <alignment shrinkToFit="1"/>
    </xf>
    <xf numFmtId="169" fontId="2" fillId="14" borderId="23" xfId="2" applyNumberFormat="1" applyFont="1" applyFill="1" applyBorder="1" applyAlignment="1">
      <alignment horizontal="center" shrinkToFit="1"/>
    </xf>
    <xf numFmtId="165" fontId="12" fillId="3" borderId="23" xfId="2" applyNumberFormat="1" applyFont="1" applyFill="1" applyBorder="1" applyAlignment="1">
      <alignment horizontal="center" shrinkToFit="1"/>
    </xf>
    <xf numFmtId="1" fontId="11" fillId="3" borderId="42" xfId="2" applyNumberFormat="1" applyFont="1" applyFill="1" applyBorder="1" applyAlignment="1">
      <alignment horizontal="center" shrinkToFit="1"/>
    </xf>
    <xf numFmtId="1" fontId="11" fillId="3" borderId="25" xfId="2" applyNumberFormat="1" applyFont="1" applyFill="1" applyBorder="1" applyAlignment="1">
      <alignment horizontal="center" shrinkToFit="1"/>
    </xf>
    <xf numFmtId="170" fontId="11" fillId="11" borderId="34" xfId="2" applyNumberFormat="1" applyFont="1" applyFill="1" applyBorder="1" applyAlignment="1">
      <alignment horizontal="center" shrinkToFit="1"/>
    </xf>
    <xf numFmtId="1" fontId="11" fillId="11" borderId="34" xfId="4" applyNumberFormat="1" applyFont="1" applyFill="1" applyBorder="1" applyAlignment="1">
      <alignment horizontal="center" vertical="center" shrinkToFit="1"/>
    </xf>
    <xf numFmtId="167" fontId="24" fillId="3" borderId="34" xfId="2" applyNumberFormat="1" applyFont="1" applyFill="1" applyBorder="1" applyAlignment="1">
      <alignment horizontal="center" shrinkToFit="1"/>
    </xf>
    <xf numFmtId="1" fontId="24" fillId="3" borderId="34" xfId="2" applyNumberFormat="1" applyFont="1" applyFill="1" applyBorder="1" applyAlignment="1">
      <alignment horizontal="center" shrinkToFit="1"/>
    </xf>
    <xf numFmtId="168" fontId="24" fillId="3" borderId="34" xfId="2" applyNumberFormat="1" applyFont="1" applyFill="1" applyBorder="1" applyAlignment="1">
      <alignment horizontal="center" shrinkToFit="1"/>
    </xf>
    <xf numFmtId="169" fontId="24" fillId="3" borderId="34" xfId="2" applyNumberFormat="1" applyFont="1" applyFill="1" applyBorder="1" applyAlignment="1">
      <alignment horizontal="center" shrinkToFit="1"/>
    </xf>
    <xf numFmtId="4" fontId="11" fillId="3" borderId="34" xfId="3" applyNumberFormat="1" applyFill="1" applyBorder="1" applyAlignment="1">
      <alignment horizontal="center" shrinkToFit="1"/>
    </xf>
    <xf numFmtId="4" fontId="11" fillId="3" borderId="34" xfId="2" applyNumberFormat="1" applyFont="1" applyFill="1" applyBorder="1" applyAlignment="1">
      <alignment horizontal="center" shrinkToFit="1"/>
    </xf>
    <xf numFmtId="166" fontId="11" fillId="8" borderId="34" xfId="2" applyNumberFormat="1" applyFont="1" applyFill="1" applyBorder="1" applyAlignment="1">
      <alignment horizontal="center" shrinkToFit="1"/>
    </xf>
    <xf numFmtId="4" fontId="11" fillId="4" borderId="34" xfId="2" applyNumberFormat="1" applyFont="1" applyFill="1" applyBorder="1" applyAlignment="1">
      <alignment horizontal="center" shrinkToFit="1"/>
    </xf>
    <xf numFmtId="4" fontId="11" fillId="10" borderId="34" xfId="2" applyNumberFormat="1" applyFont="1" applyFill="1" applyBorder="1" applyAlignment="1">
      <alignment horizontal="center" shrinkToFit="1"/>
    </xf>
    <xf numFmtId="167" fontId="11" fillId="2" borderId="34" xfId="2" applyNumberFormat="1" applyFont="1" applyFill="1" applyBorder="1" applyAlignment="1">
      <alignment horizontal="center" shrinkToFit="1"/>
    </xf>
    <xf numFmtId="168" fontId="17" fillId="3" borderId="34" xfId="2" applyNumberFormat="1" applyFont="1" applyFill="1" applyBorder="1" applyAlignment="1">
      <alignment horizontal="center" shrinkToFit="1"/>
    </xf>
    <xf numFmtId="169" fontId="17" fillId="3" borderId="34" xfId="2" applyNumberFormat="1" applyFont="1" applyFill="1" applyBorder="1" applyAlignment="1">
      <alignment horizontal="center" shrinkToFit="1"/>
    </xf>
    <xf numFmtId="169" fontId="4" fillId="3" borderId="34" xfId="2" applyNumberFormat="1" applyFont="1" applyFill="1" applyBorder="1" applyAlignment="1">
      <alignment horizontal="center" shrinkToFit="1"/>
    </xf>
    <xf numFmtId="169" fontId="4" fillId="8" borderId="34" xfId="2" applyNumberFormat="1" applyFont="1" applyFill="1" applyBorder="1" applyAlignment="1">
      <alignment horizontal="center" shrinkToFit="1"/>
    </xf>
    <xf numFmtId="168" fontId="16" fillId="2" borderId="34" xfId="2" applyNumberFormat="1" applyFont="1" applyFill="1" applyBorder="1" applyAlignment="1">
      <alignment horizontal="center" vertical="center" shrinkToFit="1"/>
    </xf>
    <xf numFmtId="169" fontId="11" fillId="3" borderId="34" xfId="2" applyNumberFormat="1" applyFont="1" applyFill="1" applyBorder="1" applyAlignment="1">
      <alignment horizontal="center" shrinkToFit="1"/>
    </xf>
    <xf numFmtId="0" fontId="11" fillId="0" borderId="51" xfId="2" applyFont="1" applyBorder="1" applyAlignment="1">
      <alignment horizontal="center" shrinkToFit="1"/>
    </xf>
    <xf numFmtId="0" fontId="11" fillId="0" borderId="34" xfId="4" applyFont="1" applyBorder="1" applyAlignment="1">
      <alignment horizontal="center" shrinkToFit="1"/>
    </xf>
    <xf numFmtId="0" fontId="13" fillId="7" borderId="38" xfId="3" applyFont="1" applyFill="1" applyBorder="1" applyAlignment="1">
      <alignment horizontal="center" vertical="center" shrinkToFit="1"/>
    </xf>
    <xf numFmtId="0" fontId="21" fillId="7" borderId="38" xfId="3" applyFont="1" applyFill="1" applyBorder="1" applyAlignment="1">
      <alignment horizontal="center" vertical="center" shrinkToFit="1"/>
    </xf>
    <xf numFmtId="1" fontId="11" fillId="3" borderId="3" xfId="2" applyNumberFormat="1" applyFont="1" applyFill="1" applyBorder="1" applyAlignment="1">
      <alignment horizontal="center" shrinkToFit="1"/>
    </xf>
    <xf numFmtId="0" fontId="11" fillId="0" borderId="52" xfId="4" applyFont="1" applyBorder="1" applyAlignment="1">
      <alignment horizontal="center" shrinkToFit="1"/>
    </xf>
    <xf numFmtId="0" fontId="13" fillId="7" borderId="53" xfId="3" applyFont="1" applyFill="1" applyBorder="1" applyAlignment="1">
      <alignment horizontal="center" vertical="center" shrinkToFit="1"/>
    </xf>
    <xf numFmtId="0" fontId="21" fillId="7" borderId="53" xfId="3" applyFont="1" applyFill="1" applyBorder="1" applyAlignment="1">
      <alignment horizontal="center" vertical="center" shrinkToFit="1"/>
    </xf>
    <xf numFmtId="0" fontId="11" fillId="0" borderId="52" xfId="2" applyFont="1" applyBorder="1" applyAlignment="1">
      <alignment horizontal="center" shrinkToFit="1"/>
    </xf>
    <xf numFmtId="0" fontId="11" fillId="0" borderId="52" xfId="2" applyFont="1" applyBorder="1" applyAlignment="1">
      <alignment shrinkToFit="1"/>
    </xf>
    <xf numFmtId="169" fontId="2" fillId="8" borderId="1" xfId="2" applyNumberFormat="1" applyFont="1" applyFill="1" applyBorder="1" applyAlignment="1">
      <alignment horizontal="center" shrinkToFit="1"/>
    </xf>
    <xf numFmtId="170" fontId="11" fillId="11" borderId="36" xfId="2" applyNumberFormat="1" applyFont="1" applyFill="1" applyBorder="1" applyAlignment="1">
      <alignment horizontal="center" shrinkToFit="1"/>
    </xf>
    <xf numFmtId="1" fontId="11" fillId="11" borderId="36" xfId="4" applyNumberFormat="1" applyFont="1" applyFill="1" applyBorder="1" applyAlignment="1">
      <alignment horizontal="center" vertical="center" shrinkToFit="1"/>
    </xf>
    <xf numFmtId="0" fontId="0" fillId="11" borderId="36" xfId="0" applyFill="1" applyBorder="1" applyAlignment="1">
      <alignment horizontal="center"/>
    </xf>
    <xf numFmtId="167" fontId="24" fillId="3" borderId="36" xfId="2" applyNumberFormat="1" applyFont="1" applyFill="1" applyBorder="1" applyAlignment="1">
      <alignment horizontal="center" shrinkToFit="1"/>
    </xf>
    <xf numFmtId="1" fontId="24" fillId="3" borderId="36" xfId="2" applyNumberFormat="1" applyFont="1" applyFill="1" applyBorder="1" applyAlignment="1">
      <alignment horizontal="center" shrinkToFit="1"/>
    </xf>
    <xf numFmtId="4" fontId="11" fillId="3" borderId="36" xfId="3" applyNumberFormat="1" applyFill="1" applyBorder="1" applyAlignment="1">
      <alignment horizontal="center" shrinkToFit="1"/>
    </xf>
    <xf numFmtId="166" fontId="11" fillId="8" borderId="36" xfId="2" applyNumberFormat="1" applyFont="1" applyFill="1" applyBorder="1" applyAlignment="1">
      <alignment horizontal="center" shrinkToFit="1"/>
    </xf>
    <xf numFmtId="4" fontId="11" fillId="4" borderId="36" xfId="2" applyNumberFormat="1" applyFont="1" applyFill="1" applyBorder="1" applyAlignment="1">
      <alignment horizontal="center" shrinkToFit="1"/>
    </xf>
    <xf numFmtId="4" fontId="11" fillId="10" borderId="36" xfId="2" applyNumberFormat="1" applyFont="1" applyFill="1" applyBorder="1" applyAlignment="1">
      <alignment horizontal="center" shrinkToFit="1"/>
    </xf>
    <xf numFmtId="167" fontId="11" fillId="2" borderId="36" xfId="2" applyNumberFormat="1" applyFont="1" applyFill="1" applyBorder="1" applyAlignment="1">
      <alignment horizontal="center" shrinkToFit="1"/>
    </xf>
    <xf numFmtId="168" fontId="17" fillId="3" borderId="36" xfId="2" applyNumberFormat="1" applyFont="1" applyFill="1" applyBorder="1" applyAlignment="1">
      <alignment horizontal="center" shrinkToFit="1"/>
    </xf>
    <xf numFmtId="169" fontId="17" fillId="3" borderId="36" xfId="2" applyNumberFormat="1" applyFont="1" applyFill="1" applyBorder="1" applyAlignment="1">
      <alignment horizontal="center" shrinkToFit="1"/>
    </xf>
    <xf numFmtId="169" fontId="4" fillId="3" borderId="36" xfId="2" applyNumberFormat="1" applyFont="1" applyFill="1" applyBorder="1" applyAlignment="1">
      <alignment horizontal="center" shrinkToFit="1"/>
    </xf>
    <xf numFmtId="169" fontId="4" fillId="8" borderId="36" xfId="2" applyNumberFormat="1" applyFont="1" applyFill="1" applyBorder="1" applyAlignment="1">
      <alignment horizontal="center" shrinkToFit="1"/>
    </xf>
    <xf numFmtId="168" fontId="16" fillId="2" borderId="36" xfId="2" applyNumberFormat="1" applyFont="1" applyFill="1" applyBorder="1" applyAlignment="1">
      <alignment horizontal="center" vertical="center" shrinkToFit="1"/>
    </xf>
    <xf numFmtId="169" fontId="11" fillId="3" borderId="36" xfId="2" applyNumberFormat="1" applyFont="1" applyFill="1" applyBorder="1" applyAlignment="1">
      <alignment horizontal="center" shrinkToFit="1"/>
    </xf>
    <xf numFmtId="0" fontId="11" fillId="0" borderId="41" xfId="2" applyFont="1" applyBorder="1" applyAlignment="1">
      <alignment horizontal="center" shrinkToFit="1"/>
    </xf>
    <xf numFmtId="0" fontId="11" fillId="0" borderId="36" xfId="4" applyFont="1" applyBorder="1" applyAlignment="1">
      <alignment horizontal="center" shrinkToFit="1"/>
    </xf>
    <xf numFmtId="165" fontId="12" fillId="3" borderId="5" xfId="2" applyNumberFormat="1" applyFont="1" applyFill="1" applyBorder="1" applyAlignment="1">
      <alignment horizontal="center" shrinkToFit="1"/>
    </xf>
    <xf numFmtId="1" fontId="11" fillId="3" borderId="7" xfId="2" applyNumberFormat="1" applyFont="1" applyFill="1" applyBorder="1" applyAlignment="1">
      <alignment horizontal="center" shrinkToFit="1"/>
    </xf>
    <xf numFmtId="170" fontId="11" fillId="11" borderId="6" xfId="2" applyNumberFormat="1" applyFont="1" applyFill="1" applyBorder="1" applyAlignment="1">
      <alignment horizontal="center" shrinkToFit="1"/>
    </xf>
    <xf numFmtId="1" fontId="11" fillId="11" borderId="6" xfId="4" applyNumberFormat="1" applyFont="1" applyFill="1" applyBorder="1" applyAlignment="1">
      <alignment horizontal="center" vertical="center" shrinkToFit="1"/>
    </xf>
    <xf numFmtId="165" fontId="12" fillId="3" borderId="6" xfId="2" applyNumberFormat="1" applyFont="1" applyFill="1" applyBorder="1" applyAlignment="1">
      <alignment horizontal="center" shrinkToFit="1"/>
    </xf>
    <xf numFmtId="167" fontId="24" fillId="3" borderId="6" xfId="2" applyNumberFormat="1" applyFont="1" applyFill="1" applyBorder="1" applyAlignment="1">
      <alignment horizontal="center" shrinkToFit="1"/>
    </xf>
    <xf numFmtId="1" fontId="24" fillId="3" borderId="6" xfId="2" applyNumberFormat="1" applyFont="1" applyFill="1" applyBorder="1" applyAlignment="1">
      <alignment horizontal="center" shrinkToFit="1"/>
    </xf>
    <xf numFmtId="168" fontId="24" fillId="3" borderId="6" xfId="2" applyNumberFormat="1" applyFont="1" applyFill="1" applyBorder="1" applyAlignment="1">
      <alignment horizontal="center" shrinkToFit="1"/>
    </xf>
    <xf numFmtId="169" fontId="24" fillId="3" borderId="6" xfId="2" applyNumberFormat="1" applyFont="1" applyFill="1" applyBorder="1" applyAlignment="1">
      <alignment horizontal="center" shrinkToFit="1"/>
    </xf>
    <xf numFmtId="4" fontId="11" fillId="3" borderId="6" xfId="3" applyNumberFormat="1" applyFill="1" applyBorder="1" applyAlignment="1">
      <alignment horizontal="center" shrinkToFit="1"/>
    </xf>
    <xf numFmtId="4" fontId="11" fillId="3" borderId="6" xfId="2" applyNumberFormat="1" applyFont="1" applyFill="1" applyBorder="1" applyAlignment="1">
      <alignment horizontal="center" shrinkToFit="1"/>
    </xf>
    <xf numFmtId="166" fontId="11" fillId="8" borderId="31" xfId="2" applyNumberFormat="1" applyFont="1" applyFill="1" applyBorder="1" applyAlignment="1">
      <alignment horizontal="center" shrinkToFit="1"/>
    </xf>
    <xf numFmtId="4" fontId="11" fillId="4" borderId="6" xfId="2" applyNumberFormat="1" applyFont="1" applyFill="1" applyBorder="1" applyAlignment="1">
      <alignment horizontal="center" shrinkToFit="1"/>
    </xf>
    <xf numFmtId="4" fontId="11" fillId="10" borderId="6" xfId="2" applyNumberFormat="1" applyFont="1" applyFill="1" applyBorder="1" applyAlignment="1">
      <alignment horizontal="center" shrinkToFit="1"/>
    </xf>
    <xf numFmtId="167" fontId="11" fillId="2" borderId="6" xfId="2" applyNumberFormat="1" applyFont="1" applyFill="1" applyBorder="1" applyAlignment="1">
      <alignment horizontal="center" shrinkToFit="1"/>
    </xf>
    <xf numFmtId="168" fontId="17" fillId="3" borderId="6" xfId="2" applyNumberFormat="1" applyFont="1" applyFill="1" applyBorder="1" applyAlignment="1">
      <alignment horizontal="center" shrinkToFit="1"/>
    </xf>
    <xf numFmtId="169" fontId="17" fillId="3" borderId="6" xfId="2" applyNumberFormat="1" applyFont="1" applyFill="1" applyBorder="1" applyAlignment="1">
      <alignment horizontal="center" shrinkToFit="1"/>
    </xf>
    <xf numFmtId="168" fontId="16" fillId="2" borderId="6" xfId="2" applyNumberFormat="1" applyFont="1" applyFill="1" applyBorder="1" applyAlignment="1">
      <alignment horizontal="center" vertical="center" shrinkToFit="1"/>
    </xf>
    <xf numFmtId="0" fontId="11" fillId="0" borderId="8" xfId="2" applyFont="1" applyBorder="1" applyAlignment="1">
      <alignment horizontal="center" shrinkToFit="1"/>
    </xf>
    <xf numFmtId="165" fontId="12" fillId="3" borderId="1" xfId="2" applyNumberFormat="1" applyFont="1" applyFill="1" applyBorder="1" applyAlignment="1">
      <alignment horizontal="center" shrinkToFit="1"/>
    </xf>
    <xf numFmtId="165" fontId="12" fillId="3" borderId="36" xfId="2" applyNumberFormat="1" applyFont="1" applyFill="1" applyBorder="1" applyAlignment="1">
      <alignment horizontal="center" shrinkToFit="1"/>
    </xf>
    <xf numFmtId="168" fontId="24" fillId="3" borderId="35" xfId="2" applyNumberFormat="1" applyFont="1" applyFill="1" applyBorder="1" applyAlignment="1">
      <alignment horizontal="center" shrinkToFit="1"/>
    </xf>
    <xf numFmtId="169" fontId="24" fillId="3" borderId="35" xfId="2" applyNumberFormat="1" applyFont="1" applyFill="1" applyBorder="1" applyAlignment="1">
      <alignment horizontal="center" shrinkToFit="1"/>
    </xf>
    <xf numFmtId="4" fontId="11" fillId="3" borderId="35" xfId="2" applyNumberFormat="1" applyFont="1" applyFill="1" applyBorder="1" applyAlignment="1">
      <alignment horizontal="center" shrinkToFit="1"/>
    </xf>
    <xf numFmtId="166" fontId="11" fillId="8" borderId="35" xfId="2" applyNumberFormat="1" applyFont="1" applyFill="1" applyBorder="1" applyAlignment="1">
      <alignment horizontal="center" shrinkToFit="1"/>
    </xf>
    <xf numFmtId="168" fontId="17" fillId="3" borderId="35" xfId="2" applyNumberFormat="1" applyFont="1" applyFill="1" applyBorder="1" applyAlignment="1">
      <alignment horizontal="center" shrinkToFit="1"/>
    </xf>
    <xf numFmtId="169" fontId="17" fillId="3" borderId="35" xfId="2" applyNumberFormat="1" applyFont="1" applyFill="1" applyBorder="1" applyAlignment="1">
      <alignment horizontal="center" shrinkToFit="1"/>
    </xf>
    <xf numFmtId="169" fontId="4" fillId="3" borderId="35" xfId="2" applyNumberFormat="1" applyFont="1" applyFill="1" applyBorder="1" applyAlignment="1">
      <alignment horizontal="center" shrinkToFit="1"/>
    </xf>
    <xf numFmtId="169" fontId="4" fillId="8" borderId="35" xfId="2" applyNumberFormat="1" applyFont="1" applyFill="1" applyBorder="1" applyAlignment="1">
      <alignment horizontal="center" shrinkToFit="1"/>
    </xf>
    <xf numFmtId="169" fontId="11" fillId="3" borderId="35" xfId="2" applyNumberFormat="1" applyFont="1" applyFill="1" applyBorder="1" applyAlignment="1">
      <alignment horizontal="center" shrinkToFit="1"/>
    </xf>
    <xf numFmtId="1" fontId="11" fillId="3" borderId="34" xfId="2" applyNumberFormat="1" applyFont="1" applyFill="1" applyBorder="1" applyAlignment="1">
      <alignment horizontal="center" shrinkToFit="1"/>
    </xf>
    <xf numFmtId="1" fontId="11" fillId="3" borderId="6" xfId="2" applyNumberFormat="1" applyFont="1" applyFill="1" applyBorder="1" applyAlignment="1">
      <alignment horizontal="center" shrinkToFit="1"/>
    </xf>
    <xf numFmtId="169" fontId="4" fillId="3" borderId="6" xfId="2" applyNumberFormat="1" applyFont="1" applyFill="1" applyBorder="1" applyAlignment="1">
      <alignment horizontal="center" shrinkToFit="1"/>
    </xf>
    <xf numFmtId="169" fontId="2" fillId="8" borderId="6" xfId="2" applyNumberFormat="1" applyFont="1" applyFill="1" applyBorder="1" applyAlignment="1">
      <alignment horizontal="center" shrinkToFit="1"/>
    </xf>
    <xf numFmtId="169" fontId="11" fillId="3" borderId="6" xfId="2" applyNumberFormat="1" applyFont="1" applyFill="1" applyBorder="1" applyAlignment="1">
      <alignment horizontal="center" shrinkToFit="1"/>
    </xf>
    <xf numFmtId="166" fontId="11" fillId="8" borderId="6" xfId="2" applyNumberFormat="1" applyFont="1" applyFill="1" applyBorder="1" applyAlignment="1">
      <alignment horizontal="center" shrinkToFit="1"/>
    </xf>
    <xf numFmtId="168" fontId="24" fillId="14" borderId="6" xfId="2" applyNumberFormat="1" applyFont="1" applyFill="1" applyBorder="1" applyAlignment="1">
      <alignment horizontal="center" shrinkToFit="1"/>
    </xf>
    <xf numFmtId="169" fontId="24" fillId="14" borderId="6" xfId="2" applyNumberFormat="1" applyFont="1" applyFill="1" applyBorder="1" applyAlignment="1">
      <alignment horizontal="center" shrinkToFit="1"/>
    </xf>
    <xf numFmtId="4" fontId="11" fillId="14" borderId="6" xfId="2" applyNumberFormat="1" applyFont="1" applyFill="1" applyBorder="1" applyAlignment="1">
      <alignment horizontal="center" shrinkToFit="1"/>
    </xf>
    <xf numFmtId="166" fontId="11" fillId="14" borderId="31" xfId="2" applyNumberFormat="1" applyFont="1" applyFill="1" applyBorder="1" applyAlignment="1">
      <alignment horizontal="center" shrinkToFit="1"/>
    </xf>
    <xf numFmtId="168" fontId="17" fillId="14" borderId="6" xfId="2" applyNumberFormat="1" applyFont="1" applyFill="1" applyBorder="1" applyAlignment="1">
      <alignment horizontal="center" shrinkToFit="1"/>
    </xf>
    <xf numFmtId="169" fontId="4" fillId="14" borderId="6" xfId="2" applyNumberFormat="1" applyFont="1" applyFill="1" applyBorder="1" applyAlignment="1">
      <alignment horizontal="center" shrinkToFit="1"/>
    </xf>
    <xf numFmtId="169" fontId="1" fillId="14" borderId="6" xfId="2" applyNumberFormat="1" applyFont="1" applyFill="1" applyBorder="1" applyAlignment="1">
      <alignment horizontal="center" shrinkToFit="1"/>
    </xf>
    <xf numFmtId="169" fontId="11" fillId="14" borderId="6" xfId="2" applyNumberFormat="1" applyFont="1" applyFill="1" applyBorder="1" applyAlignment="1">
      <alignment horizontal="center" shrinkToFit="1"/>
    </xf>
    <xf numFmtId="166" fontId="11" fillId="14" borderId="6" xfId="2" applyNumberFormat="1" applyFont="1" applyFill="1" applyBorder="1" applyAlignment="1">
      <alignment horizontal="center" shrinkToFit="1"/>
    </xf>
    <xf numFmtId="166" fontId="11" fillId="14" borderId="5" xfId="2" applyNumberFormat="1" applyFont="1" applyFill="1" applyBorder="1" applyAlignment="1">
      <alignment horizontal="center" shrinkToFit="1"/>
    </xf>
    <xf numFmtId="169" fontId="4" fillId="14" borderId="23" xfId="2" applyNumberFormat="1" applyFont="1" applyFill="1" applyBorder="1" applyAlignment="1">
      <alignment horizontal="center" shrinkToFit="1"/>
    </xf>
    <xf numFmtId="169" fontId="1" fillId="14" borderId="23" xfId="2" applyNumberFormat="1" applyFont="1" applyFill="1" applyBorder="1" applyAlignment="1">
      <alignment horizontal="center" shrinkToFit="1"/>
    </xf>
    <xf numFmtId="0" fontId="26" fillId="0" borderId="13" xfId="24" applyFont="1" applyBorder="1" applyAlignment="1">
      <alignment horizontal="center" vertical="center" wrapText="1"/>
    </xf>
    <xf numFmtId="0" fontId="26" fillId="0" borderId="9" xfId="24" applyFont="1" applyBorder="1" applyAlignment="1">
      <alignment horizontal="center" vertical="center" wrapText="1"/>
    </xf>
    <xf numFmtId="0" fontId="26" fillId="0" borderId="14" xfId="24" applyFont="1" applyBorder="1" applyAlignment="1">
      <alignment horizontal="center" vertical="center" wrapText="1"/>
    </xf>
    <xf numFmtId="0" fontId="26" fillId="0" borderId="13" xfId="56" applyFont="1" applyBorder="1" applyAlignment="1">
      <alignment horizontal="center" vertical="center" wrapText="1"/>
    </xf>
    <xf numFmtId="0" fontId="26" fillId="0" borderId="9" xfId="56" applyFont="1" applyBorder="1" applyAlignment="1">
      <alignment horizontal="center" vertical="center" wrapText="1"/>
    </xf>
    <xf numFmtId="0" fontId="26" fillId="0" borderId="14" xfId="56" applyFont="1" applyBorder="1" applyAlignment="1">
      <alignment horizontal="center" vertical="center" wrapText="1"/>
    </xf>
    <xf numFmtId="0" fontId="12" fillId="0" borderId="9" xfId="4" applyFont="1" applyBorder="1" applyAlignment="1">
      <alignment horizontal="left" vertical="center"/>
    </xf>
    <xf numFmtId="0" fontId="12" fillId="0" borderId="14" xfId="4" applyFont="1" applyBorder="1" applyAlignment="1">
      <alignment horizontal="left" vertical="center"/>
    </xf>
    <xf numFmtId="1" fontId="12" fillId="9" borderId="31" xfId="4" applyNumberFormat="1" applyFont="1" applyFill="1" applyBorder="1" applyAlignment="1">
      <alignment horizontal="center" vertical="center" textRotation="90" shrinkToFit="1"/>
    </xf>
    <xf numFmtId="1" fontId="12" fillId="9" borderId="5" xfId="4" applyNumberFormat="1" applyFont="1" applyFill="1" applyBorder="1" applyAlignment="1">
      <alignment horizontal="center" vertical="center" textRotation="90" shrinkToFit="1"/>
    </xf>
    <xf numFmtId="1" fontId="12" fillId="9" borderId="36" xfId="4" applyNumberFormat="1" applyFont="1" applyFill="1" applyBorder="1" applyAlignment="1">
      <alignment horizontal="center" vertical="center" textRotation="90" shrinkToFit="1"/>
    </xf>
    <xf numFmtId="165" fontId="12" fillId="5" borderId="8" xfId="4" applyNumberFormat="1" applyFont="1" applyFill="1" applyBorder="1" applyAlignment="1">
      <alignment horizontal="center" vertical="center" textRotation="90" shrinkToFit="1"/>
    </xf>
    <xf numFmtId="165" fontId="12" fillId="5" borderId="4" xfId="4" applyNumberFormat="1" applyFont="1" applyFill="1" applyBorder="1" applyAlignment="1">
      <alignment horizontal="center" vertical="center" textRotation="90" shrinkToFit="1"/>
    </xf>
    <xf numFmtId="165" fontId="12" fillId="9" borderId="29" xfId="4" applyNumberFormat="1" applyFont="1" applyFill="1" applyBorder="1" applyAlignment="1">
      <alignment horizontal="center" vertical="center" textRotation="90" wrapText="1" shrinkToFit="1"/>
    </xf>
    <xf numFmtId="165" fontId="12" fillId="9" borderId="30" xfId="4" applyNumberFormat="1" applyFont="1" applyFill="1" applyBorder="1" applyAlignment="1">
      <alignment horizontal="center" vertical="center" textRotation="90" wrapText="1" shrinkToFit="1"/>
    </xf>
    <xf numFmtId="165" fontId="12" fillId="9" borderId="28" xfId="4" applyNumberFormat="1" applyFont="1" applyFill="1" applyBorder="1" applyAlignment="1">
      <alignment horizontal="center" vertical="center" textRotation="90" wrapText="1" shrinkToFit="1"/>
    </xf>
    <xf numFmtId="165" fontId="12" fillId="5" borderId="11" xfId="4" applyNumberFormat="1" applyFont="1" applyFill="1" applyBorder="1" applyAlignment="1">
      <alignment horizontal="center" vertical="center" textRotation="90" shrinkToFit="1"/>
    </xf>
    <xf numFmtId="165" fontId="12" fillId="5" borderId="12" xfId="4" applyNumberFormat="1" applyFont="1" applyFill="1" applyBorder="1" applyAlignment="1">
      <alignment horizontal="center" vertical="center" textRotation="90" shrinkToFit="1"/>
    </xf>
    <xf numFmtId="165" fontId="12" fillId="5" borderId="40" xfId="4" applyNumberFormat="1" applyFont="1" applyFill="1" applyBorder="1" applyAlignment="1">
      <alignment horizontal="center" vertical="center" textRotation="90" shrinkToFit="1"/>
    </xf>
    <xf numFmtId="1" fontId="12" fillId="9" borderId="26" xfId="4" applyNumberFormat="1" applyFont="1" applyFill="1" applyBorder="1" applyAlignment="1">
      <alignment horizontal="center" vertical="center" textRotation="90" wrapText="1" shrinkToFit="1"/>
    </xf>
    <xf numFmtId="1" fontId="12" fillId="9" borderId="27" xfId="4" applyNumberFormat="1" applyFont="1" applyFill="1" applyBorder="1" applyAlignment="1">
      <alignment horizontal="center" vertical="center" textRotation="90" wrapText="1" shrinkToFit="1"/>
    </xf>
    <xf numFmtId="1" fontId="12" fillId="9" borderId="41" xfId="4" applyNumberFormat="1" applyFont="1" applyFill="1" applyBorder="1" applyAlignment="1">
      <alignment horizontal="center" vertical="center" textRotation="90" wrapText="1" shrinkToFit="1"/>
    </xf>
    <xf numFmtId="165" fontId="12" fillId="9" borderId="24" xfId="4" applyNumberFormat="1" applyFont="1" applyFill="1" applyBorder="1" applyAlignment="1">
      <alignment horizontal="center" vertical="center" textRotation="90" wrapText="1" shrinkToFit="1"/>
    </xf>
    <xf numFmtId="165" fontId="12" fillId="9" borderId="25" xfId="4" applyNumberFormat="1" applyFont="1" applyFill="1" applyBorder="1" applyAlignment="1">
      <alignment horizontal="center" vertical="center" textRotation="90" wrapText="1" shrinkToFit="1"/>
    </xf>
    <xf numFmtId="165" fontId="12" fillId="9" borderId="42" xfId="4" applyNumberFormat="1" applyFont="1" applyFill="1" applyBorder="1" applyAlignment="1">
      <alignment horizontal="center" vertical="center" textRotation="90" wrapText="1" shrinkToFit="1"/>
    </xf>
    <xf numFmtId="3" fontId="15" fillId="6" borderId="3" xfId="4" applyNumberFormat="1" applyFont="1" applyFill="1" applyBorder="1" applyAlignment="1">
      <alignment horizontal="center" vertical="center"/>
    </xf>
    <xf numFmtId="3" fontId="15" fillId="6" borderId="1" xfId="4" applyNumberFormat="1" applyFont="1" applyFill="1" applyBorder="1" applyAlignment="1">
      <alignment horizontal="center" vertical="center"/>
    </xf>
    <xf numFmtId="3" fontId="15" fillId="6" borderId="4" xfId="4" applyNumberFormat="1" applyFont="1" applyFill="1" applyBorder="1" applyAlignment="1">
      <alignment horizontal="center" vertical="center"/>
    </xf>
    <xf numFmtId="165" fontId="12" fillId="5" borderId="6" xfId="4" applyNumberFormat="1" applyFont="1" applyFill="1" applyBorder="1" applyAlignment="1">
      <alignment horizontal="center" vertical="center" textRotation="90" shrinkToFit="1"/>
    </xf>
    <xf numFmtId="165" fontId="12" fillId="5" borderId="1" xfId="4" applyNumberFormat="1" applyFont="1" applyFill="1" applyBorder="1" applyAlignment="1">
      <alignment horizontal="center" vertical="center" textRotation="90" shrinkToFit="1"/>
    </xf>
    <xf numFmtId="165" fontId="12" fillId="5" borderId="35" xfId="4" applyNumberFormat="1" applyFont="1" applyFill="1" applyBorder="1" applyAlignment="1">
      <alignment horizontal="center" vertical="center" textRotation="90" shrinkToFit="1"/>
    </xf>
    <xf numFmtId="3" fontId="15" fillId="6" borderId="7" xfId="4" applyNumberFormat="1" applyFont="1" applyFill="1" applyBorder="1" applyAlignment="1">
      <alignment horizontal="center" vertical="center" wrapText="1"/>
    </xf>
    <xf numFmtId="3" fontId="15" fillId="6" borderId="6" xfId="4" applyNumberFormat="1" applyFont="1" applyFill="1" applyBorder="1" applyAlignment="1">
      <alignment horizontal="center" vertical="center" wrapText="1"/>
    </xf>
    <xf numFmtId="3" fontId="15" fillId="6" borderId="8" xfId="4" applyNumberFormat="1" applyFont="1" applyFill="1" applyBorder="1" applyAlignment="1">
      <alignment horizontal="center" vertical="center" wrapText="1"/>
    </xf>
    <xf numFmtId="3" fontId="15" fillId="6" borderId="3" xfId="4" applyNumberFormat="1" applyFont="1" applyFill="1" applyBorder="1" applyAlignment="1">
      <alignment horizontal="center" vertical="center" wrapText="1"/>
    </xf>
    <xf numFmtId="3" fontId="15" fillId="6" borderId="1" xfId="4" applyNumberFormat="1" applyFont="1" applyFill="1" applyBorder="1" applyAlignment="1">
      <alignment horizontal="center" vertical="center" wrapText="1"/>
    </xf>
    <xf numFmtId="3" fontId="15" fillId="6" borderId="4" xfId="4" applyNumberFormat="1" applyFont="1" applyFill="1" applyBorder="1" applyAlignment="1">
      <alignment horizontal="center" vertical="center" wrapText="1"/>
    </xf>
    <xf numFmtId="165" fontId="11" fillId="5" borderId="7" xfId="4" applyNumberFormat="1" applyFont="1" applyFill="1" applyBorder="1" applyAlignment="1">
      <alignment horizontal="center" wrapText="1" shrinkToFit="1"/>
    </xf>
    <xf numFmtId="165" fontId="11" fillId="5" borderId="8" xfId="4" applyNumberFormat="1" applyFont="1" applyFill="1" applyBorder="1" applyAlignment="1">
      <alignment horizontal="center" wrapText="1" shrinkToFit="1"/>
    </xf>
    <xf numFmtId="165" fontId="11" fillId="5" borderId="3" xfId="4" applyNumberFormat="1" applyFont="1" applyFill="1" applyBorder="1" applyAlignment="1">
      <alignment horizontal="center" wrapText="1" shrinkToFit="1"/>
    </xf>
    <xf numFmtId="165" fontId="11" fillId="5" borderId="4" xfId="4" applyNumberFormat="1" applyFont="1" applyFill="1" applyBorder="1" applyAlignment="1">
      <alignment horizontal="center" wrapText="1" shrinkToFit="1"/>
    </xf>
    <xf numFmtId="0" fontId="12" fillId="10" borderId="15" xfId="4" applyFont="1" applyFill="1" applyBorder="1" applyAlignment="1">
      <alignment horizontal="left" vertical="center"/>
    </xf>
    <xf numFmtId="0" fontId="12" fillId="10" borderId="13" xfId="4" applyFont="1" applyFill="1" applyBorder="1" applyAlignment="1">
      <alignment horizontal="left" vertical="center"/>
    </xf>
    <xf numFmtId="0" fontId="12" fillId="10" borderId="9" xfId="4" applyFont="1" applyFill="1" applyBorder="1" applyAlignment="1">
      <alignment horizontal="left" vertical="center"/>
    </xf>
    <xf numFmtId="0" fontId="12" fillId="10" borderId="14" xfId="4" applyFont="1" applyFill="1" applyBorder="1" applyAlignment="1">
      <alignment horizontal="left" vertical="center"/>
    </xf>
    <xf numFmtId="0" fontId="26" fillId="0" borderId="17" xfId="4" applyFont="1" applyBorder="1" applyAlignment="1">
      <alignment horizontal="center" vertical="center" wrapText="1"/>
    </xf>
    <xf numFmtId="0" fontId="26" fillId="0" borderId="10" xfId="4" applyFont="1" applyBorder="1" applyAlignment="1">
      <alignment horizontal="center" vertical="center" wrapText="1"/>
    </xf>
    <xf numFmtId="0" fontId="26" fillId="0" borderId="18" xfId="4" applyFont="1" applyBorder="1" applyAlignment="1">
      <alignment horizontal="center" vertical="center" wrapText="1"/>
    </xf>
    <xf numFmtId="0" fontId="18" fillId="0" borderId="13" xfId="4" applyFont="1" applyBorder="1" applyAlignment="1">
      <alignment horizontal="center" vertical="center" wrapText="1"/>
    </xf>
    <xf numFmtId="0" fontId="18" fillId="0" borderId="9" xfId="4" applyFont="1" applyBorder="1" applyAlignment="1">
      <alignment horizontal="center" vertical="center" wrapText="1"/>
    </xf>
    <xf numFmtId="0" fontId="18" fillId="0" borderId="14" xfId="4" applyFont="1" applyBorder="1" applyAlignment="1">
      <alignment horizontal="center" vertical="center" wrapText="1"/>
    </xf>
    <xf numFmtId="0" fontId="19" fillId="0" borderId="17" xfId="4" applyFont="1" applyBorder="1" applyAlignment="1">
      <alignment horizontal="center" vertical="center" wrapText="1"/>
    </xf>
    <xf numFmtId="0" fontId="19" fillId="0" borderId="10" xfId="4" applyFont="1" applyBorder="1" applyAlignment="1">
      <alignment horizontal="center" vertical="center" wrapText="1"/>
    </xf>
    <xf numFmtId="0" fontId="19" fillId="0" borderId="18" xfId="4" applyFont="1" applyBorder="1" applyAlignment="1">
      <alignment horizontal="center" vertical="center" wrapText="1"/>
    </xf>
    <xf numFmtId="0" fontId="19" fillId="0" borderId="21" xfId="4" applyFont="1" applyBorder="1" applyAlignment="1">
      <alignment horizontal="center" vertical="center" wrapText="1"/>
    </xf>
    <xf numFmtId="0" fontId="19" fillId="0" borderId="16" xfId="4" applyFont="1" applyBorder="1" applyAlignment="1">
      <alignment horizontal="center" vertical="center" wrapText="1"/>
    </xf>
    <xf numFmtId="0" fontId="19" fillId="0" borderId="22" xfId="4" applyFont="1" applyBorder="1" applyAlignment="1">
      <alignment horizontal="center" vertical="center" wrapText="1"/>
    </xf>
    <xf numFmtId="165" fontId="12" fillId="4" borderId="1" xfId="4" applyNumberFormat="1" applyFont="1" applyFill="1" applyBorder="1" applyAlignment="1">
      <alignment horizontal="center" vertical="center" shrinkToFit="1"/>
    </xf>
    <xf numFmtId="165" fontId="12" fillId="5" borderId="32" xfId="4" applyNumberFormat="1" applyFont="1" applyFill="1" applyBorder="1" applyAlignment="1">
      <alignment horizontal="center" vertical="center" shrinkToFit="1"/>
    </xf>
    <xf numFmtId="165" fontId="12" fillId="5" borderId="33" xfId="4" applyNumberFormat="1" applyFont="1" applyFill="1" applyBorder="1" applyAlignment="1">
      <alignment horizontal="center" vertical="center" shrinkToFit="1"/>
    </xf>
    <xf numFmtId="165" fontId="12" fillId="5" borderId="48" xfId="4" applyNumberFormat="1" applyFont="1" applyFill="1" applyBorder="1" applyAlignment="1">
      <alignment horizontal="center" vertical="center" shrinkToFit="1"/>
    </xf>
    <xf numFmtId="0" fontId="22" fillId="12" borderId="23" xfId="4" applyFont="1" applyFill="1" applyBorder="1" applyAlignment="1">
      <alignment horizontal="center" shrinkToFit="1"/>
    </xf>
    <xf numFmtId="0" fontId="22" fillId="12" borderId="1" xfId="4" applyFont="1" applyFill="1" applyBorder="1" applyAlignment="1">
      <alignment horizontal="center" shrinkToFit="1"/>
    </xf>
    <xf numFmtId="4" fontId="23" fillId="0" borderId="15" xfId="4" applyNumberFormat="1" applyFont="1" applyBorder="1" applyAlignment="1">
      <alignment horizontal="center" vertical="center" shrinkToFit="1"/>
    </xf>
    <xf numFmtId="4" fontId="23" fillId="0" borderId="13" xfId="4" applyNumberFormat="1" applyFont="1" applyBorder="1" applyAlignment="1">
      <alignment horizontal="center" vertical="center" shrinkToFit="1"/>
    </xf>
    <xf numFmtId="4" fontId="23" fillId="0" borderId="9" xfId="4" applyNumberFormat="1" applyFont="1" applyBorder="1" applyAlignment="1">
      <alignment horizontal="center" vertical="center" shrinkToFit="1"/>
    </xf>
    <xf numFmtId="4" fontId="23" fillId="0" borderId="14" xfId="4" applyNumberFormat="1" applyFont="1" applyBorder="1" applyAlignment="1">
      <alignment horizontal="center" vertical="center" shrinkToFit="1"/>
    </xf>
    <xf numFmtId="165" fontId="12" fillId="10" borderId="35" xfId="4" applyNumberFormat="1" applyFont="1" applyFill="1" applyBorder="1" applyAlignment="1">
      <alignment horizontal="center" vertical="center" textRotation="1" shrinkToFit="1"/>
    </xf>
    <xf numFmtId="3" fontId="15" fillId="6" borderId="7" xfId="4" applyNumberFormat="1" applyFont="1" applyFill="1" applyBorder="1" applyAlignment="1">
      <alignment horizontal="center" vertical="center"/>
    </xf>
    <xf numFmtId="3" fontId="15" fillId="6" borderId="6" xfId="4" applyNumberFormat="1" applyFont="1" applyFill="1" applyBorder="1" applyAlignment="1">
      <alignment horizontal="center" vertical="center"/>
    </xf>
    <xf numFmtId="3" fontId="15" fillId="6" borderId="8" xfId="4" applyNumberFormat="1" applyFont="1" applyFill="1" applyBorder="1" applyAlignment="1">
      <alignment horizontal="center" vertical="center"/>
    </xf>
    <xf numFmtId="165" fontId="12" fillId="10" borderId="46" xfId="4" applyNumberFormat="1" applyFont="1" applyFill="1" applyBorder="1" applyAlignment="1">
      <alignment horizontal="center" vertical="center" textRotation="1" shrinkToFit="1"/>
    </xf>
    <xf numFmtId="165" fontId="12" fillId="10" borderId="47" xfId="4" applyNumberFormat="1" applyFont="1" applyFill="1" applyBorder="1" applyAlignment="1">
      <alignment horizontal="center" vertical="center" textRotation="1" shrinkToFit="1"/>
    </xf>
    <xf numFmtId="165" fontId="12" fillId="10" borderId="45" xfId="4" applyNumberFormat="1" applyFont="1" applyFill="1" applyBorder="1" applyAlignment="1">
      <alignment horizontal="center" vertical="center" textRotation="1" shrinkToFit="1"/>
    </xf>
    <xf numFmtId="167" fontId="23" fillId="0" borderId="15" xfId="4" applyNumberFormat="1" applyFont="1" applyBorder="1" applyAlignment="1">
      <alignment horizontal="center" vertical="center"/>
    </xf>
    <xf numFmtId="0" fontId="23" fillId="0" borderId="28" xfId="4" applyFont="1" applyBorder="1" applyAlignment="1">
      <alignment horizontal="center" vertical="center"/>
    </xf>
    <xf numFmtId="4" fontId="12" fillId="10" borderId="28" xfId="4" applyNumberFormat="1" applyFont="1" applyFill="1" applyBorder="1" applyAlignment="1">
      <alignment horizontal="center" vertical="center" shrinkToFit="1"/>
    </xf>
    <xf numFmtId="4" fontId="12" fillId="10" borderId="21" xfId="4" applyNumberFormat="1" applyFont="1" applyFill="1" applyBorder="1" applyAlignment="1">
      <alignment horizontal="left" vertical="center" shrinkToFit="1"/>
    </xf>
    <xf numFmtId="4" fontId="12" fillId="10" borderId="16" xfId="4" applyNumberFormat="1" applyFont="1" applyFill="1" applyBorder="1" applyAlignment="1">
      <alignment horizontal="left" vertical="center" shrinkToFit="1"/>
    </xf>
    <xf numFmtId="4" fontId="12" fillId="10" borderId="22" xfId="4" applyNumberFormat="1" applyFont="1" applyFill="1" applyBorder="1" applyAlignment="1">
      <alignment horizontal="left" vertical="center" shrinkToFit="1"/>
    </xf>
    <xf numFmtId="4" fontId="12" fillId="10" borderId="13" xfId="4" applyNumberFormat="1" applyFont="1" applyFill="1" applyBorder="1" applyAlignment="1">
      <alignment horizontal="center" vertical="center" shrinkToFit="1"/>
    </xf>
    <xf numFmtId="4" fontId="12" fillId="10" borderId="9" xfId="4" applyNumberFormat="1" applyFont="1" applyFill="1" applyBorder="1" applyAlignment="1">
      <alignment horizontal="center" vertical="center" shrinkToFit="1"/>
    </xf>
    <xf numFmtId="4" fontId="12" fillId="10" borderId="14" xfId="4" applyNumberFormat="1" applyFont="1" applyFill="1" applyBorder="1" applyAlignment="1">
      <alignment horizontal="center" vertical="center" shrinkToFit="1"/>
    </xf>
    <xf numFmtId="4" fontId="28" fillId="10" borderId="13" xfId="4" applyNumberFormat="1" applyFont="1" applyFill="1" applyBorder="1" applyAlignment="1">
      <alignment horizontal="center" vertical="center" shrinkToFit="1"/>
    </xf>
    <xf numFmtId="4" fontId="28" fillId="10" borderId="14" xfId="4" applyNumberFormat="1" applyFont="1" applyFill="1" applyBorder="1" applyAlignment="1">
      <alignment horizontal="center" vertical="center" shrinkToFit="1"/>
    </xf>
    <xf numFmtId="0" fontId="11" fillId="0" borderId="17" xfId="2" applyFont="1" applyBorder="1" applyAlignment="1">
      <alignment horizontal="center" vertical="center"/>
    </xf>
    <xf numFmtId="0" fontId="11" fillId="0" borderId="18" xfId="2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4" xfId="2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65" fontId="12" fillId="0" borderId="29" xfId="22" applyNumberFormat="1" applyFont="1" applyBorder="1" applyAlignment="1">
      <alignment horizontal="center" vertical="center" textRotation="90" shrinkToFit="1"/>
    </xf>
    <xf numFmtId="165" fontId="12" fillId="0" borderId="30" xfId="22" applyNumberFormat="1" applyFont="1" applyBorder="1" applyAlignment="1">
      <alignment horizontal="center" vertical="center" textRotation="90" shrinkToFit="1"/>
    </xf>
    <xf numFmtId="165" fontId="12" fillId="0" borderId="24" xfId="22" applyNumberFormat="1" applyFont="1" applyBorder="1" applyAlignment="1">
      <alignment horizontal="center" vertical="center" textRotation="90" wrapText="1" shrinkToFit="1"/>
    </xf>
    <xf numFmtId="165" fontId="12" fillId="0" borderId="25" xfId="22" applyNumberFormat="1" applyFont="1" applyBorder="1" applyAlignment="1">
      <alignment horizontal="center" vertical="center" textRotation="90" wrapText="1" shrinkToFit="1"/>
    </xf>
    <xf numFmtId="165" fontId="12" fillId="0" borderId="26" xfId="22" applyNumberFormat="1" applyFont="1" applyBorder="1" applyAlignment="1">
      <alignment horizontal="center" vertical="center" textRotation="90" shrinkToFit="1"/>
    </xf>
    <xf numFmtId="165" fontId="12" fillId="0" borderId="27" xfId="22" applyNumberFormat="1" applyFont="1" applyBorder="1" applyAlignment="1">
      <alignment horizontal="center" vertical="center" textRotation="90" shrinkToFit="1"/>
    </xf>
    <xf numFmtId="3" fontId="12" fillId="0" borderId="29" xfId="22" applyNumberFormat="1" applyFont="1" applyBorder="1" applyAlignment="1">
      <alignment horizontal="center" vertical="center" wrapText="1"/>
    </xf>
    <xf numFmtId="3" fontId="12" fillId="0" borderId="30" xfId="22" applyNumberFormat="1" applyFont="1" applyBorder="1" applyAlignment="1">
      <alignment horizontal="center" vertical="center"/>
    </xf>
    <xf numFmtId="3" fontId="15" fillId="0" borderId="29" xfId="22" applyNumberFormat="1" applyFont="1" applyBorder="1" applyAlignment="1">
      <alignment horizontal="center" vertical="center" wrapText="1"/>
    </xf>
    <xf numFmtId="3" fontId="15" fillId="0" borderId="30" xfId="22" applyNumberFormat="1" applyFont="1" applyBorder="1" applyAlignment="1">
      <alignment horizontal="center" vertical="center" wrapText="1"/>
    </xf>
    <xf numFmtId="165" fontId="12" fillId="0" borderId="29" xfId="22" applyNumberFormat="1" applyFont="1" applyBorder="1" applyAlignment="1">
      <alignment horizontal="center" vertical="center" shrinkToFit="1"/>
    </xf>
    <xf numFmtId="165" fontId="12" fillId="0" borderId="30" xfId="22" applyNumberFormat="1" applyFont="1" applyBorder="1" applyAlignment="1">
      <alignment horizontal="center" vertical="center" shrinkToFit="1"/>
    </xf>
  </cellXfs>
  <cellStyles count="57">
    <cellStyle name="Millares 2" xfId="11" xr:uid="{00000000-0005-0000-0000-000000000000}"/>
    <cellStyle name="Millares 3" xfId="14" xr:uid="{00000000-0005-0000-0000-000001000000}"/>
    <cellStyle name="Millares 4" xfId="8" xr:uid="{00000000-0005-0000-0000-000002000000}"/>
    <cellStyle name="Normal" xfId="0" builtinId="0"/>
    <cellStyle name="Normal 2" xfId="1" xr:uid="{00000000-0005-0000-0000-000004000000}"/>
    <cellStyle name="Normal 2 2" xfId="3" xr:uid="{00000000-0005-0000-0000-000005000000}"/>
    <cellStyle name="Normal 3" xfId="2" xr:uid="{00000000-0005-0000-0000-000006000000}"/>
    <cellStyle name="Normal 3 2" xfId="4" xr:uid="{00000000-0005-0000-0000-000007000000}"/>
    <cellStyle name="Normal 3 2 2" xfId="10" xr:uid="{00000000-0005-0000-0000-000008000000}"/>
    <cellStyle name="Normal 3 2 2 2" xfId="18" xr:uid="{9DC23B07-5F11-47B8-867F-C1A56C2C8EBA}"/>
    <cellStyle name="Normal 3 2 2 2 2" xfId="22" xr:uid="{E4F395FC-EFCE-4DF8-8DCD-E54033CC884B}"/>
    <cellStyle name="Normal 3 2 2 2 2 2" xfId="56" xr:uid="{9702B941-0257-4817-B900-BDC7655BC98C}"/>
    <cellStyle name="Normal 3 2 2 2 2 3" xfId="39" xr:uid="{51CE9370-50B1-4AA3-8235-5DA06329A076}"/>
    <cellStyle name="Normal 3 2 2 2 3" xfId="52" xr:uid="{400EB851-CD5E-485C-999B-02C9C321E39E}"/>
    <cellStyle name="Normal 3 2 2 2 4" xfId="35" xr:uid="{D63CDDBB-B5FD-476B-B0DC-1EAD1AA5DFE9}"/>
    <cellStyle name="Normal 3 2 2 3" xfId="46" xr:uid="{A6D26775-3899-48E8-86C1-B2EBD3456A21}"/>
    <cellStyle name="Normal 3 2 2 4" xfId="29" xr:uid="{B6FF1D1F-92A6-46C5-99C4-F5CBED69C069}"/>
    <cellStyle name="Normal 3 2 3" xfId="13" xr:uid="{00000000-0005-0000-0000-000009000000}"/>
    <cellStyle name="Normal 3 2 3 2" xfId="48" xr:uid="{9031FF57-8AC7-447B-95FF-152ADB92D6FA}"/>
    <cellStyle name="Normal 3 2 3 3" xfId="31" xr:uid="{5C1AF56A-EEB7-4CE7-A3E8-BFFC0D6953B5}"/>
    <cellStyle name="Normal 3 2 4" xfId="17" xr:uid="{00000000-0005-0000-0000-00000A000000}"/>
    <cellStyle name="Normal 3 2 4 2" xfId="51" xr:uid="{EE6C8DB5-D61C-46B9-B188-27B658DBD6A3}"/>
    <cellStyle name="Normal 3 2 4 3" xfId="34" xr:uid="{DCA0BF21-C849-47CA-878B-CC403EDED4DB}"/>
    <cellStyle name="Normal 3 2 5" xfId="7" xr:uid="{00000000-0005-0000-0000-00000B000000}"/>
    <cellStyle name="Normal 3 2 5 2" xfId="44" xr:uid="{96E00BC0-4FBC-48CB-9F7A-295EE6511D85}"/>
    <cellStyle name="Normal 3 2 5 3" xfId="27" xr:uid="{64590CE6-2DBB-42E9-8CCB-FC32EE39EA4E}"/>
    <cellStyle name="Normal 3 2 6" xfId="21" xr:uid="{82B9D348-4C9C-4E26-9818-32EB4B4A1AC1}"/>
    <cellStyle name="Normal 3 2 6 2" xfId="55" xr:uid="{84C91338-CA5F-468E-A63D-DCE35FB389DA}"/>
    <cellStyle name="Normal 3 2 6 3" xfId="38" xr:uid="{CD23FBA5-052B-46F3-A16D-0834D692C191}"/>
    <cellStyle name="Normal 3 2 7" xfId="41" xr:uid="{E67F8720-A282-43DB-A044-19B9B5C0C0E8}"/>
    <cellStyle name="Normal 3 2 8" xfId="24" xr:uid="{77D386CC-F245-41E3-AF1B-CE2DD87293C1}"/>
    <cellStyle name="Normal 3 3" xfId="9" xr:uid="{00000000-0005-0000-0000-00000C000000}"/>
    <cellStyle name="Normal 3 3 2" xfId="45" xr:uid="{0DF48BCD-B1AA-49EC-9880-1EAE3736C339}"/>
    <cellStyle name="Normal 3 3 3" xfId="28" xr:uid="{2A3DA90E-8E49-4880-A531-5AD2C7CE1B21}"/>
    <cellStyle name="Normal 3 4" xfId="12" xr:uid="{00000000-0005-0000-0000-00000D000000}"/>
    <cellStyle name="Normal 3 4 2" xfId="47" xr:uid="{6ADFADF8-FBDF-40FE-8B98-B86B77EB3B50}"/>
    <cellStyle name="Normal 3 4 3" xfId="30" xr:uid="{00EF0A40-887D-4C92-95F4-CD9D93C2DC7D}"/>
    <cellStyle name="Normal 3 5" xfId="16" xr:uid="{00000000-0005-0000-0000-00000E000000}"/>
    <cellStyle name="Normal 3 5 2" xfId="50" xr:uid="{AD3740FD-1C3F-4A61-B6D1-8ABE2685265A}"/>
    <cellStyle name="Normal 3 5 3" xfId="33" xr:uid="{3165D202-71D2-4FF6-8947-22E7BE02A964}"/>
    <cellStyle name="Normal 3 6" xfId="5" xr:uid="{00000000-0005-0000-0000-00000F000000}"/>
    <cellStyle name="Normal 3 6 2" xfId="42" xr:uid="{0122F35F-43E3-46B2-AA29-E62EFDD77748}"/>
    <cellStyle name="Normal 3 6 3" xfId="25" xr:uid="{8BAE3915-F581-4161-A518-2641A451AF1A}"/>
    <cellStyle name="Normal 3 7" xfId="20" xr:uid="{1E5566C3-3DB2-45FF-A89E-322B5DE52177}"/>
    <cellStyle name="Normal 3 7 2" xfId="54" xr:uid="{3579F7AB-E23B-4BD9-8211-7A9B50B3D22B}"/>
    <cellStyle name="Normal 3 7 3" xfId="37" xr:uid="{6DBFBE2E-D48A-40A7-8D23-E89A5B9C993C}"/>
    <cellStyle name="Normal 3 8" xfId="40" xr:uid="{2E49EF1B-BD7B-40F2-90EF-C97DD7C6E179}"/>
    <cellStyle name="Normal 3 9" xfId="23" xr:uid="{09D9D652-E14D-4979-BF58-5DE787A2F6A4}"/>
    <cellStyle name="Normal 4" xfId="6" xr:uid="{00000000-0005-0000-0000-000010000000}"/>
    <cellStyle name="Normal 4 2" xfId="43" xr:uid="{80099762-512F-478E-BAFB-60B3CF31DF95}"/>
    <cellStyle name="Normal 4 3" xfId="26" xr:uid="{0C0B98D3-6F2F-4DF2-A1ED-7F94628A16CE}"/>
    <cellStyle name="Normal 5" xfId="15" xr:uid="{00000000-0005-0000-0000-000011000000}"/>
    <cellStyle name="Normal 5 2" xfId="49" xr:uid="{2F1BDDE2-B883-43ED-993C-57B10A3A47DB}"/>
    <cellStyle name="Normal 5 3" xfId="32" xr:uid="{3CF489C7-B10A-49A5-8318-02F999960CBA}"/>
    <cellStyle name="Porcentaje" xfId="19" builtinId="5"/>
    <cellStyle name="Porcentaje 2" xfId="53" xr:uid="{16FB1D30-02B8-41F3-B428-9791F3AE909B}"/>
    <cellStyle name="Porcentaje 3" xfId="36" xr:uid="{F180FB8D-CFA1-4E8D-BEB8-45249EDE3D79}"/>
  </cellStyles>
  <dxfs count="27"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ndense val="0"/>
        <extend val="0"/>
        <color indexed="10"/>
      </font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FFCC"/>
      <color rgb="FFFFFFAF"/>
      <color rgb="FF99FFCC"/>
      <color rgb="FF66FF99"/>
      <color rgb="FF00FF00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1025" name="AutoShape 1" descr="Mostrando Sin título-3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57519094" y="940594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4" name="Imagen 3" descr="X:\CALIDAD\DOCUMENTOS INTERNOS\9. Logo empresa\LOGO 1200X1200PX.png">
          <a:extLst>
            <a:ext uri="{FF2B5EF4-FFF2-40B4-BE49-F238E27FC236}">
              <a16:creationId xmlns:a16="http://schemas.microsoft.com/office/drawing/2014/main" id="{9AE517AA-4911-4FC8-ABC0-09A08ED64B5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89214" cy="81642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64</xdr:col>
      <xdr:colOff>0</xdr:colOff>
      <xdr:row>3</xdr:row>
      <xdr:rowOff>0</xdr:rowOff>
    </xdr:from>
    <xdr:to>
      <xdr:col>64</xdr:col>
      <xdr:colOff>304800</xdr:colOff>
      <xdr:row>3</xdr:row>
      <xdr:rowOff>304800</xdr:rowOff>
    </xdr:to>
    <xdr:sp macro="" textlink="">
      <xdr:nvSpPr>
        <xdr:cNvPr id="2" name="AutoShape 1" descr="Mostrando Sin título-3.jpg">
          <a:extLst>
            <a:ext uri="{FF2B5EF4-FFF2-40B4-BE49-F238E27FC236}">
              <a16:creationId xmlns:a16="http://schemas.microsoft.com/office/drawing/2014/main" id="{820FB239-56D4-4CCF-8011-65D18E97C1FC}"/>
            </a:ext>
          </a:extLst>
        </xdr:cNvPr>
        <xdr:cNvSpPr>
          <a:spLocks noChangeAspect="1" noChangeArrowheads="1"/>
        </xdr:cNvSpPr>
      </xdr:nvSpPr>
      <xdr:spPr bwMode="auto">
        <a:xfrm>
          <a:off x="35223450" y="9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178593</xdr:colOff>
      <xdr:row>0</xdr:row>
      <xdr:rowOff>47625</xdr:rowOff>
    </xdr:from>
    <xdr:to>
      <xdr:col>2</xdr:col>
      <xdr:colOff>245336</xdr:colOff>
      <xdr:row>2</xdr:row>
      <xdr:rowOff>247309</xdr:rowOff>
    </xdr:to>
    <xdr:pic>
      <xdr:nvPicPr>
        <xdr:cNvPr id="3" name="Imagen 2" descr="X:\CALIDAD\DOCUMENTOS INTERNOS\9. Logo empresa\LOGO 1200X1200PX.png">
          <a:extLst>
            <a:ext uri="{FF2B5EF4-FFF2-40B4-BE49-F238E27FC236}">
              <a16:creationId xmlns:a16="http://schemas.microsoft.com/office/drawing/2014/main" id="{BD31FE88-9CFA-42BA-936C-05B3328E2C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6718" y="47625"/>
          <a:ext cx="790643" cy="80928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BL312"/>
  <sheetViews>
    <sheetView tabSelected="1" topLeftCell="B22" zoomScale="115" zoomScaleNormal="115" workbookViewId="0">
      <selection activeCell="AK42" sqref="AK42"/>
    </sheetView>
  </sheetViews>
  <sheetFormatPr baseColWidth="10" defaultColWidth="7.109375" defaultRowHeight="13.2" x14ac:dyDescent="0.25"/>
  <cols>
    <col min="1" max="1" width="3.5546875" style="15" customWidth="1"/>
    <col min="2" max="2" width="10.88671875" style="3" customWidth="1"/>
    <col min="3" max="3" width="11" style="16" customWidth="1"/>
    <col min="4" max="4" width="4.33203125" style="17" customWidth="1"/>
    <col min="5" max="5" width="3.88671875" style="3" customWidth="1"/>
    <col min="6" max="6" width="11.109375" style="18" hidden="1" customWidth="1"/>
    <col min="7" max="7" width="15.33203125" style="18" customWidth="1"/>
    <col min="8" max="8" width="4.5546875" style="18" customWidth="1"/>
    <col min="9" max="9" width="3.88671875" style="18" bestFit="1" customWidth="1"/>
    <col min="10" max="10" width="4.5546875" style="30" customWidth="1"/>
    <col min="11" max="11" width="3.88671875" style="31" customWidth="1"/>
    <col min="12" max="12" width="3.5546875" style="31" customWidth="1"/>
    <col min="13" max="13" width="9.88671875" style="19" customWidth="1"/>
    <col min="14" max="14" width="9.5546875" style="19" customWidth="1"/>
    <col min="15" max="15" width="6.33203125" style="19" customWidth="1"/>
    <col min="16" max="16" width="8.33203125" style="19" customWidth="1"/>
    <col min="17" max="18" width="2" style="19" hidden="1" customWidth="1"/>
    <col min="19" max="19" width="9.109375" style="20" hidden="1" customWidth="1"/>
    <col min="20" max="20" width="8.88671875" style="20" customWidth="1"/>
    <col min="21" max="21" width="6.5546875" style="20" customWidth="1"/>
    <col min="22" max="22" width="5.44140625" style="19" customWidth="1"/>
    <col min="23" max="23" width="3.88671875" style="19" customWidth="1"/>
    <col min="24" max="24" width="4" style="19" customWidth="1"/>
    <col min="25" max="25" width="9.6640625" style="19" customWidth="1"/>
    <col min="26" max="26" width="9.44140625" style="19" customWidth="1"/>
    <col min="27" max="27" width="7.6640625" style="19" customWidth="1"/>
    <col min="28" max="28" width="9.44140625" style="19" customWidth="1"/>
    <col min="29" max="29" width="4.33203125" style="19" hidden="1" customWidth="1"/>
    <col min="30" max="30" width="7" style="19" hidden="1" customWidth="1"/>
    <col min="31" max="31" width="4.44140625" style="19" hidden="1" customWidth="1"/>
    <col min="32" max="32" width="6.109375" style="19" customWidth="1"/>
    <col min="33" max="33" width="6" style="19" customWidth="1"/>
    <col min="34" max="34" width="5.109375" style="19" customWidth="1"/>
    <col min="35" max="36" width="3.21875" style="19" customWidth="1"/>
    <col min="37" max="37" width="9.88671875" style="19" customWidth="1"/>
    <col min="38" max="38" width="9.109375" style="19" customWidth="1"/>
    <col min="39" max="39" width="6.6640625" style="19" customWidth="1"/>
    <col min="40" max="40" width="8.44140625" style="19" customWidth="1"/>
    <col min="41" max="41" width="5.6640625" style="19" hidden="1" customWidth="1"/>
    <col min="42" max="42" width="8.88671875" style="21" hidden="1" customWidth="1"/>
    <col min="43" max="43" width="4.5546875" style="9" hidden="1" customWidth="1"/>
    <col min="44" max="44" width="6.109375" style="7" customWidth="1"/>
    <col min="45" max="45" width="6.6640625" style="3" customWidth="1"/>
    <col min="46" max="46" width="15.109375" style="3" customWidth="1"/>
    <col min="47" max="49" width="11.88671875" style="3" customWidth="1"/>
    <col min="50" max="50" width="15.44140625" style="3" customWidth="1"/>
    <col min="51" max="51" width="15" style="15" customWidth="1"/>
    <col min="52" max="53" width="16" style="15" customWidth="1"/>
    <col min="54" max="54" width="15" style="15" bestFit="1" customWidth="1"/>
    <col min="55" max="55" width="15.109375" style="15" customWidth="1"/>
    <col min="56" max="56" width="9" style="15" customWidth="1"/>
    <col min="57" max="57" width="5.5546875" style="15" customWidth="1"/>
    <col min="58" max="58" width="4.33203125" style="15" customWidth="1"/>
    <col min="59" max="59" width="18.33203125" style="15" customWidth="1"/>
    <col min="60" max="60" width="7.109375" style="15" customWidth="1"/>
    <col min="61" max="61" width="6.88671875" style="15" customWidth="1"/>
    <col min="62" max="62" width="9" style="15" customWidth="1"/>
    <col min="63" max="63" width="11" style="15" customWidth="1"/>
    <col min="64" max="64" width="13.109375" style="15" customWidth="1"/>
    <col min="65" max="16384" width="7.109375" style="3"/>
  </cols>
  <sheetData>
    <row r="1" spans="1:64" s="1" customFormat="1" ht="26.25" customHeight="1" thickBot="1" x14ac:dyDescent="0.35">
      <c r="A1" s="49"/>
      <c r="B1" s="50"/>
      <c r="C1" s="50"/>
      <c r="D1" s="51"/>
      <c r="E1" s="303" t="s">
        <v>13</v>
      </c>
      <c r="F1" s="304"/>
      <c r="G1" s="304"/>
      <c r="H1" s="304"/>
      <c r="I1" s="304"/>
      <c r="J1" s="304"/>
      <c r="K1" s="304"/>
      <c r="L1" s="304"/>
      <c r="M1" s="304"/>
      <c r="N1" s="304"/>
      <c r="O1" s="304"/>
      <c r="P1" s="304"/>
      <c r="Q1" s="304"/>
      <c r="R1" s="304"/>
      <c r="S1" s="304"/>
      <c r="T1" s="304"/>
      <c r="U1" s="304"/>
      <c r="V1" s="304"/>
      <c r="W1" s="304"/>
      <c r="X1" s="304"/>
      <c r="Y1" s="304"/>
      <c r="Z1" s="304"/>
      <c r="AA1" s="304"/>
      <c r="AB1" s="304"/>
      <c r="AC1" s="304"/>
      <c r="AD1" s="304"/>
      <c r="AE1" s="304"/>
      <c r="AF1" s="304"/>
      <c r="AG1" s="304"/>
      <c r="AH1" s="304"/>
      <c r="AI1" s="304"/>
      <c r="AJ1" s="304"/>
      <c r="AK1" s="304"/>
      <c r="AL1" s="304"/>
      <c r="AM1" s="304"/>
      <c r="AN1" s="304"/>
      <c r="AO1" s="305"/>
      <c r="AP1" s="300" t="s">
        <v>31</v>
      </c>
      <c r="AQ1" s="301"/>
      <c r="AR1" s="301"/>
      <c r="AS1" s="301"/>
      <c r="AT1" s="302"/>
      <c r="AU1" s="6"/>
      <c r="AV1" s="6"/>
      <c r="AW1" s="6"/>
      <c r="AY1" s="116" t="s">
        <v>32</v>
      </c>
      <c r="AZ1" s="117">
        <v>100</v>
      </c>
      <c r="BA1" s="117">
        <v>125</v>
      </c>
      <c r="BB1" s="117">
        <v>160</v>
      </c>
      <c r="BC1" s="118">
        <v>200</v>
      </c>
      <c r="BD1" s="118">
        <v>400</v>
      </c>
      <c r="BE1" s="119">
        <v>500</v>
      </c>
      <c r="BF1" s="23"/>
      <c r="BG1" s="23"/>
      <c r="BH1" s="23"/>
      <c r="BI1" s="23"/>
      <c r="BJ1" s="24"/>
      <c r="BK1" s="24"/>
      <c r="BL1" s="24"/>
    </row>
    <row r="2" spans="1:64" s="1" customFormat="1" ht="21.75" customHeight="1" thickBot="1" x14ac:dyDescent="0.35">
      <c r="A2" s="52"/>
      <c r="B2" s="53"/>
      <c r="C2" s="53"/>
      <c r="D2" s="54"/>
      <c r="E2" s="306" t="s">
        <v>27</v>
      </c>
      <c r="F2" s="307"/>
      <c r="G2" s="307"/>
      <c r="H2" s="307"/>
      <c r="I2" s="307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7"/>
      <c r="AH2" s="307"/>
      <c r="AI2" s="307"/>
      <c r="AJ2" s="307"/>
      <c r="AK2" s="307"/>
      <c r="AL2" s="307"/>
      <c r="AM2" s="307"/>
      <c r="AN2" s="307"/>
      <c r="AO2" s="308"/>
      <c r="AP2" s="255" t="s">
        <v>46</v>
      </c>
      <c r="AQ2" s="256"/>
      <c r="AR2" s="256"/>
      <c r="AS2" s="256"/>
      <c r="AT2" s="257"/>
      <c r="AU2" s="6"/>
      <c r="AV2" s="6"/>
      <c r="AW2" s="6"/>
      <c r="AY2" s="116" t="s">
        <v>33</v>
      </c>
      <c r="AZ2" s="119">
        <v>1.6</v>
      </c>
      <c r="BA2" s="119">
        <v>2.5</v>
      </c>
      <c r="BB2" s="120">
        <v>4</v>
      </c>
      <c r="BC2" s="119">
        <v>6.3</v>
      </c>
      <c r="BD2" s="119"/>
      <c r="BE2" s="119"/>
      <c r="BF2" s="60"/>
      <c r="BG2" s="23"/>
      <c r="BH2" s="23"/>
      <c r="BI2" s="23"/>
      <c r="BJ2" s="24"/>
      <c r="BK2" s="24"/>
      <c r="BL2" s="24"/>
    </row>
    <row r="3" spans="1:64" s="1" customFormat="1" ht="26.25" customHeight="1" thickBot="1" x14ac:dyDescent="0.35">
      <c r="A3" s="55"/>
      <c r="B3" s="56"/>
      <c r="C3" s="56"/>
      <c r="D3" s="57"/>
      <c r="E3" s="309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  <c r="AD3" s="310"/>
      <c r="AE3" s="310"/>
      <c r="AF3" s="310"/>
      <c r="AG3" s="310"/>
      <c r="AH3" s="310"/>
      <c r="AI3" s="310"/>
      <c r="AJ3" s="310"/>
      <c r="AK3" s="310"/>
      <c r="AL3" s="310"/>
      <c r="AM3" s="310"/>
      <c r="AN3" s="310"/>
      <c r="AO3" s="311"/>
      <c r="AP3" s="258" t="s">
        <v>47</v>
      </c>
      <c r="AQ3" s="259"/>
      <c r="AR3" s="259"/>
      <c r="AS3" s="259"/>
      <c r="AT3" s="260"/>
      <c r="AU3" s="6"/>
      <c r="AV3" s="6"/>
      <c r="AW3" s="6"/>
      <c r="AX3" s="23"/>
      <c r="AY3" s="23"/>
      <c r="AZ3" s="23"/>
      <c r="BA3" s="23"/>
      <c r="BB3" s="23"/>
      <c r="BC3" s="23"/>
      <c r="BD3" s="23"/>
      <c r="BE3" s="23"/>
      <c r="BF3" s="60"/>
      <c r="BG3" s="23"/>
      <c r="BH3" s="23"/>
      <c r="BI3" s="23"/>
      <c r="BJ3" s="24"/>
      <c r="BK3" s="24"/>
      <c r="BL3" s="24"/>
    </row>
    <row r="4" spans="1:64" s="1" customFormat="1" ht="24.75" customHeight="1" thickBot="1" x14ac:dyDescent="0.35">
      <c r="A4" s="296" t="s">
        <v>15</v>
      </c>
      <c r="B4" s="296"/>
      <c r="C4" s="296"/>
      <c r="D4" s="296"/>
      <c r="E4" s="329">
        <v>2.5</v>
      </c>
      <c r="F4" s="329"/>
      <c r="G4" s="329"/>
      <c r="H4" s="329"/>
      <c r="I4" s="329"/>
      <c r="J4" s="297" t="s">
        <v>14</v>
      </c>
      <c r="K4" s="298"/>
      <c r="L4" s="298"/>
      <c r="M4" s="298"/>
      <c r="N4" s="299"/>
      <c r="O4" s="330">
        <v>160</v>
      </c>
      <c r="P4" s="330"/>
      <c r="Q4" s="330"/>
      <c r="R4" s="330"/>
      <c r="S4" s="332" t="s">
        <v>34</v>
      </c>
      <c r="T4" s="333"/>
      <c r="U4" s="333"/>
      <c r="V4" s="333"/>
      <c r="W4" s="333"/>
      <c r="X4" s="333"/>
      <c r="Y4" s="333"/>
      <c r="Z4" s="334"/>
      <c r="AF4" s="331" t="s">
        <v>6</v>
      </c>
      <c r="AG4" s="331"/>
      <c r="AH4" s="335" t="s">
        <v>7</v>
      </c>
      <c r="AI4" s="336"/>
      <c r="AJ4" s="337"/>
      <c r="AK4" s="335" t="s">
        <v>5</v>
      </c>
      <c r="AL4" s="336"/>
      <c r="AM4" s="337"/>
      <c r="AN4" s="338" t="s">
        <v>42</v>
      </c>
      <c r="AO4" s="339"/>
      <c r="AP4" s="340" t="s">
        <v>45</v>
      </c>
      <c r="AQ4" s="341"/>
      <c r="AR4" s="338" t="s">
        <v>44</v>
      </c>
      <c r="AS4" s="339"/>
      <c r="AT4" s="89" t="s">
        <v>45</v>
      </c>
      <c r="AU4" s="6"/>
      <c r="AV4" s="6"/>
      <c r="AW4" s="6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4"/>
      <c r="BK4" s="24"/>
      <c r="BL4" s="24"/>
    </row>
    <row r="5" spans="1:64" s="2" customFormat="1" ht="27" customHeight="1" thickBot="1" x14ac:dyDescent="0.35">
      <c r="A5" s="261" t="s">
        <v>48</v>
      </c>
      <c r="B5" s="261"/>
      <c r="C5" s="261"/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2"/>
      <c r="AF5" s="318" t="s">
        <v>12</v>
      </c>
      <c r="AG5" s="318"/>
      <c r="AH5" s="319" t="s">
        <v>11</v>
      </c>
      <c r="AI5" s="320"/>
      <c r="AJ5" s="321"/>
      <c r="AK5" s="319" t="s">
        <v>20</v>
      </c>
      <c r="AL5" s="320"/>
      <c r="AM5" s="321"/>
      <c r="AN5" s="338" t="s">
        <v>43</v>
      </c>
      <c r="AO5" s="339"/>
      <c r="AP5" s="342" t="s">
        <v>45</v>
      </c>
      <c r="AQ5" s="343"/>
      <c r="AR5" s="338" t="s">
        <v>44</v>
      </c>
      <c r="AS5" s="339"/>
      <c r="AT5" s="89" t="s">
        <v>45</v>
      </c>
      <c r="AU5" s="6"/>
      <c r="AV5" s="6"/>
      <c r="AW5" s="6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4"/>
      <c r="BK5" s="24"/>
      <c r="BL5" s="24"/>
    </row>
    <row r="6" spans="1:64" ht="18.75" customHeight="1" x14ac:dyDescent="0.3">
      <c r="A6" s="271" t="s">
        <v>21</v>
      </c>
      <c r="B6" s="274" t="s">
        <v>23</v>
      </c>
      <c r="C6" s="268" t="s">
        <v>22</v>
      </c>
      <c r="D6" s="277" t="s">
        <v>26</v>
      </c>
      <c r="E6" s="263" t="s">
        <v>30</v>
      </c>
      <c r="F6" s="283" t="s">
        <v>18</v>
      </c>
      <c r="G6" s="266" t="s">
        <v>10</v>
      </c>
      <c r="H6" s="292" t="s">
        <v>17</v>
      </c>
      <c r="I6" s="293"/>
      <c r="J6" s="286">
        <f>+E4*1000</f>
        <v>2500</v>
      </c>
      <c r="K6" s="287"/>
      <c r="L6" s="287"/>
      <c r="M6" s="287"/>
      <c r="N6" s="287"/>
      <c r="O6" s="287"/>
      <c r="P6" s="287"/>
      <c r="Q6" s="287"/>
      <c r="R6" s="287"/>
      <c r="S6" s="287"/>
      <c r="T6" s="287"/>
      <c r="U6" s="288"/>
      <c r="V6" s="323">
        <f>AH6*1.6</f>
        <v>25</v>
      </c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325"/>
      <c r="AH6" s="323">
        <f>J6/O4</f>
        <v>15.625</v>
      </c>
      <c r="AI6" s="324"/>
      <c r="AJ6" s="324"/>
      <c r="AK6" s="324"/>
      <c r="AL6" s="324"/>
      <c r="AM6" s="324"/>
      <c r="AN6" s="324"/>
      <c r="AO6" s="324"/>
      <c r="AP6" s="324"/>
      <c r="AQ6" s="324"/>
      <c r="AR6" s="324"/>
      <c r="AS6" s="325"/>
      <c r="AT6" s="313" t="s">
        <v>4</v>
      </c>
      <c r="AU6" s="7"/>
      <c r="AV6" s="7"/>
      <c r="AW6" s="7"/>
      <c r="AY6" s="23"/>
      <c r="AZ6" s="23"/>
      <c r="BA6" s="23"/>
      <c r="BB6" s="8"/>
      <c r="BC6" s="8"/>
      <c r="BD6" s="8"/>
      <c r="BE6" s="8"/>
      <c r="BF6" s="8"/>
      <c r="BG6" s="8"/>
      <c r="BH6" s="8"/>
      <c r="BI6" s="8"/>
      <c r="BJ6" s="8"/>
    </row>
    <row r="7" spans="1:64" ht="25.5" customHeight="1" x14ac:dyDescent="0.25">
      <c r="A7" s="272"/>
      <c r="B7" s="275"/>
      <c r="C7" s="269"/>
      <c r="D7" s="278"/>
      <c r="E7" s="264"/>
      <c r="F7" s="284"/>
      <c r="G7" s="267"/>
      <c r="H7" s="294"/>
      <c r="I7" s="295"/>
      <c r="J7" s="289" t="s">
        <v>6</v>
      </c>
      <c r="K7" s="290"/>
      <c r="L7" s="290"/>
      <c r="M7" s="290"/>
      <c r="N7" s="290"/>
      <c r="O7" s="290"/>
      <c r="P7" s="290"/>
      <c r="Q7" s="290"/>
      <c r="R7" s="290"/>
      <c r="S7" s="290"/>
      <c r="T7" s="290"/>
      <c r="U7" s="291"/>
      <c r="V7" s="280" t="s">
        <v>7</v>
      </c>
      <c r="W7" s="281"/>
      <c r="X7" s="281"/>
      <c r="Y7" s="281"/>
      <c r="Z7" s="281"/>
      <c r="AA7" s="281"/>
      <c r="AB7" s="281"/>
      <c r="AC7" s="281"/>
      <c r="AD7" s="281"/>
      <c r="AE7" s="281"/>
      <c r="AF7" s="281"/>
      <c r="AG7" s="282"/>
      <c r="AH7" s="280" t="s">
        <v>5</v>
      </c>
      <c r="AI7" s="281"/>
      <c r="AJ7" s="281"/>
      <c r="AK7" s="281"/>
      <c r="AL7" s="281"/>
      <c r="AM7" s="281"/>
      <c r="AN7" s="281"/>
      <c r="AO7" s="281"/>
      <c r="AP7" s="281"/>
      <c r="AQ7" s="281"/>
      <c r="AR7" s="281"/>
      <c r="AS7" s="282"/>
      <c r="AT7" s="314"/>
      <c r="AU7" s="7"/>
      <c r="AV7" s="7"/>
      <c r="AW7" s="7"/>
      <c r="AX7" s="7"/>
      <c r="AY7" s="316" t="s">
        <v>19</v>
      </c>
      <c r="AZ7" s="317"/>
      <c r="BA7" s="317"/>
      <c r="BB7" s="8"/>
      <c r="BC7" s="8"/>
      <c r="BD7" s="8"/>
      <c r="BE7" s="8"/>
      <c r="BF7" s="8"/>
      <c r="BG7" s="8"/>
      <c r="BH7" s="8"/>
      <c r="BI7" s="8"/>
      <c r="BJ7" s="8"/>
    </row>
    <row r="8" spans="1:64" s="4" customFormat="1" ht="83.25" customHeight="1" thickBot="1" x14ac:dyDescent="0.3">
      <c r="A8" s="273"/>
      <c r="B8" s="276"/>
      <c r="C8" s="270"/>
      <c r="D8" s="279"/>
      <c r="E8" s="265"/>
      <c r="F8" s="285"/>
      <c r="G8" s="267"/>
      <c r="H8" s="104" t="s">
        <v>16</v>
      </c>
      <c r="I8" s="105" t="s">
        <v>4</v>
      </c>
      <c r="J8" s="106" t="s">
        <v>8</v>
      </c>
      <c r="K8" s="107" t="s">
        <v>24</v>
      </c>
      <c r="L8" s="107" t="s">
        <v>25</v>
      </c>
      <c r="M8" s="108" t="s">
        <v>0</v>
      </c>
      <c r="N8" s="108" t="s">
        <v>1</v>
      </c>
      <c r="O8" s="103" t="s">
        <v>2</v>
      </c>
      <c r="P8" s="326" t="s">
        <v>9</v>
      </c>
      <c r="Q8" s="327"/>
      <c r="R8" s="327"/>
      <c r="S8" s="328"/>
      <c r="T8" s="109" t="s">
        <v>6</v>
      </c>
      <c r="U8" s="110" t="s">
        <v>3</v>
      </c>
      <c r="V8" s="106" t="s">
        <v>8</v>
      </c>
      <c r="W8" s="107" t="s">
        <v>24</v>
      </c>
      <c r="X8" s="107" t="s">
        <v>25</v>
      </c>
      <c r="Y8" s="108" t="s">
        <v>0</v>
      </c>
      <c r="Z8" s="108" t="s">
        <v>1</v>
      </c>
      <c r="AA8" s="103" t="s">
        <v>2</v>
      </c>
      <c r="AB8" s="322" t="s">
        <v>9</v>
      </c>
      <c r="AC8" s="322"/>
      <c r="AD8" s="322"/>
      <c r="AE8" s="322"/>
      <c r="AF8" s="109" t="s">
        <v>7</v>
      </c>
      <c r="AG8" s="110" t="s">
        <v>3</v>
      </c>
      <c r="AH8" s="106" t="s">
        <v>8</v>
      </c>
      <c r="AI8" s="107" t="s">
        <v>24</v>
      </c>
      <c r="AJ8" s="107" t="s">
        <v>25</v>
      </c>
      <c r="AK8" s="108" t="s">
        <v>0</v>
      </c>
      <c r="AL8" s="108" t="s">
        <v>1</v>
      </c>
      <c r="AM8" s="103" t="s">
        <v>2</v>
      </c>
      <c r="AN8" s="322" t="s">
        <v>9</v>
      </c>
      <c r="AO8" s="322"/>
      <c r="AP8" s="322"/>
      <c r="AQ8" s="322"/>
      <c r="AR8" s="109" t="s">
        <v>5</v>
      </c>
      <c r="AS8" s="110" t="s">
        <v>3</v>
      </c>
      <c r="AT8" s="315"/>
      <c r="AU8" s="8"/>
      <c r="AV8" s="8"/>
      <c r="AW8" s="8"/>
      <c r="AX8" s="27" t="s">
        <v>28</v>
      </c>
      <c r="AY8" s="29" t="s">
        <v>5</v>
      </c>
      <c r="AZ8" s="29" t="s">
        <v>7</v>
      </c>
      <c r="BA8" s="29" t="s">
        <v>6</v>
      </c>
      <c r="BB8" s="312" t="s">
        <v>29</v>
      </c>
      <c r="BC8" s="312"/>
      <c r="BD8" s="312"/>
      <c r="BE8" s="312"/>
      <c r="BF8" s="312"/>
      <c r="BG8" s="312"/>
      <c r="BH8" s="312"/>
      <c r="BI8" s="312"/>
      <c r="BJ8" s="312"/>
      <c r="BK8" s="312"/>
      <c r="BL8" s="312"/>
    </row>
    <row r="9" spans="1:64" ht="15" customHeight="1" x14ac:dyDescent="0.3">
      <c r="A9" s="91">
        <v>1</v>
      </c>
      <c r="B9" s="92">
        <v>45920</v>
      </c>
      <c r="C9" s="92">
        <f>B9</f>
        <v>45920</v>
      </c>
      <c r="D9" s="93">
        <v>3</v>
      </c>
      <c r="E9" s="94">
        <v>8</v>
      </c>
      <c r="F9" s="46"/>
      <c r="G9" s="157" t="s">
        <v>53</v>
      </c>
      <c r="H9" s="95">
        <v>25.6</v>
      </c>
      <c r="I9" s="111">
        <v>0</v>
      </c>
      <c r="J9" s="112">
        <v>21</v>
      </c>
      <c r="K9" s="121">
        <v>8.49</v>
      </c>
      <c r="L9" s="121">
        <v>0.54900000000000004</v>
      </c>
      <c r="M9" s="96">
        <v>244.48</v>
      </c>
      <c r="N9" s="96">
        <v>344.05</v>
      </c>
      <c r="O9" s="113">
        <v>100.69</v>
      </c>
      <c r="P9" s="114" t="s">
        <v>101</v>
      </c>
      <c r="Q9" s="97" t="str">
        <f>LEFT(P9,1)</f>
        <v>2</v>
      </c>
      <c r="R9" s="97" t="str">
        <f>RIGHT(P9,6)</f>
        <v>30,160</v>
      </c>
      <c r="S9" s="97">
        <f>+(Q9*60+R9)/(60*60)</f>
        <v>4.1711111111111109E-2</v>
      </c>
      <c r="T9" s="98">
        <f>+O9/S9</f>
        <v>2413.9850825785829</v>
      </c>
      <c r="U9" s="99">
        <f t="shared" ref="U9:U18" si="0">+(((N9-M9-O9)/O9)*100)</f>
        <v>-1.1123249577912169</v>
      </c>
      <c r="V9" s="115">
        <v>20.5</v>
      </c>
      <c r="W9" s="123">
        <v>1.1020000000000001</v>
      </c>
      <c r="X9" s="123">
        <v>1.0940000000000001</v>
      </c>
      <c r="Y9" s="96">
        <v>371.08</v>
      </c>
      <c r="Z9" s="96">
        <v>381.03</v>
      </c>
      <c r="AA9" s="156">
        <v>10.01</v>
      </c>
      <c r="AB9" s="114" t="s">
        <v>102</v>
      </c>
      <c r="AC9" s="97" t="str">
        <f>LEFT(AB9,2)</f>
        <v>22</v>
      </c>
      <c r="AD9" s="97" t="str">
        <f>RIGHT(AB9,6)</f>
        <v>55,230</v>
      </c>
      <c r="AE9" s="97">
        <f>+(AC9*60+AD9)/(60*60)</f>
        <v>0.38200833333333334</v>
      </c>
      <c r="AF9" s="98">
        <f t="shared" ref="AF9:AF18" si="1">+AA9/AE9</f>
        <v>26.203616849545167</v>
      </c>
      <c r="AG9" s="100">
        <f>+(((Z9-Y9-AA9)/AA9)*100)</f>
        <v>-0.59940059940071089</v>
      </c>
      <c r="AH9" s="115">
        <v>21</v>
      </c>
      <c r="AI9" s="123">
        <v>1.0980000000000001</v>
      </c>
      <c r="AJ9" s="123">
        <v>1.0880000000000001</v>
      </c>
      <c r="AK9" s="96">
        <f>Z9</f>
        <v>381.03</v>
      </c>
      <c r="AL9" s="96">
        <v>386.02</v>
      </c>
      <c r="AM9" s="101">
        <v>5.0090000000000003</v>
      </c>
      <c r="AN9" s="114" t="s">
        <v>103</v>
      </c>
      <c r="AO9" s="97" t="str">
        <f>LEFT(AN9,2)</f>
        <v>18</v>
      </c>
      <c r="AP9" s="97" t="str">
        <f>RIGHT(AN9,6)</f>
        <v>15,540</v>
      </c>
      <c r="AQ9" s="97">
        <f>+(AO9*60+AP9)/(60*60)</f>
        <v>0.30431666666666668</v>
      </c>
      <c r="AR9" s="98">
        <f t="shared" ref="AR9:AR18" si="2">+AM9/AQ9</f>
        <v>16.459828030012599</v>
      </c>
      <c r="AS9" s="100">
        <f t="shared" ref="AS9:AS18" si="3">+(((AL9-AK9-AM9)/AM9)*100)</f>
        <v>-0.37931722898764714</v>
      </c>
      <c r="AT9" s="102" t="str">
        <f t="shared" ref="AT9:AT18" si="4">IF(I9&gt;=1,"NO CONFORME",IF(BK9="SIGDIFERENTES",BC9,BL9))</f>
        <v>CONFORME</v>
      </c>
      <c r="AU9" s="8" t="b">
        <f>B9&lt;=C9</f>
        <v>1</v>
      </c>
      <c r="AV9" s="8" t="b">
        <f>N9&lt;Y9</f>
        <v>1</v>
      </c>
      <c r="AW9" s="8" t="b">
        <f>Z9&lt;=AK9</f>
        <v>1</v>
      </c>
      <c r="AX9" s="8" t="str">
        <f>IF(I9&gt;=1,"Qcorrecto",IF(AND(AY9="aceptable",AZ9="aceptable",BA9="aceptable"),"Qcorrecto","Qincorrecto"))</f>
        <v>Qcorrecto</v>
      </c>
      <c r="AY9" s="22" t="str">
        <f t="shared" ref="AY9:AY73" si="5">IF(AR9&lt;$AH$6,"error",IF(AR9&gt;$AH$6*1.1,"error","aceptable"))</f>
        <v>aceptable</v>
      </c>
      <c r="AZ9" s="22" t="str">
        <f t="shared" ref="AZ9:AZ73" si="6">IF(AF9&lt;$V$6,"error",IF(AF9&gt;$V$6*1.1,"error","aceptable"))</f>
        <v>aceptable</v>
      </c>
      <c r="BA9" s="22" t="str">
        <f>IF(T9&lt;$J$6*0.9,"error",IF(T9&gt;$J$6,"error","aceptable"))</f>
        <v>aceptable</v>
      </c>
      <c r="BB9" s="25" t="str">
        <f>(IF(ABS(U9)&lt;1.05,"CONFORME",IF(ABS(AG9)&lt;1.05,"CONFORME",IF(ABS(AS9)&lt;2.55,"CONFORME","NO CONFORME"))))</f>
        <v>CONFORME</v>
      </c>
      <c r="BC9" s="5" t="str">
        <f>(IF(ABS(U9)&gt;2.05,"NO CONFORME",IF(ABS(AG9)&gt;2.05,"NO CONFORME",IF(ABS(AS9)&gt;5.05,"NO CONFORME","CONFORME"))))</f>
        <v>CONFORME</v>
      </c>
      <c r="BD9" s="15">
        <f t="shared" ref="BD9:BD73" si="7">SIGN(U9)</f>
        <v>-1</v>
      </c>
      <c r="BE9" s="15">
        <f t="shared" ref="BE9:BE73" si="8">SIGN(AG9)</f>
        <v>-1</v>
      </c>
      <c r="BF9" s="15">
        <f t="shared" ref="BF9:BF73" si="9">SIGN(AS9)</f>
        <v>-1</v>
      </c>
      <c r="BG9" s="15" t="str">
        <f t="shared" ref="BG9:BG73" si="10">CONCATENATE(BD9,BE9,BF9)</f>
        <v>-1-1-1</v>
      </c>
      <c r="BH9" s="15" t="str">
        <f t="shared" ref="BH9:BH73" si="11">IF(BG9="111","SI","SD")</f>
        <v>SD</v>
      </c>
      <c r="BI9" s="15" t="str">
        <f t="shared" ref="BI9:BI73" si="12">IF(BG9="-1-1-1","SI","SD")</f>
        <v>SI</v>
      </c>
      <c r="BJ9" s="15" t="b">
        <f t="shared" ref="BJ9:BJ73" si="13">OR(BH9="SI",BI9="SI")</f>
        <v>1</v>
      </c>
      <c r="BK9" s="15" t="str">
        <f t="shared" ref="BK9:BK73" si="14">IF(BJ9=FALSE,"SIGDIFERENTES","SIGIGUALES")</f>
        <v>SIGIGUALES</v>
      </c>
      <c r="BL9" s="26" t="str">
        <f t="shared" ref="BL9:BL73" si="15">IF(BC9="NO CONFORME","NO CONFORME",IF(BB9="CONFORME","CONFORME","NO CONFORME"))</f>
        <v>CONFORME</v>
      </c>
    </row>
    <row r="10" spans="1:64" ht="15" customHeight="1" x14ac:dyDescent="0.3">
      <c r="A10" s="91">
        <v>2</v>
      </c>
      <c r="B10" s="28">
        <f>B9</f>
        <v>45920</v>
      </c>
      <c r="C10" s="28">
        <f>C9</f>
        <v>45920</v>
      </c>
      <c r="D10" s="12">
        <f>D9</f>
        <v>3</v>
      </c>
      <c r="E10" s="10">
        <f>E9</f>
        <v>8</v>
      </c>
      <c r="F10" s="13"/>
      <c r="G10" s="157" t="s">
        <v>54</v>
      </c>
      <c r="H10" s="70">
        <f>H9</f>
        <v>25.6</v>
      </c>
      <c r="I10" s="36">
        <f>I9</f>
        <v>0</v>
      </c>
      <c r="J10" s="35">
        <f>J9</f>
        <v>21</v>
      </c>
      <c r="K10" s="122">
        <f>K9</f>
        <v>8.49</v>
      </c>
      <c r="L10" s="122">
        <f>L9</f>
        <v>0.54900000000000004</v>
      </c>
      <c r="M10" s="41">
        <v>205.75</v>
      </c>
      <c r="N10" s="41">
        <v>305.33999999999997</v>
      </c>
      <c r="O10" s="32">
        <f>O9</f>
        <v>100.69</v>
      </c>
      <c r="P10" s="33" t="str">
        <f>P9</f>
        <v>2,30,160</v>
      </c>
      <c r="Q10" s="11" t="str">
        <f t="shared" ref="Q10:Q18" si="16">LEFT(P10,1)</f>
        <v>2</v>
      </c>
      <c r="R10" s="11" t="str">
        <f t="shared" ref="R10:R18" si="17">RIGHT(P10,6)</f>
        <v>30,160</v>
      </c>
      <c r="S10" s="11">
        <f t="shared" ref="S10:S18" si="18">+(Q10*60+R10)/(60*60)</f>
        <v>4.1711111111111109E-2</v>
      </c>
      <c r="T10" s="14">
        <f t="shared" ref="T10:T18" si="19">+O10/S10</f>
        <v>2413.9850825785829</v>
      </c>
      <c r="U10" s="37">
        <f t="shared" si="0"/>
        <v>-1.0924620121164195</v>
      </c>
      <c r="V10" s="38">
        <f>V9</f>
        <v>20.5</v>
      </c>
      <c r="W10" s="124">
        <f>W9</f>
        <v>1.1020000000000001</v>
      </c>
      <c r="X10" s="124">
        <f t="shared" ref="X10:X74" si="20">X9</f>
        <v>1.0940000000000001</v>
      </c>
      <c r="Y10" s="41">
        <v>332.45</v>
      </c>
      <c r="Z10" s="41">
        <v>342.46</v>
      </c>
      <c r="AA10" s="90">
        <f>AA9</f>
        <v>10.01</v>
      </c>
      <c r="AB10" s="73" t="str">
        <f>AB9</f>
        <v>22,55,230</v>
      </c>
      <c r="AC10" s="11" t="str">
        <f t="shared" ref="AC10:AC18" si="21">LEFT(AB10,2)</f>
        <v>22</v>
      </c>
      <c r="AD10" s="11" t="str">
        <f t="shared" ref="AD10:AD18" si="22">RIGHT(AB10,6)</f>
        <v>55,230</v>
      </c>
      <c r="AE10" s="11">
        <f t="shared" ref="AE10:AE18" si="23">+(AC10*60+AD10)/(60*60)</f>
        <v>0.38200833333333334</v>
      </c>
      <c r="AF10" s="14">
        <f t="shared" si="1"/>
        <v>26.203616849545167</v>
      </c>
      <c r="AG10" s="39">
        <f>+(((Z10-Y10-AA10)/AA10)*100)</f>
        <v>-8.872911285715537E-14</v>
      </c>
      <c r="AH10" s="38">
        <f>AH9</f>
        <v>21</v>
      </c>
      <c r="AI10" s="124">
        <f>AI9</f>
        <v>1.0980000000000001</v>
      </c>
      <c r="AJ10" s="124">
        <f t="shared" ref="AJ10:AJ74" si="24">AJ9</f>
        <v>1.0880000000000001</v>
      </c>
      <c r="AK10" s="41">
        <f>Z10</f>
        <v>342.46</v>
      </c>
      <c r="AL10" s="41">
        <v>347.51</v>
      </c>
      <c r="AM10" s="34">
        <f>AM9</f>
        <v>5.0090000000000003</v>
      </c>
      <c r="AN10" s="33" t="str">
        <f>AN9</f>
        <v>18,15,540</v>
      </c>
      <c r="AO10" s="11" t="str">
        <f t="shared" ref="AO10:AO18" si="25">LEFT(AN10,2)</f>
        <v>18</v>
      </c>
      <c r="AP10" s="11" t="str">
        <f t="shared" ref="AP10:AP18" si="26">RIGHT(AN10,6)</f>
        <v>15,540</v>
      </c>
      <c r="AQ10" s="11">
        <f t="shared" ref="AQ10:AQ18" si="27">+(AO10*60+AP10)/(60*60)</f>
        <v>0.30431666666666668</v>
      </c>
      <c r="AR10" s="14">
        <f t="shared" si="2"/>
        <v>16.459828030012599</v>
      </c>
      <c r="AS10" s="39">
        <f t="shared" si="3"/>
        <v>0.8185266520265726</v>
      </c>
      <c r="AT10" s="40" t="str">
        <f t="shared" si="4"/>
        <v>CONFORME</v>
      </c>
      <c r="AU10" s="8" t="b">
        <f t="shared" ref="AU10:AU74" si="28">B10&lt;=C10</f>
        <v>1</v>
      </c>
      <c r="AV10" s="8" t="b">
        <f t="shared" ref="AV10:AV74" si="29">N10&lt;Y10</f>
        <v>1</v>
      </c>
      <c r="AW10" s="8" t="b">
        <f t="shared" ref="AW10:AW74" si="30">Z10&lt;=AK10</f>
        <v>1</v>
      </c>
      <c r="AX10" s="8" t="str">
        <f t="shared" ref="AX10:AX74" si="31">IF(I10&gt;=1,"Qcorrecto",IF(AND(AY10="aceptable",AZ10="aceptable",BA10="aceptable"),"Qcorrecto","Qincorrecto"))</f>
        <v>Qcorrecto</v>
      </c>
      <c r="AY10" s="22" t="str">
        <f t="shared" si="5"/>
        <v>aceptable</v>
      </c>
      <c r="AZ10" s="22" t="str">
        <f t="shared" si="6"/>
        <v>aceptable</v>
      </c>
      <c r="BA10" s="22" t="str">
        <f t="shared" ref="BA10:BA74" si="32">IF(T10&lt;$J$6*0.9,"error",IF(T10&gt;$J$6,"error","aceptable"))</f>
        <v>aceptable</v>
      </c>
      <c r="BB10" s="25" t="str">
        <f t="shared" ref="BB10:BB74" si="33">(IF(ABS(U10)&lt;1.05,"CONFORME",IF(ABS(AG10)&lt;1.05,"CONFORME",IF(ABS(AS10)&lt;2.55,"CONFORME","NO CONFORME"))))</f>
        <v>CONFORME</v>
      </c>
      <c r="BC10" s="5" t="str">
        <f t="shared" ref="BC10:BC74" si="34">(IF(ABS(U10)&gt;2.05,"NO CONFORME",IF(ABS(AG10)&gt;2.05,"NO CONFORME",IF(ABS(AS10)&gt;5.05,"NO CONFORME","CONFORME"))))</f>
        <v>CONFORME</v>
      </c>
      <c r="BD10" s="15">
        <f t="shared" si="7"/>
        <v>-1</v>
      </c>
      <c r="BE10" s="15">
        <f t="shared" si="8"/>
        <v>-1</v>
      </c>
      <c r="BF10" s="15">
        <f t="shared" si="9"/>
        <v>1</v>
      </c>
      <c r="BG10" s="15" t="str">
        <f t="shared" si="10"/>
        <v>-1-11</v>
      </c>
      <c r="BH10" s="15" t="str">
        <f t="shared" si="11"/>
        <v>SD</v>
      </c>
      <c r="BI10" s="15" t="str">
        <f t="shared" si="12"/>
        <v>SD</v>
      </c>
      <c r="BJ10" s="15" t="b">
        <f t="shared" si="13"/>
        <v>0</v>
      </c>
      <c r="BK10" s="15" t="str">
        <f t="shared" si="14"/>
        <v>SIGDIFERENTES</v>
      </c>
      <c r="BL10" s="22" t="str">
        <f t="shared" si="15"/>
        <v>CONFORME</v>
      </c>
    </row>
    <row r="11" spans="1:64" ht="15" customHeight="1" x14ac:dyDescent="0.3">
      <c r="A11" s="91">
        <v>3</v>
      </c>
      <c r="B11" s="28">
        <f t="shared" ref="B11:E18" si="35">B10</f>
        <v>45920</v>
      </c>
      <c r="C11" s="28">
        <f t="shared" si="35"/>
        <v>45920</v>
      </c>
      <c r="D11" s="12">
        <f t="shared" si="35"/>
        <v>3</v>
      </c>
      <c r="E11" s="10">
        <f t="shared" si="35"/>
        <v>8</v>
      </c>
      <c r="F11" s="13"/>
      <c r="G11" s="157" t="s">
        <v>55</v>
      </c>
      <c r="H11" s="70">
        <f t="shared" ref="H11:L18" si="36">H10</f>
        <v>25.6</v>
      </c>
      <c r="I11" s="36">
        <f t="shared" si="36"/>
        <v>0</v>
      </c>
      <c r="J11" s="35">
        <f t="shared" si="36"/>
        <v>21</v>
      </c>
      <c r="K11" s="122">
        <f t="shared" si="36"/>
        <v>8.49</v>
      </c>
      <c r="L11" s="122">
        <f t="shared" si="36"/>
        <v>0.54900000000000004</v>
      </c>
      <c r="M11" s="41">
        <v>206.81</v>
      </c>
      <c r="N11" s="41">
        <v>307</v>
      </c>
      <c r="O11" s="32">
        <f t="shared" ref="O11:P18" si="37">O10</f>
        <v>100.69</v>
      </c>
      <c r="P11" s="33" t="str">
        <f t="shared" si="37"/>
        <v>2,30,160</v>
      </c>
      <c r="Q11" s="11" t="str">
        <f t="shared" si="16"/>
        <v>2</v>
      </c>
      <c r="R11" s="11" t="str">
        <f t="shared" si="17"/>
        <v>30,160</v>
      </c>
      <c r="S11" s="11">
        <f t="shared" si="18"/>
        <v>4.1711111111111109E-2</v>
      </c>
      <c r="T11" s="14">
        <f t="shared" si="19"/>
        <v>2413.9850825785829</v>
      </c>
      <c r="U11" s="37">
        <f t="shared" si="0"/>
        <v>-0.49657364187108949</v>
      </c>
      <c r="V11" s="38">
        <f t="shared" ref="V11:W18" si="38">V10</f>
        <v>20.5</v>
      </c>
      <c r="W11" s="124">
        <f t="shared" si="38"/>
        <v>1.1020000000000001</v>
      </c>
      <c r="X11" s="124">
        <f t="shared" si="20"/>
        <v>1.0940000000000001</v>
      </c>
      <c r="Y11" s="41">
        <v>334.16</v>
      </c>
      <c r="Z11" s="41">
        <v>344.16</v>
      </c>
      <c r="AA11" s="90">
        <f t="shared" ref="AA11:AB18" si="39">AA10</f>
        <v>10.01</v>
      </c>
      <c r="AB11" s="73" t="str">
        <f>AB10</f>
        <v>22,55,230</v>
      </c>
      <c r="AC11" s="11" t="str">
        <f t="shared" si="21"/>
        <v>22</v>
      </c>
      <c r="AD11" s="11" t="str">
        <f t="shared" si="22"/>
        <v>55,230</v>
      </c>
      <c r="AE11" s="11">
        <f t="shared" si="23"/>
        <v>0.38200833333333334</v>
      </c>
      <c r="AF11" s="14">
        <f t="shared" si="1"/>
        <v>26.203616849545167</v>
      </c>
      <c r="AG11" s="39">
        <f t="shared" ref="AG11:AG18" si="40">+(((Z11-Y11-AA11)/AA11)*100)</f>
        <v>-9.990009990009778E-2</v>
      </c>
      <c r="AH11" s="38">
        <f t="shared" ref="AH11:AI20" si="41">AH10</f>
        <v>21</v>
      </c>
      <c r="AI11" s="124">
        <f t="shared" si="41"/>
        <v>1.0980000000000001</v>
      </c>
      <c r="AJ11" s="124">
        <f t="shared" si="24"/>
        <v>1.0880000000000001</v>
      </c>
      <c r="AK11" s="41">
        <f t="shared" ref="AK11:AK18" si="42">Z11</f>
        <v>344.16</v>
      </c>
      <c r="AL11" s="41">
        <v>349.19</v>
      </c>
      <c r="AM11" s="34">
        <f t="shared" ref="AM11:AN18" si="43">AM10</f>
        <v>5.0090000000000003</v>
      </c>
      <c r="AN11" s="33" t="str">
        <f t="shared" si="43"/>
        <v>18,15,540</v>
      </c>
      <c r="AO11" s="11" t="str">
        <f t="shared" si="25"/>
        <v>18</v>
      </c>
      <c r="AP11" s="11" t="str">
        <f t="shared" si="26"/>
        <v>15,540</v>
      </c>
      <c r="AQ11" s="11">
        <f t="shared" si="27"/>
        <v>0.30431666666666668</v>
      </c>
      <c r="AR11" s="14">
        <f t="shared" si="2"/>
        <v>16.459828030012599</v>
      </c>
      <c r="AS11" s="39">
        <f t="shared" si="3"/>
        <v>0.41924535835440957</v>
      </c>
      <c r="AT11" s="40" t="str">
        <f t="shared" si="4"/>
        <v>CONFORME</v>
      </c>
      <c r="AU11" s="8" t="b">
        <f t="shared" si="28"/>
        <v>1</v>
      </c>
      <c r="AV11" s="8" t="b">
        <f t="shared" si="29"/>
        <v>1</v>
      </c>
      <c r="AW11" s="8" t="b">
        <f t="shared" si="30"/>
        <v>1</v>
      </c>
      <c r="AX11" s="8" t="str">
        <f t="shared" si="31"/>
        <v>Qcorrecto</v>
      </c>
      <c r="AY11" s="22" t="str">
        <f t="shared" si="5"/>
        <v>aceptable</v>
      </c>
      <c r="AZ11" s="22" t="str">
        <f t="shared" si="6"/>
        <v>aceptable</v>
      </c>
      <c r="BA11" s="22" t="str">
        <f t="shared" si="32"/>
        <v>aceptable</v>
      </c>
      <c r="BB11" s="25" t="str">
        <f t="shared" si="33"/>
        <v>CONFORME</v>
      </c>
      <c r="BC11" s="5" t="str">
        <f t="shared" si="34"/>
        <v>CONFORME</v>
      </c>
      <c r="BD11" s="15">
        <f t="shared" si="7"/>
        <v>-1</v>
      </c>
      <c r="BE11" s="15">
        <f t="shared" si="8"/>
        <v>-1</v>
      </c>
      <c r="BF11" s="15">
        <f t="shared" si="9"/>
        <v>1</v>
      </c>
      <c r="BG11" s="15" t="str">
        <f t="shared" si="10"/>
        <v>-1-11</v>
      </c>
      <c r="BH11" s="15" t="str">
        <f t="shared" si="11"/>
        <v>SD</v>
      </c>
      <c r="BI11" s="15" t="str">
        <f t="shared" si="12"/>
        <v>SD</v>
      </c>
      <c r="BJ11" s="15" t="b">
        <f t="shared" si="13"/>
        <v>0</v>
      </c>
      <c r="BK11" s="15" t="str">
        <f t="shared" si="14"/>
        <v>SIGDIFERENTES</v>
      </c>
      <c r="BL11" s="22" t="str">
        <f t="shared" si="15"/>
        <v>CONFORME</v>
      </c>
    </row>
    <row r="12" spans="1:64" ht="15" customHeight="1" x14ac:dyDescent="0.3">
      <c r="A12" s="91">
        <v>4</v>
      </c>
      <c r="B12" s="28">
        <f t="shared" si="35"/>
        <v>45920</v>
      </c>
      <c r="C12" s="28">
        <f t="shared" si="35"/>
        <v>45920</v>
      </c>
      <c r="D12" s="12">
        <f t="shared" si="35"/>
        <v>3</v>
      </c>
      <c r="E12" s="10">
        <f t="shared" si="35"/>
        <v>8</v>
      </c>
      <c r="F12" s="13"/>
      <c r="G12" s="157" t="s">
        <v>56</v>
      </c>
      <c r="H12" s="70">
        <f t="shared" si="36"/>
        <v>25.6</v>
      </c>
      <c r="I12" s="36">
        <f t="shared" si="36"/>
        <v>0</v>
      </c>
      <c r="J12" s="35">
        <f t="shared" si="36"/>
        <v>21</v>
      </c>
      <c r="K12" s="122">
        <f t="shared" si="36"/>
        <v>8.49</v>
      </c>
      <c r="L12" s="122">
        <f t="shared" si="36"/>
        <v>0.54900000000000004</v>
      </c>
      <c r="M12" s="41">
        <v>246.14</v>
      </c>
      <c r="N12" s="41">
        <v>346.37</v>
      </c>
      <c r="O12" s="32">
        <f t="shared" si="37"/>
        <v>100.69</v>
      </c>
      <c r="P12" s="33" t="str">
        <f t="shared" si="37"/>
        <v>2,30,160</v>
      </c>
      <c r="Q12" s="11" t="str">
        <f t="shared" si="16"/>
        <v>2</v>
      </c>
      <c r="R12" s="11" t="str">
        <f t="shared" si="17"/>
        <v>30,160</v>
      </c>
      <c r="S12" s="11">
        <f t="shared" si="18"/>
        <v>4.1711111111111109E-2</v>
      </c>
      <c r="T12" s="14">
        <f t="shared" si="19"/>
        <v>2413.9850825785829</v>
      </c>
      <c r="U12" s="37">
        <f t="shared" si="0"/>
        <v>-0.45684775052138199</v>
      </c>
      <c r="V12" s="38">
        <f t="shared" si="38"/>
        <v>20.5</v>
      </c>
      <c r="W12" s="124">
        <f t="shared" si="38"/>
        <v>1.1020000000000001</v>
      </c>
      <c r="X12" s="124">
        <f t="shared" si="20"/>
        <v>1.0940000000000001</v>
      </c>
      <c r="Y12" s="41">
        <v>373.53</v>
      </c>
      <c r="Z12" s="41">
        <v>383.5</v>
      </c>
      <c r="AA12" s="90">
        <f t="shared" si="39"/>
        <v>10.01</v>
      </c>
      <c r="AB12" s="73" t="str">
        <f t="shared" si="39"/>
        <v>22,55,230</v>
      </c>
      <c r="AC12" s="11" t="str">
        <f t="shared" si="21"/>
        <v>22</v>
      </c>
      <c r="AD12" s="11" t="str">
        <f t="shared" si="22"/>
        <v>55,230</v>
      </c>
      <c r="AE12" s="11">
        <f t="shared" si="23"/>
        <v>0.38200833333333334</v>
      </c>
      <c r="AF12" s="14">
        <f t="shared" si="1"/>
        <v>26.203616849545167</v>
      </c>
      <c r="AG12" s="39">
        <f t="shared" si="40"/>
        <v>-0.39960039960012489</v>
      </c>
      <c r="AH12" s="38">
        <f t="shared" si="41"/>
        <v>21</v>
      </c>
      <c r="AI12" s="124">
        <f t="shared" si="41"/>
        <v>1.0980000000000001</v>
      </c>
      <c r="AJ12" s="124">
        <f t="shared" si="24"/>
        <v>1.0880000000000001</v>
      </c>
      <c r="AK12" s="41">
        <f t="shared" si="42"/>
        <v>383.5</v>
      </c>
      <c r="AL12" s="41">
        <v>388.51</v>
      </c>
      <c r="AM12" s="34">
        <f t="shared" si="43"/>
        <v>5.0090000000000003</v>
      </c>
      <c r="AN12" s="33" t="str">
        <f t="shared" si="43"/>
        <v>18,15,540</v>
      </c>
      <c r="AO12" s="11" t="str">
        <f t="shared" si="25"/>
        <v>18</v>
      </c>
      <c r="AP12" s="11" t="str">
        <f t="shared" si="26"/>
        <v>15,540</v>
      </c>
      <c r="AQ12" s="11">
        <f t="shared" si="27"/>
        <v>0.30431666666666668</v>
      </c>
      <c r="AR12" s="14">
        <f t="shared" si="2"/>
        <v>16.459828030012599</v>
      </c>
      <c r="AS12" s="39">
        <f t="shared" si="3"/>
        <v>1.9964064683381192E-2</v>
      </c>
      <c r="AT12" s="40" t="str">
        <f t="shared" si="4"/>
        <v>CONFORME</v>
      </c>
      <c r="AU12" s="8" t="b">
        <f t="shared" si="28"/>
        <v>1</v>
      </c>
      <c r="AV12" s="8" t="b">
        <f t="shared" si="29"/>
        <v>1</v>
      </c>
      <c r="AW12" s="8" t="b">
        <f t="shared" si="30"/>
        <v>1</v>
      </c>
      <c r="AX12" s="8" t="str">
        <f t="shared" si="31"/>
        <v>Qcorrecto</v>
      </c>
      <c r="AY12" s="22" t="str">
        <f t="shared" si="5"/>
        <v>aceptable</v>
      </c>
      <c r="AZ12" s="22" t="str">
        <f t="shared" si="6"/>
        <v>aceptable</v>
      </c>
      <c r="BA12" s="22" t="str">
        <f t="shared" si="32"/>
        <v>aceptable</v>
      </c>
      <c r="BB12" s="25" t="str">
        <f t="shared" si="33"/>
        <v>CONFORME</v>
      </c>
      <c r="BC12" s="5" t="str">
        <f t="shared" si="34"/>
        <v>CONFORME</v>
      </c>
      <c r="BD12" s="15">
        <f t="shared" si="7"/>
        <v>-1</v>
      </c>
      <c r="BE12" s="15">
        <f t="shared" si="8"/>
        <v>-1</v>
      </c>
      <c r="BF12" s="15">
        <f t="shared" si="9"/>
        <v>1</v>
      </c>
      <c r="BG12" s="15" t="str">
        <f t="shared" si="10"/>
        <v>-1-11</v>
      </c>
      <c r="BH12" s="15" t="str">
        <f t="shared" si="11"/>
        <v>SD</v>
      </c>
      <c r="BI12" s="15" t="str">
        <f t="shared" si="12"/>
        <v>SD</v>
      </c>
      <c r="BJ12" s="15" t="b">
        <f t="shared" si="13"/>
        <v>0</v>
      </c>
      <c r="BK12" s="15" t="str">
        <f t="shared" si="14"/>
        <v>SIGDIFERENTES</v>
      </c>
      <c r="BL12" s="22" t="str">
        <f t="shared" si="15"/>
        <v>CONFORME</v>
      </c>
    </row>
    <row r="13" spans="1:64" ht="15" customHeight="1" x14ac:dyDescent="0.3">
      <c r="A13" s="91">
        <v>5</v>
      </c>
      <c r="B13" s="28">
        <f t="shared" si="35"/>
        <v>45920</v>
      </c>
      <c r="C13" s="28">
        <f t="shared" si="35"/>
        <v>45920</v>
      </c>
      <c r="D13" s="12">
        <f t="shared" si="35"/>
        <v>3</v>
      </c>
      <c r="E13" s="10">
        <f t="shared" si="35"/>
        <v>8</v>
      </c>
      <c r="F13" s="13"/>
      <c r="G13" s="157" t="s">
        <v>57</v>
      </c>
      <c r="H13" s="70">
        <f t="shared" si="36"/>
        <v>25.6</v>
      </c>
      <c r="I13" s="36">
        <f t="shared" si="36"/>
        <v>0</v>
      </c>
      <c r="J13" s="35">
        <f t="shared" si="36"/>
        <v>21</v>
      </c>
      <c r="K13" s="122">
        <f t="shared" si="36"/>
        <v>8.49</v>
      </c>
      <c r="L13" s="122">
        <f t="shared" si="36"/>
        <v>0.54900000000000004</v>
      </c>
      <c r="M13" s="41">
        <v>288.5</v>
      </c>
      <c r="N13" s="41">
        <v>388.1</v>
      </c>
      <c r="O13" s="32">
        <f t="shared" si="37"/>
        <v>100.69</v>
      </c>
      <c r="P13" s="33" t="str">
        <f t="shared" si="37"/>
        <v>2,30,160</v>
      </c>
      <c r="Q13" s="11" t="str">
        <f t="shared" si="16"/>
        <v>2</v>
      </c>
      <c r="R13" s="11" t="str">
        <f t="shared" si="17"/>
        <v>30,160</v>
      </c>
      <c r="S13" s="11">
        <f t="shared" si="18"/>
        <v>4.1711111111111109E-2</v>
      </c>
      <c r="T13" s="14">
        <f>+O13/S13</f>
        <v>2413.9850825785829</v>
      </c>
      <c r="U13" s="37">
        <f t="shared" si="0"/>
        <v>-1.0825305392789502</v>
      </c>
      <c r="V13" s="38">
        <f t="shared" si="38"/>
        <v>20.5</v>
      </c>
      <c r="W13" s="124">
        <f t="shared" si="38"/>
        <v>1.1020000000000001</v>
      </c>
      <c r="X13" s="124">
        <f t="shared" si="20"/>
        <v>1.0940000000000001</v>
      </c>
      <c r="Y13" s="41">
        <v>415.15</v>
      </c>
      <c r="Z13" s="41">
        <v>425.13</v>
      </c>
      <c r="AA13" s="90">
        <f>AA12</f>
        <v>10.01</v>
      </c>
      <c r="AB13" s="73" t="str">
        <f t="shared" si="39"/>
        <v>22,55,230</v>
      </c>
      <c r="AC13" s="11" t="str">
        <f t="shared" si="21"/>
        <v>22</v>
      </c>
      <c r="AD13" s="11" t="str">
        <f t="shared" si="22"/>
        <v>55,230</v>
      </c>
      <c r="AE13" s="11">
        <f t="shared" si="23"/>
        <v>0.38200833333333334</v>
      </c>
      <c r="AF13" s="14">
        <f t="shared" si="1"/>
        <v>26.203616849545167</v>
      </c>
      <c r="AG13" s="39">
        <f t="shared" si="40"/>
        <v>-0.29970029970011586</v>
      </c>
      <c r="AH13" s="38">
        <f t="shared" si="41"/>
        <v>21</v>
      </c>
      <c r="AI13" s="124">
        <f t="shared" si="41"/>
        <v>1.0980000000000001</v>
      </c>
      <c r="AJ13" s="124">
        <f t="shared" si="24"/>
        <v>1.0880000000000001</v>
      </c>
      <c r="AK13" s="41">
        <f t="shared" si="42"/>
        <v>425.13</v>
      </c>
      <c r="AL13" s="41">
        <v>430.15</v>
      </c>
      <c r="AM13" s="34">
        <f t="shared" si="43"/>
        <v>5.0090000000000003</v>
      </c>
      <c r="AN13" s="33" t="str">
        <f t="shared" si="43"/>
        <v>18,15,540</v>
      </c>
      <c r="AO13" s="11" t="str">
        <f t="shared" si="25"/>
        <v>18</v>
      </c>
      <c r="AP13" s="11" t="str">
        <f t="shared" si="26"/>
        <v>15,540</v>
      </c>
      <c r="AQ13" s="11">
        <f t="shared" si="27"/>
        <v>0.30431666666666668</v>
      </c>
      <c r="AR13" s="14">
        <f t="shared" si="2"/>
        <v>16.459828030012599</v>
      </c>
      <c r="AS13" s="39">
        <f t="shared" si="3"/>
        <v>0.21960471151889535</v>
      </c>
      <c r="AT13" s="40" t="str">
        <f t="shared" si="4"/>
        <v>CONFORME</v>
      </c>
      <c r="AU13" s="8" t="b">
        <f t="shared" si="28"/>
        <v>1</v>
      </c>
      <c r="AV13" s="8" t="b">
        <f t="shared" si="29"/>
        <v>1</v>
      </c>
      <c r="AW13" s="8" t="b">
        <f t="shared" si="30"/>
        <v>1</v>
      </c>
      <c r="AX13" s="8" t="str">
        <f t="shared" si="31"/>
        <v>Qcorrecto</v>
      </c>
      <c r="AY13" s="22" t="str">
        <f t="shared" si="5"/>
        <v>aceptable</v>
      </c>
      <c r="AZ13" s="22" t="str">
        <f t="shared" si="6"/>
        <v>aceptable</v>
      </c>
      <c r="BA13" s="22" t="str">
        <f t="shared" si="32"/>
        <v>aceptable</v>
      </c>
      <c r="BB13" s="25" t="str">
        <f t="shared" si="33"/>
        <v>CONFORME</v>
      </c>
      <c r="BC13" s="5" t="str">
        <f t="shared" si="34"/>
        <v>CONFORME</v>
      </c>
      <c r="BD13" s="15">
        <f t="shared" si="7"/>
        <v>-1</v>
      </c>
      <c r="BE13" s="15">
        <f t="shared" si="8"/>
        <v>-1</v>
      </c>
      <c r="BF13" s="15">
        <f t="shared" si="9"/>
        <v>1</v>
      </c>
      <c r="BG13" s="15" t="str">
        <f t="shared" si="10"/>
        <v>-1-11</v>
      </c>
      <c r="BH13" s="15" t="str">
        <f t="shared" si="11"/>
        <v>SD</v>
      </c>
      <c r="BI13" s="15" t="str">
        <f t="shared" si="12"/>
        <v>SD</v>
      </c>
      <c r="BJ13" s="15" t="b">
        <f t="shared" si="13"/>
        <v>0</v>
      </c>
      <c r="BK13" s="15" t="str">
        <f t="shared" si="14"/>
        <v>SIGDIFERENTES</v>
      </c>
      <c r="BL13" s="22" t="str">
        <f t="shared" si="15"/>
        <v>CONFORME</v>
      </c>
    </row>
    <row r="14" spans="1:64" ht="15" customHeight="1" x14ac:dyDescent="0.3">
      <c r="A14" s="91">
        <v>6</v>
      </c>
      <c r="B14" s="28">
        <f t="shared" si="35"/>
        <v>45920</v>
      </c>
      <c r="C14" s="28">
        <f t="shared" si="35"/>
        <v>45920</v>
      </c>
      <c r="D14" s="12">
        <f t="shared" si="35"/>
        <v>3</v>
      </c>
      <c r="E14" s="10">
        <f t="shared" si="35"/>
        <v>8</v>
      </c>
      <c r="F14" s="13"/>
      <c r="G14" s="157" t="s">
        <v>58</v>
      </c>
      <c r="H14" s="70">
        <f t="shared" si="36"/>
        <v>25.6</v>
      </c>
      <c r="I14" s="36">
        <f t="shared" si="36"/>
        <v>0</v>
      </c>
      <c r="J14" s="35">
        <f t="shared" si="36"/>
        <v>21</v>
      </c>
      <c r="K14" s="122">
        <f t="shared" si="36"/>
        <v>8.49</v>
      </c>
      <c r="L14" s="122">
        <f t="shared" si="36"/>
        <v>0.54900000000000004</v>
      </c>
      <c r="M14" s="41">
        <v>245.27</v>
      </c>
      <c r="N14" s="41">
        <v>344.66</v>
      </c>
      <c r="O14" s="32">
        <f t="shared" si="37"/>
        <v>100.69</v>
      </c>
      <c r="P14" s="33" t="str">
        <f t="shared" si="37"/>
        <v>2,30,160</v>
      </c>
      <c r="Q14" s="11" t="str">
        <f t="shared" si="16"/>
        <v>2</v>
      </c>
      <c r="R14" s="11" t="str">
        <f t="shared" si="17"/>
        <v>30,160</v>
      </c>
      <c r="S14" s="11">
        <f t="shared" si="18"/>
        <v>4.1711111111111109E-2</v>
      </c>
      <c r="T14" s="14">
        <f t="shared" si="19"/>
        <v>2413.9850825785829</v>
      </c>
      <c r="U14" s="37">
        <f t="shared" si="0"/>
        <v>-1.2910914688648156</v>
      </c>
      <c r="V14" s="38">
        <f t="shared" si="38"/>
        <v>20.5</v>
      </c>
      <c r="W14" s="124">
        <f t="shared" si="38"/>
        <v>1.1020000000000001</v>
      </c>
      <c r="X14" s="124">
        <f t="shared" si="20"/>
        <v>1.0940000000000001</v>
      </c>
      <c r="Y14" s="41">
        <v>371.74</v>
      </c>
      <c r="Z14" s="41">
        <v>381.67</v>
      </c>
      <c r="AA14" s="90">
        <f t="shared" si="39"/>
        <v>10.01</v>
      </c>
      <c r="AB14" s="73" t="str">
        <f t="shared" si="39"/>
        <v>22,55,230</v>
      </c>
      <c r="AC14" s="11" t="str">
        <f t="shared" si="21"/>
        <v>22</v>
      </c>
      <c r="AD14" s="11" t="str">
        <f t="shared" si="22"/>
        <v>55,230</v>
      </c>
      <c r="AE14" s="11">
        <f t="shared" si="23"/>
        <v>0.38200833333333334</v>
      </c>
      <c r="AF14" s="14">
        <f t="shared" si="1"/>
        <v>26.203616849545167</v>
      </c>
      <c r="AG14" s="39">
        <f t="shared" si="40"/>
        <v>-0.79920079920072895</v>
      </c>
      <c r="AH14" s="38">
        <f t="shared" si="41"/>
        <v>21</v>
      </c>
      <c r="AI14" s="124">
        <f t="shared" si="41"/>
        <v>1.0980000000000001</v>
      </c>
      <c r="AJ14" s="124">
        <f t="shared" si="24"/>
        <v>1.0880000000000001</v>
      </c>
      <c r="AK14" s="41">
        <f t="shared" si="42"/>
        <v>381.67</v>
      </c>
      <c r="AL14" s="41">
        <v>386.64</v>
      </c>
      <c r="AM14" s="34">
        <f t="shared" si="43"/>
        <v>5.0090000000000003</v>
      </c>
      <c r="AN14" s="33" t="str">
        <f t="shared" si="43"/>
        <v>18,15,540</v>
      </c>
      <c r="AO14" s="11" t="str">
        <f t="shared" si="25"/>
        <v>18</v>
      </c>
      <c r="AP14" s="11" t="str">
        <f t="shared" si="26"/>
        <v>15,540</v>
      </c>
      <c r="AQ14" s="11">
        <f t="shared" si="27"/>
        <v>0.30431666666666668</v>
      </c>
      <c r="AR14" s="14">
        <f t="shared" si="2"/>
        <v>16.459828030012599</v>
      </c>
      <c r="AS14" s="39">
        <f t="shared" si="3"/>
        <v>-0.77859852265981022</v>
      </c>
      <c r="AT14" s="40" t="str">
        <f t="shared" si="4"/>
        <v>CONFORME</v>
      </c>
      <c r="AU14" s="8" t="b">
        <f t="shared" si="28"/>
        <v>1</v>
      </c>
      <c r="AV14" s="8" t="b">
        <f t="shared" si="29"/>
        <v>1</v>
      </c>
      <c r="AW14" s="8" t="b">
        <f t="shared" si="30"/>
        <v>1</v>
      </c>
      <c r="AX14" s="8" t="str">
        <f t="shared" si="31"/>
        <v>Qcorrecto</v>
      </c>
      <c r="AY14" s="22" t="str">
        <f t="shared" si="5"/>
        <v>aceptable</v>
      </c>
      <c r="AZ14" s="22" t="str">
        <f t="shared" si="6"/>
        <v>aceptable</v>
      </c>
      <c r="BA14" s="22" t="str">
        <f t="shared" si="32"/>
        <v>aceptable</v>
      </c>
      <c r="BB14" s="25" t="str">
        <f t="shared" si="33"/>
        <v>CONFORME</v>
      </c>
      <c r="BC14" s="5" t="str">
        <f t="shared" si="34"/>
        <v>CONFORME</v>
      </c>
      <c r="BD14" s="15">
        <f t="shared" si="7"/>
        <v>-1</v>
      </c>
      <c r="BE14" s="15">
        <f t="shared" si="8"/>
        <v>-1</v>
      </c>
      <c r="BF14" s="15">
        <f t="shared" si="9"/>
        <v>-1</v>
      </c>
      <c r="BG14" s="15" t="str">
        <f t="shared" si="10"/>
        <v>-1-1-1</v>
      </c>
      <c r="BH14" s="15" t="str">
        <f t="shared" si="11"/>
        <v>SD</v>
      </c>
      <c r="BI14" s="15" t="str">
        <f t="shared" si="12"/>
        <v>SI</v>
      </c>
      <c r="BJ14" s="15" t="b">
        <f t="shared" si="13"/>
        <v>1</v>
      </c>
      <c r="BK14" s="15" t="str">
        <f t="shared" si="14"/>
        <v>SIGIGUALES</v>
      </c>
      <c r="BL14" s="22" t="str">
        <f t="shared" si="15"/>
        <v>CONFORME</v>
      </c>
    </row>
    <row r="15" spans="1:64" ht="15" customHeight="1" x14ac:dyDescent="0.3">
      <c r="A15" s="91">
        <v>7</v>
      </c>
      <c r="B15" s="28">
        <f t="shared" si="35"/>
        <v>45920</v>
      </c>
      <c r="C15" s="28">
        <f t="shared" si="35"/>
        <v>45920</v>
      </c>
      <c r="D15" s="12">
        <f t="shared" si="35"/>
        <v>3</v>
      </c>
      <c r="E15" s="10">
        <f t="shared" si="35"/>
        <v>8</v>
      </c>
      <c r="F15" s="13"/>
      <c r="G15" s="157" t="s">
        <v>59</v>
      </c>
      <c r="H15" s="70">
        <f t="shared" si="36"/>
        <v>25.6</v>
      </c>
      <c r="I15" s="36">
        <f t="shared" si="36"/>
        <v>0</v>
      </c>
      <c r="J15" s="35">
        <f t="shared" si="36"/>
        <v>21</v>
      </c>
      <c r="K15" s="122">
        <f t="shared" si="36"/>
        <v>8.49</v>
      </c>
      <c r="L15" s="122">
        <f t="shared" si="36"/>
        <v>0.54900000000000004</v>
      </c>
      <c r="M15" s="41">
        <v>205.17</v>
      </c>
      <c r="N15" s="41">
        <v>305.02</v>
      </c>
      <c r="O15" s="32">
        <f t="shared" si="37"/>
        <v>100.69</v>
      </c>
      <c r="P15" s="33" t="str">
        <f t="shared" si="37"/>
        <v>2,30,160</v>
      </c>
      <c r="Q15" s="11" t="str">
        <f t="shared" si="16"/>
        <v>2</v>
      </c>
      <c r="R15" s="11" t="str">
        <f t="shared" si="17"/>
        <v>30,160</v>
      </c>
      <c r="S15" s="11">
        <f t="shared" si="18"/>
        <v>4.1711111111111109E-2</v>
      </c>
      <c r="T15" s="14">
        <f t="shared" si="19"/>
        <v>2413.9850825785829</v>
      </c>
      <c r="U15" s="37">
        <f t="shared" si="0"/>
        <v>-0.83424371834343369</v>
      </c>
      <c r="V15" s="38">
        <f t="shared" si="38"/>
        <v>20.5</v>
      </c>
      <c r="W15" s="124">
        <f t="shared" si="38"/>
        <v>1.1020000000000001</v>
      </c>
      <c r="X15" s="124">
        <f t="shared" si="20"/>
        <v>1.0940000000000001</v>
      </c>
      <c r="Y15" s="41">
        <v>332.18</v>
      </c>
      <c r="Z15" s="41">
        <v>342.18</v>
      </c>
      <c r="AA15" s="90">
        <f t="shared" si="39"/>
        <v>10.01</v>
      </c>
      <c r="AB15" s="73" t="str">
        <f t="shared" si="39"/>
        <v>22,55,230</v>
      </c>
      <c r="AC15" s="11" t="str">
        <f t="shared" si="21"/>
        <v>22</v>
      </c>
      <c r="AD15" s="11" t="str">
        <f t="shared" si="22"/>
        <v>55,230</v>
      </c>
      <c r="AE15" s="11">
        <f t="shared" si="23"/>
        <v>0.38200833333333334</v>
      </c>
      <c r="AF15" s="14">
        <f t="shared" si="1"/>
        <v>26.203616849545167</v>
      </c>
      <c r="AG15" s="39">
        <f t="shared" si="40"/>
        <v>-9.990009990009778E-2</v>
      </c>
      <c r="AH15" s="38">
        <f t="shared" si="41"/>
        <v>21</v>
      </c>
      <c r="AI15" s="124">
        <f t="shared" si="41"/>
        <v>1.0980000000000001</v>
      </c>
      <c r="AJ15" s="124">
        <f t="shared" si="24"/>
        <v>1.0880000000000001</v>
      </c>
      <c r="AK15" s="41">
        <f t="shared" si="42"/>
        <v>342.18</v>
      </c>
      <c r="AL15" s="41">
        <v>347.21</v>
      </c>
      <c r="AM15" s="34">
        <f t="shared" si="43"/>
        <v>5.0090000000000003</v>
      </c>
      <c r="AN15" s="33" t="str">
        <f t="shared" si="43"/>
        <v>18,15,540</v>
      </c>
      <c r="AO15" s="11" t="str">
        <f t="shared" si="25"/>
        <v>18</v>
      </c>
      <c r="AP15" s="11" t="str">
        <f t="shared" si="26"/>
        <v>15,540</v>
      </c>
      <c r="AQ15" s="11">
        <f t="shared" si="27"/>
        <v>0.30431666666666668</v>
      </c>
      <c r="AR15" s="14">
        <f t="shared" si="2"/>
        <v>16.459828030012599</v>
      </c>
      <c r="AS15" s="39">
        <f t="shared" si="3"/>
        <v>0.41924535835440957</v>
      </c>
      <c r="AT15" s="40" t="str">
        <f t="shared" si="4"/>
        <v>CONFORME</v>
      </c>
      <c r="AU15" s="8" t="b">
        <f t="shared" si="28"/>
        <v>1</v>
      </c>
      <c r="AV15" s="8" t="b">
        <f t="shared" si="29"/>
        <v>1</v>
      </c>
      <c r="AW15" s="8" t="b">
        <f t="shared" si="30"/>
        <v>1</v>
      </c>
      <c r="AX15" s="8" t="str">
        <f t="shared" si="31"/>
        <v>Qcorrecto</v>
      </c>
      <c r="AY15" s="22" t="str">
        <f t="shared" si="5"/>
        <v>aceptable</v>
      </c>
      <c r="AZ15" s="22" t="str">
        <f t="shared" si="6"/>
        <v>aceptable</v>
      </c>
      <c r="BA15" s="22" t="str">
        <f t="shared" si="32"/>
        <v>aceptable</v>
      </c>
      <c r="BB15" s="25" t="str">
        <f t="shared" si="33"/>
        <v>CONFORME</v>
      </c>
      <c r="BC15" s="5" t="str">
        <f t="shared" si="34"/>
        <v>CONFORME</v>
      </c>
      <c r="BD15" s="15">
        <f t="shared" si="7"/>
        <v>-1</v>
      </c>
      <c r="BE15" s="15">
        <f t="shared" si="8"/>
        <v>-1</v>
      </c>
      <c r="BF15" s="15">
        <f t="shared" si="9"/>
        <v>1</v>
      </c>
      <c r="BG15" s="15" t="str">
        <f t="shared" si="10"/>
        <v>-1-11</v>
      </c>
      <c r="BH15" s="15" t="str">
        <f t="shared" si="11"/>
        <v>SD</v>
      </c>
      <c r="BI15" s="15" t="str">
        <f t="shared" si="12"/>
        <v>SD</v>
      </c>
      <c r="BJ15" s="15" t="b">
        <f t="shared" si="13"/>
        <v>0</v>
      </c>
      <c r="BK15" s="15" t="str">
        <f t="shared" si="14"/>
        <v>SIGDIFERENTES</v>
      </c>
      <c r="BL15" s="22" t="str">
        <f t="shared" si="15"/>
        <v>CONFORME</v>
      </c>
    </row>
    <row r="16" spans="1:64" s="155" customFormat="1" ht="15" customHeight="1" x14ac:dyDescent="0.3">
      <c r="A16" s="91">
        <v>8</v>
      </c>
      <c r="B16" s="28">
        <f t="shared" si="35"/>
        <v>45920</v>
      </c>
      <c r="C16" s="28">
        <f t="shared" si="35"/>
        <v>45920</v>
      </c>
      <c r="D16" s="12">
        <f t="shared" si="35"/>
        <v>3</v>
      </c>
      <c r="E16" s="10">
        <f t="shared" si="35"/>
        <v>8</v>
      </c>
      <c r="F16" s="13"/>
      <c r="G16" s="157" t="s">
        <v>60</v>
      </c>
      <c r="H16" s="70">
        <f t="shared" si="36"/>
        <v>25.6</v>
      </c>
      <c r="I16" s="36">
        <f t="shared" si="36"/>
        <v>0</v>
      </c>
      <c r="J16" s="35">
        <f t="shared" si="36"/>
        <v>21</v>
      </c>
      <c r="K16" s="122">
        <f t="shared" si="36"/>
        <v>8.49</v>
      </c>
      <c r="L16" s="122">
        <f t="shared" si="36"/>
        <v>0.54900000000000004</v>
      </c>
      <c r="M16" s="41">
        <v>209.25</v>
      </c>
      <c r="N16" s="41">
        <v>309.77999999999997</v>
      </c>
      <c r="O16" s="32">
        <f t="shared" si="37"/>
        <v>100.69</v>
      </c>
      <c r="P16" s="33" t="str">
        <f t="shared" si="37"/>
        <v>2,30,160</v>
      </c>
      <c r="Q16" s="11" t="str">
        <f t="shared" si="16"/>
        <v>2</v>
      </c>
      <c r="R16" s="11" t="str">
        <f t="shared" si="17"/>
        <v>30,160</v>
      </c>
      <c r="S16" s="11">
        <f t="shared" si="18"/>
        <v>4.1711111111111109E-2</v>
      </c>
      <c r="T16" s="14">
        <f t="shared" si="19"/>
        <v>2413.9850825785829</v>
      </c>
      <c r="U16" s="37">
        <f t="shared" si="0"/>
        <v>-0.15890356539877348</v>
      </c>
      <c r="V16" s="38">
        <f t="shared" si="38"/>
        <v>20.5</v>
      </c>
      <c r="W16" s="124">
        <f t="shared" si="38"/>
        <v>1.1020000000000001</v>
      </c>
      <c r="X16" s="124">
        <f t="shared" si="20"/>
        <v>1.0940000000000001</v>
      </c>
      <c r="Y16" s="41">
        <v>336.96</v>
      </c>
      <c r="Z16" s="41">
        <v>347.03</v>
      </c>
      <c r="AA16" s="90">
        <f t="shared" si="39"/>
        <v>10.01</v>
      </c>
      <c r="AB16" s="73" t="str">
        <f t="shared" si="39"/>
        <v>22,55,230</v>
      </c>
      <c r="AC16" s="11" t="str">
        <f t="shared" si="21"/>
        <v>22</v>
      </c>
      <c r="AD16" s="11" t="str">
        <f t="shared" si="22"/>
        <v>55,230</v>
      </c>
      <c r="AE16" s="11">
        <f t="shared" si="23"/>
        <v>0.38200833333333334</v>
      </c>
      <c r="AF16" s="14">
        <f t="shared" si="1"/>
        <v>26.203616849545167</v>
      </c>
      <c r="AG16" s="39">
        <f t="shared" si="40"/>
        <v>0.59940059940053336</v>
      </c>
      <c r="AH16" s="38">
        <f t="shared" si="41"/>
        <v>21</v>
      </c>
      <c r="AI16" s="124">
        <f t="shared" si="41"/>
        <v>1.0980000000000001</v>
      </c>
      <c r="AJ16" s="124">
        <f t="shared" si="24"/>
        <v>1.0880000000000001</v>
      </c>
      <c r="AK16" s="41">
        <f t="shared" si="42"/>
        <v>347.03</v>
      </c>
      <c r="AL16" s="41">
        <v>352.03</v>
      </c>
      <c r="AM16" s="34">
        <f t="shared" si="43"/>
        <v>5.0090000000000003</v>
      </c>
      <c r="AN16" s="33" t="str">
        <f t="shared" si="43"/>
        <v>18,15,540</v>
      </c>
      <c r="AO16" s="11" t="str">
        <f t="shared" si="25"/>
        <v>18</v>
      </c>
      <c r="AP16" s="11" t="str">
        <f t="shared" si="26"/>
        <v>15,540</v>
      </c>
      <c r="AQ16" s="11">
        <f t="shared" si="27"/>
        <v>0.30431666666666668</v>
      </c>
      <c r="AR16" s="14">
        <f t="shared" si="2"/>
        <v>16.459828030012599</v>
      </c>
      <c r="AS16" s="39">
        <f t="shared" si="3"/>
        <v>-0.17967658215213297</v>
      </c>
      <c r="AT16" s="40" t="str">
        <f t="shared" si="4"/>
        <v>CONFORME</v>
      </c>
      <c r="AU16" s="153" t="b">
        <f t="shared" si="28"/>
        <v>1</v>
      </c>
      <c r="AV16" s="153" t="b">
        <f t="shared" si="29"/>
        <v>1</v>
      </c>
      <c r="AW16" s="153" t="b">
        <f t="shared" si="30"/>
        <v>1</v>
      </c>
      <c r="AX16" s="153" t="str">
        <f t="shared" si="31"/>
        <v>Qcorrecto</v>
      </c>
      <c r="AY16" s="22" t="str">
        <f t="shared" si="5"/>
        <v>aceptable</v>
      </c>
      <c r="AZ16" s="22" t="str">
        <f t="shared" si="6"/>
        <v>aceptable</v>
      </c>
      <c r="BA16" s="22" t="str">
        <f t="shared" si="32"/>
        <v>aceptable</v>
      </c>
      <c r="BB16" s="25" t="str">
        <f t="shared" si="33"/>
        <v>CONFORME</v>
      </c>
      <c r="BC16" s="5" t="str">
        <f t="shared" si="34"/>
        <v>CONFORME</v>
      </c>
      <c r="BD16" s="154">
        <f t="shared" si="7"/>
        <v>-1</v>
      </c>
      <c r="BE16" s="154">
        <f t="shared" si="8"/>
        <v>1</v>
      </c>
      <c r="BF16" s="154">
        <f t="shared" si="9"/>
        <v>-1</v>
      </c>
      <c r="BG16" s="154" t="str">
        <f t="shared" si="10"/>
        <v>-11-1</v>
      </c>
      <c r="BH16" s="154" t="str">
        <f t="shared" si="11"/>
        <v>SD</v>
      </c>
      <c r="BI16" s="154" t="str">
        <f t="shared" si="12"/>
        <v>SD</v>
      </c>
      <c r="BJ16" s="154" t="b">
        <f t="shared" si="13"/>
        <v>0</v>
      </c>
      <c r="BK16" s="154" t="str">
        <f t="shared" si="14"/>
        <v>SIGDIFERENTES</v>
      </c>
      <c r="BL16" s="22" t="str">
        <f t="shared" si="15"/>
        <v>CONFORME</v>
      </c>
    </row>
    <row r="17" spans="1:64" ht="15" customHeight="1" x14ac:dyDescent="0.3">
      <c r="A17" s="91">
        <v>9</v>
      </c>
      <c r="B17" s="125">
        <f t="shared" si="35"/>
        <v>45920</v>
      </c>
      <c r="C17" s="125">
        <f t="shared" si="35"/>
        <v>45920</v>
      </c>
      <c r="D17" s="126">
        <f t="shared" si="35"/>
        <v>3</v>
      </c>
      <c r="E17" s="10">
        <f t="shared" si="35"/>
        <v>8</v>
      </c>
      <c r="F17" s="46"/>
      <c r="G17" s="157" t="s">
        <v>61</v>
      </c>
      <c r="H17" s="127">
        <f t="shared" si="36"/>
        <v>25.6</v>
      </c>
      <c r="I17" s="111">
        <f t="shared" si="36"/>
        <v>0</v>
      </c>
      <c r="J17" s="128">
        <f t="shared" si="36"/>
        <v>21</v>
      </c>
      <c r="K17" s="129">
        <f t="shared" si="36"/>
        <v>8.49</v>
      </c>
      <c r="L17" s="129">
        <f t="shared" si="36"/>
        <v>0.54900000000000004</v>
      </c>
      <c r="M17" s="96">
        <v>209.35</v>
      </c>
      <c r="N17" s="96">
        <v>309.39999999999998</v>
      </c>
      <c r="O17" s="130">
        <f t="shared" si="37"/>
        <v>100.69</v>
      </c>
      <c r="P17" s="131" t="str">
        <f t="shared" si="37"/>
        <v>2,30,160</v>
      </c>
      <c r="Q17" s="97" t="str">
        <f t="shared" si="16"/>
        <v>2</v>
      </c>
      <c r="R17" s="97" t="str">
        <f t="shared" si="17"/>
        <v>30,160</v>
      </c>
      <c r="S17" s="97">
        <f t="shared" si="18"/>
        <v>4.1711111111111109E-2</v>
      </c>
      <c r="T17" s="98">
        <f t="shared" si="19"/>
        <v>2413.9850825785829</v>
      </c>
      <c r="U17" s="99">
        <f t="shared" si="0"/>
        <v>-0.63561426159500922</v>
      </c>
      <c r="V17" s="132">
        <f t="shared" si="38"/>
        <v>20.5</v>
      </c>
      <c r="W17" s="133">
        <f t="shared" si="38"/>
        <v>1.1020000000000001</v>
      </c>
      <c r="X17" s="133">
        <f t="shared" si="20"/>
        <v>1.0940000000000001</v>
      </c>
      <c r="Y17" s="96">
        <v>336.54</v>
      </c>
      <c r="Z17" s="96">
        <v>346.42</v>
      </c>
      <c r="AA17" s="134">
        <f t="shared" si="39"/>
        <v>10.01</v>
      </c>
      <c r="AB17" s="135" t="str">
        <f t="shared" si="39"/>
        <v>22,55,230</v>
      </c>
      <c r="AC17" s="97" t="str">
        <f t="shared" si="21"/>
        <v>22</v>
      </c>
      <c r="AD17" s="97" t="str">
        <f t="shared" si="22"/>
        <v>55,230</v>
      </c>
      <c r="AE17" s="97">
        <f t="shared" si="23"/>
        <v>0.38200833333333334</v>
      </c>
      <c r="AF17" s="98">
        <f t="shared" si="1"/>
        <v>26.203616849545167</v>
      </c>
      <c r="AG17" s="100">
        <f t="shared" si="40"/>
        <v>-1.298701298701342</v>
      </c>
      <c r="AH17" s="132">
        <f t="shared" si="41"/>
        <v>21</v>
      </c>
      <c r="AI17" s="133">
        <f t="shared" si="41"/>
        <v>1.0980000000000001</v>
      </c>
      <c r="AJ17" s="133">
        <f t="shared" si="24"/>
        <v>1.0880000000000001</v>
      </c>
      <c r="AK17" s="96">
        <f t="shared" si="42"/>
        <v>346.42</v>
      </c>
      <c r="AL17" s="96">
        <v>351.35</v>
      </c>
      <c r="AM17" s="136">
        <f t="shared" si="43"/>
        <v>5.0090000000000003</v>
      </c>
      <c r="AN17" s="131" t="str">
        <f t="shared" si="43"/>
        <v>18,15,540</v>
      </c>
      <c r="AO17" s="97" t="str">
        <f t="shared" si="25"/>
        <v>18</v>
      </c>
      <c r="AP17" s="97" t="str">
        <f t="shared" si="26"/>
        <v>15,540</v>
      </c>
      <c r="AQ17" s="97">
        <f t="shared" si="27"/>
        <v>0.30431666666666668</v>
      </c>
      <c r="AR17" s="98">
        <f t="shared" si="2"/>
        <v>16.459828030012599</v>
      </c>
      <c r="AS17" s="100">
        <f t="shared" si="3"/>
        <v>-1.5771611100018668</v>
      </c>
      <c r="AT17" s="102" t="str">
        <f t="shared" si="4"/>
        <v>CONFORME</v>
      </c>
      <c r="AU17" s="8" t="b">
        <f t="shared" si="28"/>
        <v>1</v>
      </c>
      <c r="AV17" s="8" t="b">
        <f t="shared" si="29"/>
        <v>1</v>
      </c>
      <c r="AW17" s="8" t="b">
        <f t="shared" si="30"/>
        <v>1</v>
      </c>
      <c r="AX17" s="8" t="str">
        <f t="shared" si="31"/>
        <v>Qcorrecto</v>
      </c>
      <c r="AY17" s="26" t="str">
        <f t="shared" si="5"/>
        <v>aceptable</v>
      </c>
      <c r="AZ17" s="26" t="str">
        <f t="shared" si="6"/>
        <v>aceptable</v>
      </c>
      <c r="BA17" s="26" t="str">
        <f t="shared" si="32"/>
        <v>aceptable</v>
      </c>
      <c r="BB17" s="25" t="str">
        <f t="shared" si="33"/>
        <v>CONFORME</v>
      </c>
      <c r="BC17" s="5" t="str">
        <f t="shared" si="34"/>
        <v>CONFORME</v>
      </c>
      <c r="BD17" s="15">
        <f t="shared" si="7"/>
        <v>-1</v>
      </c>
      <c r="BE17" s="15">
        <f t="shared" si="8"/>
        <v>-1</v>
      </c>
      <c r="BF17" s="15">
        <f t="shared" si="9"/>
        <v>-1</v>
      </c>
      <c r="BG17" s="15" t="str">
        <f t="shared" si="10"/>
        <v>-1-1-1</v>
      </c>
      <c r="BH17" s="15" t="str">
        <f t="shared" si="11"/>
        <v>SD</v>
      </c>
      <c r="BI17" s="15" t="str">
        <f t="shared" si="12"/>
        <v>SI</v>
      </c>
      <c r="BJ17" s="15" t="b">
        <f t="shared" si="13"/>
        <v>1</v>
      </c>
      <c r="BK17" s="15" t="str">
        <f t="shared" si="14"/>
        <v>SIGIGUALES</v>
      </c>
      <c r="BL17" s="26" t="str">
        <f t="shared" si="15"/>
        <v>CONFORME</v>
      </c>
    </row>
    <row r="18" spans="1:64" ht="15" customHeight="1" x14ac:dyDescent="0.3">
      <c r="A18" s="91">
        <v>10</v>
      </c>
      <c r="B18" s="28">
        <f t="shared" si="35"/>
        <v>45920</v>
      </c>
      <c r="C18" s="28">
        <f t="shared" si="35"/>
        <v>45920</v>
      </c>
      <c r="D18" s="12">
        <f t="shared" si="35"/>
        <v>3</v>
      </c>
      <c r="E18" s="10">
        <f t="shared" si="35"/>
        <v>8</v>
      </c>
      <c r="F18" s="13"/>
      <c r="G18" s="157" t="s">
        <v>62</v>
      </c>
      <c r="H18" s="70">
        <f t="shared" si="36"/>
        <v>25.6</v>
      </c>
      <c r="I18" s="36">
        <f t="shared" si="36"/>
        <v>0</v>
      </c>
      <c r="J18" s="35">
        <f t="shared" si="36"/>
        <v>21</v>
      </c>
      <c r="K18" s="122">
        <f t="shared" si="36"/>
        <v>8.49</v>
      </c>
      <c r="L18" s="122">
        <f t="shared" si="36"/>
        <v>0.54900000000000004</v>
      </c>
      <c r="M18" s="41">
        <v>208.55</v>
      </c>
      <c r="N18" s="41">
        <v>308.29000000000002</v>
      </c>
      <c r="O18" s="32">
        <f t="shared" si="37"/>
        <v>100.69</v>
      </c>
      <c r="P18" s="33" t="str">
        <f t="shared" si="37"/>
        <v>2,30,160</v>
      </c>
      <c r="Q18" s="11" t="str">
        <f t="shared" si="16"/>
        <v>2</v>
      </c>
      <c r="R18" s="11" t="str">
        <f t="shared" si="17"/>
        <v>30,160</v>
      </c>
      <c r="S18" s="11">
        <f t="shared" si="18"/>
        <v>4.1711111111111109E-2</v>
      </c>
      <c r="T18" s="14">
        <f t="shared" si="19"/>
        <v>2413.9850825785829</v>
      </c>
      <c r="U18" s="37">
        <f t="shared" si="0"/>
        <v>-0.94348991955505879</v>
      </c>
      <c r="V18" s="38">
        <f t="shared" si="38"/>
        <v>20.5</v>
      </c>
      <c r="W18" s="124">
        <f t="shared" si="38"/>
        <v>1.1020000000000001</v>
      </c>
      <c r="X18" s="124">
        <f t="shared" si="20"/>
        <v>1.0940000000000001</v>
      </c>
      <c r="Y18" s="41">
        <v>335.35</v>
      </c>
      <c r="Z18" s="41">
        <v>345.28</v>
      </c>
      <c r="AA18" s="90">
        <f t="shared" si="39"/>
        <v>10.01</v>
      </c>
      <c r="AB18" s="73" t="str">
        <f t="shared" si="39"/>
        <v>22,55,230</v>
      </c>
      <c r="AC18" s="11" t="str">
        <f t="shared" si="21"/>
        <v>22</v>
      </c>
      <c r="AD18" s="11" t="str">
        <f t="shared" si="22"/>
        <v>55,230</v>
      </c>
      <c r="AE18" s="11">
        <f t="shared" si="23"/>
        <v>0.38200833333333334</v>
      </c>
      <c r="AF18" s="14">
        <f t="shared" si="1"/>
        <v>26.203616849545167</v>
      </c>
      <c r="AG18" s="39">
        <f t="shared" si="40"/>
        <v>-0.79920079920129694</v>
      </c>
      <c r="AH18" s="38">
        <f t="shared" si="41"/>
        <v>21</v>
      </c>
      <c r="AI18" s="124">
        <f t="shared" si="41"/>
        <v>1.0980000000000001</v>
      </c>
      <c r="AJ18" s="124">
        <f t="shared" si="24"/>
        <v>1.0880000000000001</v>
      </c>
      <c r="AK18" s="41">
        <f t="shared" si="42"/>
        <v>345.28</v>
      </c>
      <c r="AL18" s="41">
        <v>350.3</v>
      </c>
      <c r="AM18" s="34">
        <f t="shared" si="43"/>
        <v>5.0090000000000003</v>
      </c>
      <c r="AN18" s="33" t="str">
        <f t="shared" si="43"/>
        <v>18,15,540</v>
      </c>
      <c r="AO18" s="11" t="str">
        <f t="shared" si="25"/>
        <v>18</v>
      </c>
      <c r="AP18" s="11" t="str">
        <f t="shared" si="26"/>
        <v>15,540</v>
      </c>
      <c r="AQ18" s="11">
        <f t="shared" si="27"/>
        <v>0.30431666666666668</v>
      </c>
      <c r="AR18" s="14">
        <f t="shared" si="2"/>
        <v>16.459828030012599</v>
      </c>
      <c r="AS18" s="39">
        <f t="shared" si="3"/>
        <v>0.21960471152003019</v>
      </c>
      <c r="AT18" s="40" t="str">
        <f t="shared" si="4"/>
        <v>CONFORME</v>
      </c>
      <c r="AU18" s="8" t="b">
        <f t="shared" si="28"/>
        <v>1</v>
      </c>
      <c r="AV18" s="8" t="b">
        <f t="shared" si="29"/>
        <v>1</v>
      </c>
      <c r="AW18" s="8" t="b">
        <f t="shared" si="30"/>
        <v>1</v>
      </c>
      <c r="AX18" s="8" t="str">
        <f t="shared" si="31"/>
        <v>Qcorrecto</v>
      </c>
      <c r="AY18" s="22" t="str">
        <f t="shared" si="5"/>
        <v>aceptable</v>
      </c>
      <c r="AZ18" s="22" t="str">
        <f t="shared" si="6"/>
        <v>aceptable</v>
      </c>
      <c r="BA18" s="22" t="str">
        <f t="shared" si="32"/>
        <v>aceptable</v>
      </c>
      <c r="BB18" s="25" t="str">
        <f t="shared" si="33"/>
        <v>CONFORME</v>
      </c>
      <c r="BC18" s="5" t="str">
        <f t="shared" si="34"/>
        <v>CONFORME</v>
      </c>
      <c r="BD18" s="15">
        <f t="shared" si="7"/>
        <v>-1</v>
      </c>
      <c r="BE18" s="15">
        <f t="shared" si="8"/>
        <v>-1</v>
      </c>
      <c r="BF18" s="15">
        <f t="shared" si="9"/>
        <v>1</v>
      </c>
      <c r="BG18" s="15" t="str">
        <f t="shared" si="10"/>
        <v>-1-11</v>
      </c>
      <c r="BH18" s="15" t="str">
        <f t="shared" si="11"/>
        <v>SD</v>
      </c>
      <c r="BI18" s="15" t="str">
        <f t="shared" si="12"/>
        <v>SD</v>
      </c>
      <c r="BJ18" s="15" t="b">
        <f t="shared" si="13"/>
        <v>0</v>
      </c>
      <c r="BK18" s="15" t="str">
        <f t="shared" si="14"/>
        <v>SIGDIFERENTES</v>
      </c>
      <c r="BL18" s="22" t="str">
        <f t="shared" si="15"/>
        <v>CONFORME</v>
      </c>
    </row>
    <row r="19" spans="1:64" ht="15.75" customHeight="1" x14ac:dyDescent="0.3">
      <c r="A19" s="159">
        <v>11</v>
      </c>
      <c r="B19" s="160">
        <f t="shared" ref="B19:E19" si="44">B18</f>
        <v>45920</v>
      </c>
      <c r="C19" s="160">
        <f t="shared" si="44"/>
        <v>45920</v>
      </c>
      <c r="D19" s="161">
        <f t="shared" si="44"/>
        <v>3</v>
      </c>
      <c r="E19" s="10">
        <f t="shared" si="44"/>
        <v>8</v>
      </c>
      <c r="F19" s="45"/>
      <c r="G19" s="157" t="s">
        <v>63</v>
      </c>
      <c r="H19" s="162">
        <f t="shared" ref="H19:L19" si="45">H18</f>
        <v>25.6</v>
      </c>
      <c r="I19" s="163">
        <f t="shared" si="45"/>
        <v>0</v>
      </c>
      <c r="J19" s="164">
        <f t="shared" si="45"/>
        <v>21</v>
      </c>
      <c r="K19" s="165">
        <f t="shared" si="45"/>
        <v>8.49</v>
      </c>
      <c r="L19" s="165">
        <f t="shared" si="45"/>
        <v>0.54900000000000004</v>
      </c>
      <c r="M19" s="166">
        <v>208.27</v>
      </c>
      <c r="N19" s="166">
        <v>308.79000000000002</v>
      </c>
      <c r="O19" s="167">
        <f t="shared" ref="O19:P19" si="46">O18</f>
        <v>100.69</v>
      </c>
      <c r="P19" s="168" t="str">
        <f t="shared" si="46"/>
        <v>2,30,160</v>
      </c>
      <c r="Q19" s="169" t="str">
        <f t="shared" ref="Q19:Q83" si="47">LEFT(P19,1)</f>
        <v>2</v>
      </c>
      <c r="R19" s="169" t="str">
        <f t="shared" ref="R19:R83" si="48">RIGHT(P19,6)</f>
        <v>30,160</v>
      </c>
      <c r="S19" s="169">
        <f t="shared" ref="S19:S83" si="49">+(Q19*60+R19)/(60*60)</f>
        <v>4.1711111111111109E-2</v>
      </c>
      <c r="T19" s="170">
        <f t="shared" ref="T19:T83" si="50">+O19/S19</f>
        <v>2413.9850825785829</v>
      </c>
      <c r="U19" s="171">
        <f t="shared" ref="U19:U83" si="51">+(((N19-M19-O19)/O19)*100)</f>
        <v>-0.168835038236158</v>
      </c>
      <c r="V19" s="172">
        <f t="shared" ref="V19:W19" si="52">V18</f>
        <v>20.5</v>
      </c>
      <c r="W19" s="173">
        <f t="shared" si="52"/>
        <v>1.1020000000000001</v>
      </c>
      <c r="X19" s="173">
        <f t="shared" si="20"/>
        <v>1.0940000000000001</v>
      </c>
      <c r="Y19" s="166">
        <v>335.94</v>
      </c>
      <c r="Z19" s="166">
        <v>345.89</v>
      </c>
      <c r="AA19" s="174">
        <f t="shared" ref="AA19:AB19" si="53">AA18</f>
        <v>10.01</v>
      </c>
      <c r="AB19" s="175" t="str">
        <f t="shared" si="53"/>
        <v>22,55,230</v>
      </c>
      <c r="AC19" s="169" t="str">
        <f t="shared" ref="AC19:AC83" si="54">LEFT(AB19,2)</f>
        <v>22</v>
      </c>
      <c r="AD19" s="169" t="str">
        <f t="shared" ref="AD19:AD83" si="55">RIGHT(AB19,6)</f>
        <v>55,230</v>
      </c>
      <c r="AE19" s="169">
        <f t="shared" ref="AE19:AE83" si="56">+(AC19*60+AD19)/(60*60)</f>
        <v>0.38200833333333334</v>
      </c>
      <c r="AF19" s="170">
        <f t="shared" ref="AF19:AF83" si="57">+AA19/AE19</f>
        <v>26.203616849545167</v>
      </c>
      <c r="AG19" s="176">
        <f t="shared" ref="AG19:AG83" si="58">+(((Z19-Y19-AA19)/AA19)*100)</f>
        <v>-0.59940059940071089</v>
      </c>
      <c r="AH19" s="172">
        <f t="shared" si="41"/>
        <v>21</v>
      </c>
      <c r="AI19" s="173">
        <f t="shared" si="41"/>
        <v>1.0980000000000001</v>
      </c>
      <c r="AJ19" s="173">
        <f t="shared" si="24"/>
        <v>1.0880000000000001</v>
      </c>
      <c r="AK19" s="166">
        <f t="shared" ref="AK19:AK83" si="59">Z19</f>
        <v>345.89</v>
      </c>
      <c r="AL19" s="166">
        <v>350.88</v>
      </c>
      <c r="AM19" s="177">
        <f t="shared" ref="AM19:AN19" si="60">AM18</f>
        <v>5.0090000000000003</v>
      </c>
      <c r="AN19" s="168" t="str">
        <f t="shared" si="60"/>
        <v>18,15,540</v>
      </c>
      <c r="AO19" s="169" t="str">
        <f t="shared" ref="AO19:AO83" si="61">LEFT(AN19,2)</f>
        <v>18</v>
      </c>
      <c r="AP19" s="169" t="str">
        <f t="shared" ref="AP19:AP83" si="62">RIGHT(AN19,6)</f>
        <v>15,540</v>
      </c>
      <c r="AQ19" s="169">
        <f t="shared" ref="AQ19:AQ83" si="63">+(AO19*60+AP19)/(60*60)</f>
        <v>0.30431666666666668</v>
      </c>
      <c r="AR19" s="170">
        <f t="shared" ref="AR19:AR83" si="64">+AM19/AQ19</f>
        <v>16.459828030012599</v>
      </c>
      <c r="AS19" s="176">
        <f t="shared" ref="AS19:AS83" si="65">+(((AL19-AK19-AM19)/AM19)*100)</f>
        <v>-0.37931722898764714</v>
      </c>
      <c r="AT19" s="178" t="str">
        <f t="shared" ref="AT19:AT83" si="66">IF(I19&gt;=1,"NO CONFORME",IF(BK19="SIGDIFERENTES",BC19,BL19))</f>
        <v>CONFORME</v>
      </c>
      <c r="AU19" s="8" t="b">
        <f t="shared" si="28"/>
        <v>1</v>
      </c>
      <c r="AV19" s="8" t="b">
        <f t="shared" si="29"/>
        <v>1</v>
      </c>
      <c r="AW19" s="8" t="b">
        <f t="shared" si="30"/>
        <v>1</v>
      </c>
      <c r="AX19" s="8" t="str">
        <f t="shared" si="31"/>
        <v>Qcorrecto</v>
      </c>
      <c r="AY19" s="179" t="str">
        <f t="shared" si="5"/>
        <v>aceptable</v>
      </c>
      <c r="AZ19" s="179" t="str">
        <f t="shared" si="6"/>
        <v>aceptable</v>
      </c>
      <c r="BA19" s="179" t="str">
        <f t="shared" si="32"/>
        <v>aceptable</v>
      </c>
      <c r="BB19" s="180" t="str">
        <f t="shared" si="33"/>
        <v>CONFORME</v>
      </c>
      <c r="BC19" s="181" t="str">
        <f t="shared" si="34"/>
        <v>CONFORME</v>
      </c>
      <c r="BD19" s="15">
        <f t="shared" si="7"/>
        <v>-1</v>
      </c>
      <c r="BE19" s="15">
        <f t="shared" si="8"/>
        <v>-1</v>
      </c>
      <c r="BF19" s="15">
        <f t="shared" si="9"/>
        <v>-1</v>
      </c>
      <c r="BG19" s="15" t="str">
        <f t="shared" si="10"/>
        <v>-1-1-1</v>
      </c>
      <c r="BH19" s="15" t="str">
        <f t="shared" si="11"/>
        <v>SD</v>
      </c>
      <c r="BI19" s="15" t="str">
        <f t="shared" si="12"/>
        <v>SI</v>
      </c>
      <c r="BJ19" s="15" t="b">
        <f t="shared" si="13"/>
        <v>1</v>
      </c>
      <c r="BK19" s="15" t="str">
        <f t="shared" si="14"/>
        <v>SIGIGUALES</v>
      </c>
      <c r="BL19" s="179" t="str">
        <f t="shared" si="15"/>
        <v>CONFORME</v>
      </c>
    </row>
    <row r="20" spans="1:64" s="187" customFormat="1" ht="15" customHeight="1" x14ac:dyDescent="0.3">
      <c r="A20" s="10">
        <v>12</v>
      </c>
      <c r="B20" s="28">
        <f t="shared" ref="B20:E20" si="67">B19</f>
        <v>45920</v>
      </c>
      <c r="C20" s="28">
        <f t="shared" si="67"/>
        <v>45920</v>
      </c>
      <c r="D20" s="12">
        <f t="shared" si="67"/>
        <v>3</v>
      </c>
      <c r="E20" s="10">
        <f t="shared" si="67"/>
        <v>8</v>
      </c>
      <c r="F20" s="13"/>
      <c r="G20" s="157" t="s">
        <v>64</v>
      </c>
      <c r="H20" s="70">
        <f t="shared" ref="H20:L20" si="68">H19</f>
        <v>25.6</v>
      </c>
      <c r="I20" s="36">
        <f t="shared" si="68"/>
        <v>0</v>
      </c>
      <c r="J20" s="35">
        <f t="shared" si="68"/>
        <v>21</v>
      </c>
      <c r="K20" s="122">
        <f t="shared" si="68"/>
        <v>8.49</v>
      </c>
      <c r="L20" s="122">
        <f t="shared" si="68"/>
        <v>0.54900000000000004</v>
      </c>
      <c r="M20" s="41">
        <v>247.8</v>
      </c>
      <c r="N20" s="41">
        <v>347.95</v>
      </c>
      <c r="O20" s="32">
        <f t="shared" ref="O20:P20" si="69">O19</f>
        <v>100.69</v>
      </c>
      <c r="P20" s="168" t="str">
        <f t="shared" si="69"/>
        <v>2,30,160</v>
      </c>
      <c r="Q20" s="11" t="str">
        <f t="shared" si="47"/>
        <v>2</v>
      </c>
      <c r="R20" s="11" t="str">
        <f t="shared" si="48"/>
        <v>30,160</v>
      </c>
      <c r="S20" s="11">
        <f t="shared" si="49"/>
        <v>4.1711111111111109E-2</v>
      </c>
      <c r="T20" s="14">
        <f t="shared" si="50"/>
        <v>2413.9850825785829</v>
      </c>
      <c r="U20" s="37">
        <f t="shared" si="51"/>
        <v>-0.53629953322079704</v>
      </c>
      <c r="V20" s="38">
        <f t="shared" ref="V20:W20" si="70">V19</f>
        <v>20.5</v>
      </c>
      <c r="W20" s="124">
        <f t="shared" si="70"/>
        <v>1.1020000000000001</v>
      </c>
      <c r="X20" s="124">
        <f t="shared" si="20"/>
        <v>1.0940000000000001</v>
      </c>
      <c r="Y20" s="41">
        <v>375.03</v>
      </c>
      <c r="Z20" s="41">
        <v>384.95</v>
      </c>
      <c r="AA20" s="90">
        <f t="shared" ref="AA20:AB20" si="71">AA19</f>
        <v>10.01</v>
      </c>
      <c r="AB20" s="73" t="str">
        <f t="shared" si="71"/>
        <v>22,55,230</v>
      </c>
      <c r="AC20" s="11" t="str">
        <f t="shared" si="54"/>
        <v>22</v>
      </c>
      <c r="AD20" s="11" t="str">
        <f t="shared" si="55"/>
        <v>55,230</v>
      </c>
      <c r="AE20" s="11">
        <f t="shared" si="56"/>
        <v>0.38200833333333334</v>
      </c>
      <c r="AF20" s="14">
        <f t="shared" si="57"/>
        <v>26.203616849545167</v>
      </c>
      <c r="AG20" s="39">
        <f t="shared" si="58"/>
        <v>-0.89910089910073798</v>
      </c>
      <c r="AH20" s="38">
        <f t="shared" si="41"/>
        <v>21</v>
      </c>
      <c r="AI20" s="124">
        <f t="shared" si="41"/>
        <v>1.0980000000000001</v>
      </c>
      <c r="AJ20" s="124">
        <f t="shared" si="24"/>
        <v>1.0880000000000001</v>
      </c>
      <c r="AK20" s="41">
        <f t="shared" si="59"/>
        <v>384.95</v>
      </c>
      <c r="AL20" s="41">
        <v>389.9</v>
      </c>
      <c r="AM20" s="34">
        <f t="shared" ref="AM20:AN20" si="72">AM19</f>
        <v>5.0090000000000003</v>
      </c>
      <c r="AN20" s="33" t="str">
        <f t="shared" si="72"/>
        <v>18,15,540</v>
      </c>
      <c r="AO20" s="11" t="str">
        <f t="shared" si="61"/>
        <v>18</v>
      </c>
      <c r="AP20" s="11" t="str">
        <f t="shared" si="62"/>
        <v>15,540</v>
      </c>
      <c r="AQ20" s="11">
        <f t="shared" si="63"/>
        <v>0.30431666666666668</v>
      </c>
      <c r="AR20" s="14">
        <f t="shared" si="64"/>
        <v>16.459828030012599</v>
      </c>
      <c r="AS20" s="39">
        <f t="shared" si="65"/>
        <v>-1.1778798163308386</v>
      </c>
      <c r="AT20" s="40" t="str">
        <f t="shared" si="66"/>
        <v>CONFORME</v>
      </c>
      <c r="AU20" s="183" t="b">
        <f t="shared" si="28"/>
        <v>1</v>
      </c>
      <c r="AV20" s="183" t="b">
        <f t="shared" si="29"/>
        <v>1</v>
      </c>
      <c r="AW20" s="183" t="b">
        <f t="shared" si="30"/>
        <v>1</v>
      </c>
      <c r="AX20" s="183" t="str">
        <f t="shared" si="31"/>
        <v>Qcorrecto</v>
      </c>
      <c r="AY20" s="22" t="str">
        <f t="shared" si="5"/>
        <v>aceptable</v>
      </c>
      <c r="AZ20" s="22" t="str">
        <f t="shared" si="6"/>
        <v>aceptable</v>
      </c>
      <c r="BA20" s="22" t="str">
        <f t="shared" si="32"/>
        <v>aceptable</v>
      </c>
      <c r="BB20" s="184" t="str">
        <f t="shared" si="33"/>
        <v>CONFORME</v>
      </c>
      <c r="BC20" s="185" t="str">
        <f t="shared" si="34"/>
        <v>CONFORME</v>
      </c>
      <c r="BD20" s="186">
        <f t="shared" si="7"/>
        <v>-1</v>
      </c>
      <c r="BE20" s="186">
        <f t="shared" si="8"/>
        <v>-1</v>
      </c>
      <c r="BF20" s="186">
        <f t="shared" si="9"/>
        <v>-1</v>
      </c>
      <c r="BG20" s="186" t="str">
        <f t="shared" si="10"/>
        <v>-1-1-1</v>
      </c>
      <c r="BH20" s="186" t="str">
        <f t="shared" si="11"/>
        <v>SD</v>
      </c>
      <c r="BI20" s="186" t="str">
        <f t="shared" si="12"/>
        <v>SI</v>
      </c>
      <c r="BJ20" s="186" t="b">
        <f t="shared" si="13"/>
        <v>1</v>
      </c>
      <c r="BK20" s="186" t="str">
        <f t="shared" si="14"/>
        <v>SIGIGUALES</v>
      </c>
      <c r="BL20" s="22" t="str">
        <f t="shared" si="15"/>
        <v>CONFORME</v>
      </c>
    </row>
    <row r="21" spans="1:64" ht="15" customHeight="1" x14ac:dyDescent="0.3">
      <c r="A21" s="91">
        <v>13</v>
      </c>
      <c r="B21" s="125">
        <f t="shared" ref="B21:E21" si="73">B20</f>
        <v>45920</v>
      </c>
      <c r="C21" s="125">
        <f t="shared" si="73"/>
        <v>45920</v>
      </c>
      <c r="D21" s="126">
        <f t="shared" si="73"/>
        <v>3</v>
      </c>
      <c r="E21" s="10">
        <f t="shared" si="73"/>
        <v>8</v>
      </c>
      <c r="F21" s="46"/>
      <c r="G21" s="157" t="s">
        <v>65</v>
      </c>
      <c r="H21" s="127">
        <f t="shared" ref="H21:L21" si="74">H20</f>
        <v>25.6</v>
      </c>
      <c r="I21" s="111">
        <f t="shared" si="74"/>
        <v>0</v>
      </c>
      <c r="J21" s="35">
        <f t="shared" si="74"/>
        <v>21</v>
      </c>
      <c r="K21" s="122">
        <f t="shared" si="74"/>
        <v>8.49</v>
      </c>
      <c r="L21" s="122">
        <f t="shared" si="74"/>
        <v>0.54900000000000004</v>
      </c>
      <c r="M21" s="96">
        <v>248.29</v>
      </c>
      <c r="N21" s="96">
        <v>348.55</v>
      </c>
      <c r="O21" s="32">
        <f t="shared" ref="O21:P21" si="75">O20</f>
        <v>100.69</v>
      </c>
      <c r="P21" s="168" t="str">
        <f t="shared" si="75"/>
        <v>2,30,160</v>
      </c>
      <c r="Q21" s="97" t="str">
        <f t="shared" si="47"/>
        <v>2</v>
      </c>
      <c r="R21" s="97" t="str">
        <f t="shared" si="48"/>
        <v>30,160</v>
      </c>
      <c r="S21" s="97">
        <f t="shared" si="49"/>
        <v>4.1711111111111109E-2</v>
      </c>
      <c r="T21" s="98">
        <f t="shared" si="50"/>
        <v>2413.9850825785829</v>
      </c>
      <c r="U21" s="99">
        <f t="shared" si="51"/>
        <v>-0.42705333200911549</v>
      </c>
      <c r="V21" s="38">
        <f t="shared" ref="V21:W21" si="76">V20</f>
        <v>20.5</v>
      </c>
      <c r="W21" s="124">
        <f t="shared" si="76"/>
        <v>1.1020000000000001</v>
      </c>
      <c r="X21" s="124">
        <f t="shared" si="20"/>
        <v>1.0940000000000001</v>
      </c>
      <c r="Y21" s="96">
        <v>375.53</v>
      </c>
      <c r="Z21" s="96">
        <v>385.41</v>
      </c>
      <c r="AA21" s="90">
        <f t="shared" ref="AA21:AB21" si="77">AA20</f>
        <v>10.01</v>
      </c>
      <c r="AB21" s="73" t="str">
        <f t="shared" si="77"/>
        <v>22,55,230</v>
      </c>
      <c r="AC21" s="97" t="str">
        <f t="shared" si="54"/>
        <v>22</v>
      </c>
      <c r="AD21" s="97" t="str">
        <f t="shared" si="55"/>
        <v>55,230</v>
      </c>
      <c r="AE21" s="97">
        <f t="shared" si="56"/>
        <v>0.38200833333333334</v>
      </c>
      <c r="AF21" s="98">
        <f t="shared" si="57"/>
        <v>26.203616849545167</v>
      </c>
      <c r="AG21" s="100">
        <f t="shared" si="58"/>
        <v>-1.2987012987007742</v>
      </c>
      <c r="AH21" s="38">
        <f t="shared" ref="AH21:AI21" si="78">AH20</f>
        <v>21</v>
      </c>
      <c r="AI21" s="124">
        <f t="shared" si="78"/>
        <v>1.0980000000000001</v>
      </c>
      <c r="AJ21" s="124">
        <f t="shared" si="24"/>
        <v>1.0880000000000001</v>
      </c>
      <c r="AK21" s="96">
        <f t="shared" si="59"/>
        <v>385.41</v>
      </c>
      <c r="AL21" s="96">
        <v>390.37</v>
      </c>
      <c r="AM21" s="34">
        <f t="shared" ref="AM21:AN21" si="79">AM20</f>
        <v>5.0090000000000003</v>
      </c>
      <c r="AN21" s="33" t="str">
        <f t="shared" si="79"/>
        <v>18,15,540</v>
      </c>
      <c r="AO21" s="97" t="str">
        <f t="shared" si="61"/>
        <v>18</v>
      </c>
      <c r="AP21" s="97" t="str">
        <f t="shared" si="62"/>
        <v>15,540</v>
      </c>
      <c r="AQ21" s="97">
        <f t="shared" si="63"/>
        <v>0.30431666666666668</v>
      </c>
      <c r="AR21" s="98">
        <f t="shared" si="64"/>
        <v>16.459828030012599</v>
      </c>
      <c r="AS21" s="100">
        <f t="shared" si="65"/>
        <v>-0.97823916949532441</v>
      </c>
      <c r="AT21" s="102" t="str">
        <f t="shared" si="66"/>
        <v>CONFORME</v>
      </c>
      <c r="AU21" s="8" t="b">
        <f t="shared" si="28"/>
        <v>1</v>
      </c>
      <c r="AV21" s="8" t="b">
        <f t="shared" si="29"/>
        <v>1</v>
      </c>
      <c r="AW21" s="8" t="b">
        <f t="shared" si="30"/>
        <v>1</v>
      </c>
      <c r="AX21" s="8" t="str">
        <f t="shared" si="31"/>
        <v>Qcorrecto</v>
      </c>
      <c r="AY21" s="26" t="str">
        <f t="shared" si="5"/>
        <v>aceptable</v>
      </c>
      <c r="AZ21" s="26" t="str">
        <f t="shared" si="6"/>
        <v>aceptable</v>
      </c>
      <c r="BA21" s="26" t="str">
        <f t="shared" si="32"/>
        <v>aceptable</v>
      </c>
      <c r="BB21" s="25" t="str">
        <f t="shared" si="33"/>
        <v>CONFORME</v>
      </c>
      <c r="BC21" s="5" t="str">
        <f t="shared" si="34"/>
        <v>CONFORME</v>
      </c>
      <c r="BD21" s="15">
        <f t="shared" si="7"/>
        <v>-1</v>
      </c>
      <c r="BE21" s="15">
        <f t="shared" si="8"/>
        <v>-1</v>
      </c>
      <c r="BF21" s="15">
        <f t="shared" si="9"/>
        <v>-1</v>
      </c>
      <c r="BG21" s="15" t="str">
        <f t="shared" si="10"/>
        <v>-1-1-1</v>
      </c>
      <c r="BH21" s="15" t="str">
        <f t="shared" si="11"/>
        <v>SD</v>
      </c>
      <c r="BI21" s="15" t="str">
        <f t="shared" si="12"/>
        <v>SI</v>
      </c>
      <c r="BJ21" s="15" t="b">
        <f t="shared" si="13"/>
        <v>1</v>
      </c>
      <c r="BK21" s="15" t="str">
        <f t="shared" si="14"/>
        <v>SIGIGUALES</v>
      </c>
      <c r="BL21" s="26" t="str">
        <f t="shared" si="15"/>
        <v>CONFORME</v>
      </c>
    </row>
    <row r="22" spans="1:64" ht="15.75" customHeight="1" x14ac:dyDescent="0.3">
      <c r="A22" s="91">
        <v>14</v>
      </c>
      <c r="B22" s="28">
        <f t="shared" ref="B22:E22" si="80">B21</f>
        <v>45920</v>
      </c>
      <c r="C22" s="28">
        <f t="shared" si="80"/>
        <v>45920</v>
      </c>
      <c r="D22" s="12">
        <f t="shared" si="80"/>
        <v>3</v>
      </c>
      <c r="E22" s="10">
        <f t="shared" si="80"/>
        <v>8</v>
      </c>
      <c r="F22" s="13"/>
      <c r="G22" s="157" t="s">
        <v>66</v>
      </c>
      <c r="H22" s="70">
        <f t="shared" ref="H22:L22" si="81">H21</f>
        <v>25.6</v>
      </c>
      <c r="I22" s="36">
        <f t="shared" si="81"/>
        <v>0</v>
      </c>
      <c r="J22" s="35">
        <f t="shared" si="81"/>
        <v>21</v>
      </c>
      <c r="K22" s="122">
        <f t="shared" si="81"/>
        <v>8.49</v>
      </c>
      <c r="L22" s="122">
        <f t="shared" si="81"/>
        <v>0.54900000000000004</v>
      </c>
      <c r="M22" s="41">
        <v>207.53</v>
      </c>
      <c r="N22" s="41">
        <v>307.39</v>
      </c>
      <c r="O22" s="32">
        <f t="shared" ref="O22:P22" si="82">O21</f>
        <v>100.69</v>
      </c>
      <c r="P22" s="168" t="str">
        <f t="shared" si="82"/>
        <v>2,30,160</v>
      </c>
      <c r="Q22" s="11" t="str">
        <f t="shared" si="47"/>
        <v>2</v>
      </c>
      <c r="R22" s="11" t="str">
        <f t="shared" si="48"/>
        <v>30,160</v>
      </c>
      <c r="S22" s="11">
        <f t="shared" si="49"/>
        <v>4.1711111111111109E-2</v>
      </c>
      <c r="T22" s="14">
        <f t="shared" si="50"/>
        <v>2413.9850825785829</v>
      </c>
      <c r="U22" s="37">
        <f t="shared" si="51"/>
        <v>-0.824312245506021</v>
      </c>
      <c r="V22" s="38">
        <f t="shared" ref="V22:W22" si="83">V21</f>
        <v>20.5</v>
      </c>
      <c r="W22" s="124">
        <f t="shared" si="83"/>
        <v>1.1020000000000001</v>
      </c>
      <c r="X22" s="124">
        <f t="shared" si="20"/>
        <v>1.0940000000000001</v>
      </c>
      <c r="Y22" s="41">
        <v>334.49</v>
      </c>
      <c r="Z22" s="41">
        <v>344.44</v>
      </c>
      <c r="AA22" s="90">
        <f t="shared" ref="AA22:AB22" si="84">AA21</f>
        <v>10.01</v>
      </c>
      <c r="AB22" s="73" t="str">
        <f t="shared" si="84"/>
        <v>22,55,230</v>
      </c>
      <c r="AC22" s="11" t="str">
        <f t="shared" si="54"/>
        <v>22</v>
      </c>
      <c r="AD22" s="11" t="str">
        <f t="shared" si="55"/>
        <v>55,230</v>
      </c>
      <c r="AE22" s="11">
        <f t="shared" si="56"/>
        <v>0.38200833333333334</v>
      </c>
      <c r="AF22" s="14">
        <f t="shared" si="57"/>
        <v>26.203616849545167</v>
      </c>
      <c r="AG22" s="39">
        <f t="shared" si="58"/>
        <v>-0.59940059940071089</v>
      </c>
      <c r="AH22" s="38">
        <f t="shared" ref="AH22:AI22" si="85">AH21</f>
        <v>21</v>
      </c>
      <c r="AI22" s="124">
        <f t="shared" si="85"/>
        <v>1.0980000000000001</v>
      </c>
      <c r="AJ22" s="124">
        <f t="shared" si="24"/>
        <v>1.0880000000000001</v>
      </c>
      <c r="AK22" s="41">
        <f t="shared" si="59"/>
        <v>344.44</v>
      </c>
      <c r="AL22" s="41">
        <v>349.45</v>
      </c>
      <c r="AM22" s="34">
        <f t="shared" ref="AM22:AN22" si="86">AM21</f>
        <v>5.0090000000000003</v>
      </c>
      <c r="AN22" s="33" t="str">
        <f t="shared" si="86"/>
        <v>18,15,540</v>
      </c>
      <c r="AO22" s="11" t="str">
        <f t="shared" si="61"/>
        <v>18</v>
      </c>
      <c r="AP22" s="11" t="str">
        <f t="shared" si="62"/>
        <v>15,540</v>
      </c>
      <c r="AQ22" s="11">
        <f t="shared" si="63"/>
        <v>0.30431666666666668</v>
      </c>
      <c r="AR22" s="14">
        <f t="shared" si="64"/>
        <v>16.459828030012599</v>
      </c>
      <c r="AS22" s="39">
        <f t="shared" si="65"/>
        <v>1.9964064683381192E-2</v>
      </c>
      <c r="AT22" s="40" t="str">
        <f t="shared" si="66"/>
        <v>CONFORME</v>
      </c>
      <c r="AU22" s="8" t="b">
        <f t="shared" si="28"/>
        <v>1</v>
      </c>
      <c r="AV22" s="8" t="b">
        <f t="shared" si="29"/>
        <v>1</v>
      </c>
      <c r="AW22" s="8" t="b">
        <f t="shared" si="30"/>
        <v>1</v>
      </c>
      <c r="AX22" s="8" t="str">
        <f t="shared" si="31"/>
        <v>Qcorrecto</v>
      </c>
      <c r="AY22" s="22" t="str">
        <f t="shared" si="5"/>
        <v>aceptable</v>
      </c>
      <c r="AZ22" s="22" t="str">
        <f t="shared" si="6"/>
        <v>aceptable</v>
      </c>
      <c r="BA22" s="22" t="str">
        <f t="shared" si="32"/>
        <v>aceptable</v>
      </c>
      <c r="BB22" s="25" t="str">
        <f t="shared" si="33"/>
        <v>CONFORME</v>
      </c>
      <c r="BC22" s="5" t="str">
        <f t="shared" si="34"/>
        <v>CONFORME</v>
      </c>
      <c r="BD22" s="15">
        <f t="shared" si="7"/>
        <v>-1</v>
      </c>
      <c r="BE22" s="15">
        <f t="shared" si="8"/>
        <v>-1</v>
      </c>
      <c r="BF22" s="15">
        <f t="shared" si="9"/>
        <v>1</v>
      </c>
      <c r="BG22" s="15" t="str">
        <f t="shared" si="10"/>
        <v>-1-11</v>
      </c>
      <c r="BH22" s="15" t="str">
        <f t="shared" si="11"/>
        <v>SD</v>
      </c>
      <c r="BI22" s="15" t="str">
        <f t="shared" si="12"/>
        <v>SD</v>
      </c>
      <c r="BJ22" s="15" t="b">
        <f t="shared" si="13"/>
        <v>0</v>
      </c>
      <c r="BK22" s="15" t="str">
        <f t="shared" si="14"/>
        <v>SIGDIFERENTES</v>
      </c>
      <c r="BL22" s="22" t="str">
        <f t="shared" si="15"/>
        <v>CONFORME</v>
      </c>
    </row>
    <row r="23" spans="1:64" ht="15" customHeight="1" x14ac:dyDescent="0.3">
      <c r="A23" s="91">
        <v>15</v>
      </c>
      <c r="B23" s="28">
        <f t="shared" ref="B23:E23" si="87">B22</f>
        <v>45920</v>
      </c>
      <c r="C23" s="28">
        <f t="shared" si="87"/>
        <v>45920</v>
      </c>
      <c r="D23" s="12">
        <f t="shared" si="87"/>
        <v>3</v>
      </c>
      <c r="E23" s="10">
        <f t="shared" si="87"/>
        <v>8</v>
      </c>
      <c r="F23" s="13"/>
      <c r="G23" s="157" t="s">
        <v>67</v>
      </c>
      <c r="H23" s="70">
        <f t="shared" ref="H23:L23" si="88">H22</f>
        <v>25.6</v>
      </c>
      <c r="I23" s="36">
        <f t="shared" si="88"/>
        <v>0</v>
      </c>
      <c r="J23" s="35">
        <f t="shared" si="88"/>
        <v>21</v>
      </c>
      <c r="K23" s="122">
        <f t="shared" si="88"/>
        <v>8.49</v>
      </c>
      <c r="L23" s="122">
        <f t="shared" si="88"/>
        <v>0.54900000000000004</v>
      </c>
      <c r="M23" s="41">
        <v>246.77</v>
      </c>
      <c r="N23" s="41">
        <v>346.77</v>
      </c>
      <c r="O23" s="32">
        <f t="shared" ref="O23:P23" si="89">O22</f>
        <v>100.69</v>
      </c>
      <c r="P23" s="168" t="str">
        <f t="shared" si="89"/>
        <v>2,30,160</v>
      </c>
      <c r="Q23" s="11" t="str">
        <f t="shared" si="47"/>
        <v>2</v>
      </c>
      <c r="R23" s="11" t="str">
        <f t="shared" si="48"/>
        <v>30,160</v>
      </c>
      <c r="S23" s="11">
        <f t="shared" si="49"/>
        <v>4.1711111111111109E-2</v>
      </c>
      <c r="T23" s="14">
        <f t="shared" si="50"/>
        <v>2413.9850825785829</v>
      </c>
      <c r="U23" s="37">
        <f t="shared" si="51"/>
        <v>-0.68527162578212952</v>
      </c>
      <c r="V23" s="38">
        <f t="shared" ref="V23:W23" si="90">V22</f>
        <v>20.5</v>
      </c>
      <c r="W23" s="124">
        <f t="shared" si="90"/>
        <v>1.1020000000000001</v>
      </c>
      <c r="X23" s="124">
        <f t="shared" si="20"/>
        <v>1.0940000000000001</v>
      </c>
      <c r="Y23" s="41">
        <v>373.78</v>
      </c>
      <c r="Z23" s="41">
        <v>383.67</v>
      </c>
      <c r="AA23" s="90">
        <f t="shared" ref="AA23:AB23" si="91">AA22</f>
        <v>10.01</v>
      </c>
      <c r="AB23" s="73" t="str">
        <f t="shared" si="91"/>
        <v>22,55,230</v>
      </c>
      <c r="AC23" s="11" t="str">
        <f t="shared" si="54"/>
        <v>22</v>
      </c>
      <c r="AD23" s="11" t="str">
        <f t="shared" si="55"/>
        <v>55,230</v>
      </c>
      <c r="AE23" s="11">
        <f t="shared" si="56"/>
        <v>0.38200833333333334</v>
      </c>
      <c r="AF23" s="14">
        <f t="shared" si="57"/>
        <v>26.203616849545167</v>
      </c>
      <c r="AG23" s="39">
        <f t="shared" si="58"/>
        <v>-1.1988011988007652</v>
      </c>
      <c r="AH23" s="38">
        <f t="shared" ref="AH23:AI23" si="92">AH22</f>
        <v>21</v>
      </c>
      <c r="AI23" s="124">
        <f t="shared" si="92"/>
        <v>1.0980000000000001</v>
      </c>
      <c r="AJ23" s="124">
        <f t="shared" si="24"/>
        <v>1.0880000000000001</v>
      </c>
      <c r="AK23" s="41">
        <f t="shared" si="59"/>
        <v>383.67</v>
      </c>
      <c r="AL23" s="41">
        <v>388.63</v>
      </c>
      <c r="AM23" s="34">
        <f t="shared" ref="AM23:AN23" si="93">AM22</f>
        <v>5.0090000000000003</v>
      </c>
      <c r="AN23" s="33" t="str">
        <f t="shared" si="93"/>
        <v>18,15,540</v>
      </c>
      <c r="AO23" s="11" t="str">
        <f t="shared" si="61"/>
        <v>18</v>
      </c>
      <c r="AP23" s="11" t="str">
        <f t="shared" si="62"/>
        <v>15,540</v>
      </c>
      <c r="AQ23" s="11">
        <f t="shared" si="63"/>
        <v>0.30431666666666668</v>
      </c>
      <c r="AR23" s="14">
        <f t="shared" si="64"/>
        <v>16.459828030012599</v>
      </c>
      <c r="AS23" s="39">
        <f t="shared" si="65"/>
        <v>-0.97823916949532441</v>
      </c>
      <c r="AT23" s="40" t="str">
        <f t="shared" si="66"/>
        <v>CONFORME</v>
      </c>
      <c r="AU23" s="8" t="b">
        <f t="shared" si="28"/>
        <v>1</v>
      </c>
      <c r="AV23" s="8" t="b">
        <f t="shared" si="29"/>
        <v>1</v>
      </c>
      <c r="AW23" s="8" t="b">
        <f t="shared" si="30"/>
        <v>1</v>
      </c>
      <c r="AX23" s="8" t="str">
        <f t="shared" si="31"/>
        <v>Qcorrecto</v>
      </c>
      <c r="AY23" s="22" t="str">
        <f t="shared" si="5"/>
        <v>aceptable</v>
      </c>
      <c r="AZ23" s="22" t="str">
        <f t="shared" si="6"/>
        <v>aceptable</v>
      </c>
      <c r="BA23" s="22" t="str">
        <f t="shared" si="32"/>
        <v>aceptable</v>
      </c>
      <c r="BB23" s="25" t="str">
        <f t="shared" si="33"/>
        <v>CONFORME</v>
      </c>
      <c r="BC23" s="5" t="str">
        <f t="shared" si="34"/>
        <v>CONFORME</v>
      </c>
      <c r="BD23" s="15">
        <f t="shared" si="7"/>
        <v>-1</v>
      </c>
      <c r="BE23" s="15">
        <f t="shared" si="8"/>
        <v>-1</v>
      </c>
      <c r="BF23" s="15">
        <f t="shared" si="9"/>
        <v>-1</v>
      </c>
      <c r="BG23" s="15" t="str">
        <f t="shared" si="10"/>
        <v>-1-1-1</v>
      </c>
      <c r="BH23" s="15" t="str">
        <f t="shared" si="11"/>
        <v>SD</v>
      </c>
      <c r="BI23" s="15" t="str">
        <f t="shared" si="12"/>
        <v>SI</v>
      </c>
      <c r="BJ23" s="15" t="b">
        <f t="shared" si="13"/>
        <v>1</v>
      </c>
      <c r="BK23" s="15" t="str">
        <f t="shared" si="14"/>
        <v>SIGIGUALES</v>
      </c>
      <c r="BL23" s="22" t="str">
        <f t="shared" si="15"/>
        <v>CONFORME</v>
      </c>
    </row>
    <row r="24" spans="1:64" s="152" customFormat="1" ht="15" customHeight="1" thickBot="1" x14ac:dyDescent="0.35">
      <c r="A24" s="159">
        <v>16</v>
      </c>
      <c r="B24" s="160">
        <f t="shared" ref="B24:E24" si="94">B23</f>
        <v>45920</v>
      </c>
      <c r="C24" s="160">
        <f t="shared" si="94"/>
        <v>45920</v>
      </c>
      <c r="D24" s="161">
        <f t="shared" si="94"/>
        <v>3</v>
      </c>
      <c r="E24" s="10">
        <f t="shared" si="94"/>
        <v>8</v>
      </c>
      <c r="F24" s="45"/>
      <c r="G24" s="207" t="s">
        <v>68</v>
      </c>
      <c r="H24" s="162">
        <f t="shared" ref="H24:L24" si="95">H23</f>
        <v>25.6</v>
      </c>
      <c r="I24" s="163">
        <f t="shared" si="95"/>
        <v>0</v>
      </c>
      <c r="J24" s="164">
        <f t="shared" si="95"/>
        <v>21</v>
      </c>
      <c r="K24" s="165">
        <f t="shared" si="95"/>
        <v>8.49</v>
      </c>
      <c r="L24" s="165">
        <f t="shared" si="95"/>
        <v>0.54900000000000004</v>
      </c>
      <c r="M24" s="166">
        <v>206.75</v>
      </c>
      <c r="N24" s="166">
        <v>306.42</v>
      </c>
      <c r="O24" s="167">
        <f t="shared" ref="O24:P24" si="96">O23</f>
        <v>100.69</v>
      </c>
      <c r="P24" s="168" t="str">
        <f t="shared" si="96"/>
        <v>2,30,160</v>
      </c>
      <c r="Q24" s="169" t="str">
        <f t="shared" si="47"/>
        <v>2</v>
      </c>
      <c r="R24" s="169" t="str">
        <f t="shared" si="48"/>
        <v>30,160</v>
      </c>
      <c r="S24" s="169">
        <f t="shared" si="49"/>
        <v>4.1711111111111109E-2</v>
      </c>
      <c r="T24" s="170">
        <f t="shared" si="50"/>
        <v>2413.9850825785829</v>
      </c>
      <c r="U24" s="171">
        <f t="shared" si="51"/>
        <v>-1.0130102294170045</v>
      </c>
      <c r="V24" s="172">
        <f t="shared" ref="V24:W24" si="97">V23</f>
        <v>20.5</v>
      </c>
      <c r="W24" s="173">
        <f t="shared" si="97"/>
        <v>1.1020000000000001</v>
      </c>
      <c r="X24" s="173">
        <f t="shared" si="20"/>
        <v>1.0940000000000001</v>
      </c>
      <c r="Y24" s="166">
        <v>333.48</v>
      </c>
      <c r="Z24" s="166">
        <v>343.43</v>
      </c>
      <c r="AA24" s="174">
        <f t="shared" ref="AA24:AB24" si="98">AA23</f>
        <v>10.01</v>
      </c>
      <c r="AB24" s="175" t="str">
        <f t="shared" si="98"/>
        <v>22,55,230</v>
      </c>
      <c r="AC24" s="169" t="str">
        <f t="shared" si="54"/>
        <v>22</v>
      </c>
      <c r="AD24" s="169" t="str">
        <f t="shared" si="55"/>
        <v>55,230</v>
      </c>
      <c r="AE24" s="169">
        <f t="shared" si="56"/>
        <v>0.38200833333333334</v>
      </c>
      <c r="AF24" s="170">
        <f t="shared" si="57"/>
        <v>26.203616849545167</v>
      </c>
      <c r="AG24" s="176">
        <f t="shared" si="58"/>
        <v>-0.59940059940071089</v>
      </c>
      <c r="AH24" s="172">
        <f t="shared" ref="AH24:AI24" si="99">AH23</f>
        <v>21</v>
      </c>
      <c r="AI24" s="173">
        <f t="shared" si="99"/>
        <v>1.0980000000000001</v>
      </c>
      <c r="AJ24" s="173">
        <f t="shared" si="24"/>
        <v>1.0880000000000001</v>
      </c>
      <c r="AK24" s="166">
        <f t="shared" si="59"/>
        <v>343.43</v>
      </c>
      <c r="AL24" s="166">
        <v>348.44</v>
      </c>
      <c r="AM24" s="177">
        <f t="shared" ref="AM24:AN24" si="100">AM23</f>
        <v>5.0090000000000003</v>
      </c>
      <c r="AN24" s="168" t="str">
        <f t="shared" si="100"/>
        <v>18,15,540</v>
      </c>
      <c r="AO24" s="169" t="str">
        <f t="shared" si="61"/>
        <v>18</v>
      </c>
      <c r="AP24" s="169" t="str">
        <f t="shared" si="62"/>
        <v>15,540</v>
      </c>
      <c r="AQ24" s="169">
        <f t="shared" si="63"/>
        <v>0.30431666666666668</v>
      </c>
      <c r="AR24" s="170">
        <f t="shared" si="64"/>
        <v>16.459828030012599</v>
      </c>
      <c r="AS24" s="176">
        <f t="shared" si="65"/>
        <v>1.9964064683381192E-2</v>
      </c>
      <c r="AT24" s="178" t="str">
        <f t="shared" si="66"/>
        <v>CONFORME</v>
      </c>
      <c r="AU24" s="147" t="b">
        <f t="shared" si="28"/>
        <v>1</v>
      </c>
      <c r="AV24" s="147" t="b">
        <f t="shared" si="29"/>
        <v>1</v>
      </c>
      <c r="AW24" s="147" t="b">
        <f t="shared" si="30"/>
        <v>1</v>
      </c>
      <c r="AX24" s="147" t="str">
        <f t="shared" si="31"/>
        <v>Qcorrecto</v>
      </c>
      <c r="AY24" s="148" t="str">
        <f t="shared" si="5"/>
        <v>aceptable</v>
      </c>
      <c r="AZ24" s="148" t="str">
        <f t="shared" si="6"/>
        <v>aceptable</v>
      </c>
      <c r="BA24" s="148" t="str">
        <f t="shared" si="32"/>
        <v>aceptable</v>
      </c>
      <c r="BB24" s="149" t="str">
        <f t="shared" si="33"/>
        <v>CONFORME</v>
      </c>
      <c r="BC24" s="150" t="str">
        <f t="shared" si="34"/>
        <v>CONFORME</v>
      </c>
      <c r="BD24" s="151">
        <f t="shared" si="7"/>
        <v>-1</v>
      </c>
      <c r="BE24" s="151">
        <f t="shared" si="8"/>
        <v>-1</v>
      </c>
      <c r="BF24" s="151">
        <f t="shared" si="9"/>
        <v>1</v>
      </c>
      <c r="BG24" s="151" t="str">
        <f t="shared" si="10"/>
        <v>-1-11</v>
      </c>
      <c r="BH24" s="151" t="str">
        <f t="shared" si="11"/>
        <v>SD</v>
      </c>
      <c r="BI24" s="151" t="str">
        <f t="shared" si="12"/>
        <v>SD</v>
      </c>
      <c r="BJ24" s="151" t="b">
        <f t="shared" si="13"/>
        <v>0</v>
      </c>
      <c r="BK24" s="151" t="str">
        <f t="shared" si="14"/>
        <v>SIGDIFERENTES</v>
      </c>
      <c r="BL24" s="148" t="str">
        <f t="shared" si="15"/>
        <v>CONFORME</v>
      </c>
    </row>
    <row r="25" spans="1:64" ht="15" customHeight="1" x14ac:dyDescent="0.3">
      <c r="A25" s="208">
        <v>17</v>
      </c>
      <c r="B25" s="209">
        <f t="shared" ref="B25:E25" si="101">B24</f>
        <v>45920</v>
      </c>
      <c r="C25" s="209">
        <f t="shared" si="101"/>
        <v>45920</v>
      </c>
      <c r="D25" s="210">
        <f t="shared" si="101"/>
        <v>3</v>
      </c>
      <c r="E25" s="10">
        <f t="shared" si="101"/>
        <v>8</v>
      </c>
      <c r="F25" s="42"/>
      <c r="G25" s="211" t="s">
        <v>69</v>
      </c>
      <c r="H25" s="212">
        <f t="shared" ref="H25:I25" si="102">H24</f>
        <v>25.6</v>
      </c>
      <c r="I25" s="213">
        <f t="shared" si="102"/>
        <v>0</v>
      </c>
      <c r="J25" s="243">
        <v>20.5</v>
      </c>
      <c r="K25" s="244">
        <v>8.4870000000000001</v>
      </c>
      <c r="L25" s="244">
        <v>0.59199999999999997</v>
      </c>
      <c r="M25" s="216">
        <v>100.7</v>
      </c>
      <c r="N25" s="216">
        <v>199.56</v>
      </c>
      <c r="O25" s="245">
        <v>100.31</v>
      </c>
      <c r="P25" s="246" t="s">
        <v>104</v>
      </c>
      <c r="Q25" s="219" t="str">
        <f t="shared" si="47"/>
        <v>2</v>
      </c>
      <c r="R25" s="219" t="str">
        <f t="shared" si="48"/>
        <v>30,140</v>
      </c>
      <c r="S25" s="219">
        <f t="shared" si="49"/>
        <v>4.1705555555555551E-2</v>
      </c>
      <c r="T25" s="220">
        <f t="shared" si="50"/>
        <v>2405.1951511922207</v>
      </c>
      <c r="U25" s="221">
        <f t="shared" si="51"/>
        <v>-1.4455188914365495</v>
      </c>
      <c r="V25" s="247">
        <v>20.7</v>
      </c>
      <c r="W25" s="223">
        <v>1.095</v>
      </c>
      <c r="X25" s="223">
        <v>1.0860000000000001</v>
      </c>
      <c r="Y25" s="216">
        <v>224.84</v>
      </c>
      <c r="Z25" s="216">
        <v>234.76</v>
      </c>
      <c r="AA25" s="248">
        <v>10.007999999999999</v>
      </c>
      <c r="AB25" s="249" t="s">
        <v>105</v>
      </c>
      <c r="AC25" s="219" t="str">
        <f t="shared" si="54"/>
        <v>22</v>
      </c>
      <c r="AD25" s="219" t="str">
        <f t="shared" si="55"/>
        <v>32,060</v>
      </c>
      <c r="AE25" s="219">
        <f t="shared" si="56"/>
        <v>0.3755722222222222</v>
      </c>
      <c r="AF25" s="220">
        <f t="shared" si="57"/>
        <v>26.647338135881544</v>
      </c>
      <c r="AG25" s="224">
        <f t="shared" si="58"/>
        <v>-0.8792965627499163</v>
      </c>
      <c r="AH25" s="247">
        <v>21.3</v>
      </c>
      <c r="AI25" s="223">
        <v>1.0960000000000001</v>
      </c>
      <c r="AJ25" s="223">
        <v>1.087</v>
      </c>
      <c r="AK25" s="216">
        <f t="shared" si="59"/>
        <v>234.76</v>
      </c>
      <c r="AL25" s="216">
        <v>239.72</v>
      </c>
      <c r="AM25" s="250">
        <v>5.0049999999999999</v>
      </c>
      <c r="AN25" s="251" t="s">
        <v>106</v>
      </c>
      <c r="AO25" s="219" t="str">
        <f t="shared" si="61"/>
        <v>18</v>
      </c>
      <c r="AP25" s="219" t="str">
        <f t="shared" si="62"/>
        <v>09,850</v>
      </c>
      <c r="AQ25" s="219">
        <f t="shared" si="63"/>
        <v>0.30273611111111109</v>
      </c>
      <c r="AR25" s="220">
        <f t="shared" si="64"/>
        <v>16.532550350965728</v>
      </c>
      <c r="AS25" s="224">
        <f t="shared" si="65"/>
        <v>-0.89910089910073798</v>
      </c>
      <c r="AT25" s="225" t="str">
        <f t="shared" si="66"/>
        <v>CONFORME</v>
      </c>
      <c r="AU25" s="8" t="b">
        <f t="shared" si="28"/>
        <v>1</v>
      </c>
      <c r="AV25" s="8" t="b">
        <f t="shared" si="29"/>
        <v>1</v>
      </c>
      <c r="AW25" s="8" t="b">
        <f t="shared" si="30"/>
        <v>1</v>
      </c>
      <c r="AX25" s="8" t="str">
        <f t="shared" si="31"/>
        <v>Qcorrecto</v>
      </c>
      <c r="AY25" s="26" t="str">
        <f t="shared" si="5"/>
        <v>aceptable</v>
      </c>
      <c r="AZ25" s="26" t="str">
        <f t="shared" si="6"/>
        <v>aceptable</v>
      </c>
      <c r="BA25" s="26" t="str">
        <f t="shared" si="32"/>
        <v>aceptable</v>
      </c>
      <c r="BB25" s="25" t="str">
        <f t="shared" si="33"/>
        <v>CONFORME</v>
      </c>
      <c r="BC25" s="5" t="str">
        <f t="shared" si="34"/>
        <v>CONFORME</v>
      </c>
      <c r="BD25" s="15">
        <f t="shared" si="7"/>
        <v>-1</v>
      </c>
      <c r="BE25" s="15">
        <f t="shared" si="8"/>
        <v>-1</v>
      </c>
      <c r="BF25" s="15">
        <f t="shared" si="9"/>
        <v>-1</v>
      </c>
      <c r="BG25" s="15" t="str">
        <f t="shared" si="10"/>
        <v>-1-1-1</v>
      </c>
      <c r="BH25" s="15" t="str">
        <f t="shared" si="11"/>
        <v>SD</v>
      </c>
      <c r="BI25" s="15" t="str">
        <f t="shared" si="12"/>
        <v>SI</v>
      </c>
      <c r="BJ25" s="15" t="b">
        <f t="shared" si="13"/>
        <v>1</v>
      </c>
      <c r="BK25" s="15" t="str">
        <f t="shared" si="14"/>
        <v>SIGIGUALES</v>
      </c>
      <c r="BL25" s="26" t="str">
        <f t="shared" si="15"/>
        <v>CONFORME</v>
      </c>
    </row>
    <row r="26" spans="1:64" ht="15" customHeight="1" x14ac:dyDescent="0.3">
      <c r="A26" s="91">
        <v>18</v>
      </c>
      <c r="B26" s="28">
        <f t="shared" ref="B26:E26" si="103">B25</f>
        <v>45920</v>
      </c>
      <c r="C26" s="28">
        <f t="shared" si="103"/>
        <v>45920</v>
      </c>
      <c r="D26" s="12">
        <f t="shared" si="103"/>
        <v>3</v>
      </c>
      <c r="E26" s="10">
        <f t="shared" si="103"/>
        <v>8</v>
      </c>
      <c r="F26" s="13"/>
      <c r="G26" s="157" t="s">
        <v>70</v>
      </c>
      <c r="H26" s="70">
        <f t="shared" ref="H26:L26" si="104">H25</f>
        <v>25.6</v>
      </c>
      <c r="I26" s="36">
        <f t="shared" si="104"/>
        <v>0</v>
      </c>
      <c r="J26" s="35">
        <f t="shared" si="104"/>
        <v>20.5</v>
      </c>
      <c r="K26" s="122">
        <f t="shared" si="104"/>
        <v>8.4870000000000001</v>
      </c>
      <c r="L26" s="122">
        <f t="shared" si="104"/>
        <v>0.59199999999999997</v>
      </c>
      <c r="M26" s="41">
        <v>141.29</v>
      </c>
      <c r="N26" s="41">
        <v>240.55</v>
      </c>
      <c r="O26" s="32">
        <f t="shared" ref="O26:P26" si="105">O25</f>
        <v>100.31</v>
      </c>
      <c r="P26" s="168" t="str">
        <f t="shared" si="105"/>
        <v>2,30,140</v>
      </c>
      <c r="Q26" s="11" t="str">
        <f t="shared" si="47"/>
        <v>2</v>
      </c>
      <c r="R26" s="11" t="str">
        <f t="shared" si="48"/>
        <v>30,140</v>
      </c>
      <c r="S26" s="11">
        <f t="shared" si="49"/>
        <v>4.1705555555555551E-2</v>
      </c>
      <c r="T26" s="14">
        <f t="shared" si="50"/>
        <v>2405.1951511922207</v>
      </c>
      <c r="U26" s="37">
        <f t="shared" si="51"/>
        <v>-1.046755059316103</v>
      </c>
      <c r="V26" s="38">
        <f t="shared" ref="V26:W26" si="106">V25</f>
        <v>20.7</v>
      </c>
      <c r="W26" s="124">
        <f t="shared" si="106"/>
        <v>1.095</v>
      </c>
      <c r="X26" s="124">
        <f t="shared" si="20"/>
        <v>1.0860000000000001</v>
      </c>
      <c r="Y26" s="41">
        <v>265.99</v>
      </c>
      <c r="Z26" s="41">
        <v>275.99</v>
      </c>
      <c r="AA26" s="90">
        <f t="shared" ref="AA26:AB26" si="107">AA25</f>
        <v>10.007999999999999</v>
      </c>
      <c r="AB26" s="73" t="str">
        <f t="shared" si="107"/>
        <v>22,32,060</v>
      </c>
      <c r="AC26" s="11" t="str">
        <f t="shared" si="54"/>
        <v>22</v>
      </c>
      <c r="AD26" s="11" t="str">
        <f t="shared" si="55"/>
        <v>32,060</v>
      </c>
      <c r="AE26" s="11">
        <f t="shared" si="56"/>
        <v>0.3755722222222222</v>
      </c>
      <c r="AF26" s="14">
        <f t="shared" si="57"/>
        <v>26.647338135881544</v>
      </c>
      <c r="AG26" s="39">
        <f t="shared" si="58"/>
        <v>-7.9936051159063951E-2</v>
      </c>
      <c r="AH26" s="38">
        <f t="shared" ref="AH26:AI26" si="108">AH25</f>
        <v>21.3</v>
      </c>
      <c r="AI26" s="124">
        <f t="shared" si="108"/>
        <v>1.0960000000000001</v>
      </c>
      <c r="AJ26" s="124">
        <f t="shared" si="24"/>
        <v>1.087</v>
      </c>
      <c r="AK26" s="41">
        <f t="shared" si="59"/>
        <v>275.99</v>
      </c>
      <c r="AL26" s="41">
        <v>281.02</v>
      </c>
      <c r="AM26" s="34">
        <f t="shared" ref="AM26:AN26" si="109">AM25</f>
        <v>5.0049999999999999</v>
      </c>
      <c r="AN26" s="33" t="str">
        <f t="shared" si="109"/>
        <v>18,09,850</v>
      </c>
      <c r="AO26" s="11" t="str">
        <f t="shared" si="61"/>
        <v>18</v>
      </c>
      <c r="AP26" s="11" t="str">
        <f t="shared" si="62"/>
        <v>09,850</v>
      </c>
      <c r="AQ26" s="11">
        <f t="shared" si="63"/>
        <v>0.30273611111111109</v>
      </c>
      <c r="AR26" s="14">
        <f t="shared" si="64"/>
        <v>16.532550350965728</v>
      </c>
      <c r="AS26" s="39">
        <f t="shared" si="65"/>
        <v>0.49950049949995651</v>
      </c>
      <c r="AT26" s="40" t="str">
        <f t="shared" si="66"/>
        <v>CONFORME</v>
      </c>
      <c r="AU26" s="8" t="b">
        <f t="shared" si="28"/>
        <v>1</v>
      </c>
      <c r="AV26" s="8" t="b">
        <f t="shared" si="29"/>
        <v>1</v>
      </c>
      <c r="AW26" s="8" t="b">
        <f t="shared" si="30"/>
        <v>1</v>
      </c>
      <c r="AX26" s="8" t="str">
        <f t="shared" si="31"/>
        <v>Qcorrecto</v>
      </c>
      <c r="AY26" s="22" t="str">
        <f t="shared" si="5"/>
        <v>aceptable</v>
      </c>
      <c r="AZ26" s="22" t="str">
        <f t="shared" si="6"/>
        <v>aceptable</v>
      </c>
      <c r="BA26" s="22" t="str">
        <f t="shared" si="32"/>
        <v>aceptable</v>
      </c>
      <c r="BB26" s="25" t="str">
        <f t="shared" si="33"/>
        <v>CONFORME</v>
      </c>
      <c r="BC26" s="5" t="str">
        <f t="shared" si="34"/>
        <v>CONFORME</v>
      </c>
      <c r="BD26" s="15">
        <f t="shared" si="7"/>
        <v>-1</v>
      </c>
      <c r="BE26" s="15">
        <f t="shared" si="8"/>
        <v>-1</v>
      </c>
      <c r="BF26" s="15">
        <f t="shared" si="9"/>
        <v>1</v>
      </c>
      <c r="BG26" s="15" t="str">
        <f t="shared" si="10"/>
        <v>-1-11</v>
      </c>
      <c r="BH26" s="15" t="str">
        <f t="shared" si="11"/>
        <v>SD</v>
      </c>
      <c r="BI26" s="15" t="str">
        <f t="shared" si="12"/>
        <v>SD</v>
      </c>
      <c r="BJ26" s="15" t="b">
        <f t="shared" si="13"/>
        <v>0</v>
      </c>
      <c r="BK26" s="15" t="str">
        <f t="shared" si="14"/>
        <v>SIGDIFERENTES</v>
      </c>
      <c r="BL26" s="22" t="str">
        <f t="shared" si="15"/>
        <v>CONFORME</v>
      </c>
    </row>
    <row r="27" spans="1:64" ht="15" customHeight="1" x14ac:dyDescent="0.3">
      <c r="A27" s="91">
        <v>19</v>
      </c>
      <c r="B27" s="28">
        <f t="shared" ref="B27:E27" si="110">B26</f>
        <v>45920</v>
      </c>
      <c r="C27" s="28">
        <f t="shared" si="110"/>
        <v>45920</v>
      </c>
      <c r="D27" s="12">
        <f t="shared" si="110"/>
        <v>3</v>
      </c>
      <c r="E27" s="10">
        <f t="shared" si="110"/>
        <v>8</v>
      </c>
      <c r="F27" s="13"/>
      <c r="G27" s="157" t="s">
        <v>71</v>
      </c>
      <c r="H27" s="70">
        <f t="shared" ref="H27:L27" si="111">H26</f>
        <v>25.6</v>
      </c>
      <c r="I27" s="36">
        <f t="shared" si="111"/>
        <v>0</v>
      </c>
      <c r="J27" s="35">
        <f t="shared" si="111"/>
        <v>20.5</v>
      </c>
      <c r="K27" s="122">
        <f t="shared" si="111"/>
        <v>8.4870000000000001</v>
      </c>
      <c r="L27" s="122">
        <f t="shared" si="111"/>
        <v>0.59199999999999997</v>
      </c>
      <c r="M27" s="41">
        <v>103.19</v>
      </c>
      <c r="N27" s="41">
        <v>202.51</v>
      </c>
      <c r="O27" s="32">
        <f t="shared" ref="O27:P27" si="112">O26</f>
        <v>100.31</v>
      </c>
      <c r="P27" s="168" t="str">
        <f t="shared" si="112"/>
        <v>2,30,140</v>
      </c>
      <c r="Q27" s="11" t="str">
        <f t="shared" si="47"/>
        <v>2</v>
      </c>
      <c r="R27" s="11" t="str">
        <f t="shared" si="48"/>
        <v>30,140</v>
      </c>
      <c r="S27" s="11">
        <f t="shared" si="49"/>
        <v>4.1705555555555551E-2</v>
      </c>
      <c r="T27" s="14">
        <f t="shared" si="50"/>
        <v>2405.1951511922207</v>
      </c>
      <c r="U27" s="37">
        <f t="shared" si="51"/>
        <v>-0.98694048449806515</v>
      </c>
      <c r="V27" s="38">
        <f t="shared" ref="V27:W27" si="113">V26</f>
        <v>20.7</v>
      </c>
      <c r="W27" s="124">
        <f t="shared" si="113"/>
        <v>1.095</v>
      </c>
      <c r="X27" s="124">
        <f t="shared" si="20"/>
        <v>1.0860000000000001</v>
      </c>
      <c r="Y27" s="41">
        <v>227.95</v>
      </c>
      <c r="Z27" s="41">
        <v>237.9</v>
      </c>
      <c r="AA27" s="90">
        <f t="shared" ref="AA27:AB27" si="114">AA26</f>
        <v>10.007999999999999</v>
      </c>
      <c r="AB27" s="73" t="str">
        <f t="shared" si="114"/>
        <v>22,32,060</v>
      </c>
      <c r="AC27" s="11" t="str">
        <f t="shared" si="54"/>
        <v>22</v>
      </c>
      <c r="AD27" s="11" t="str">
        <f t="shared" si="55"/>
        <v>32,060</v>
      </c>
      <c r="AE27" s="11">
        <f t="shared" si="56"/>
        <v>0.3755722222222222</v>
      </c>
      <c r="AF27" s="14">
        <f t="shared" si="57"/>
        <v>26.647338135881544</v>
      </c>
      <c r="AG27" s="39">
        <f t="shared" si="58"/>
        <v>-0.57953637090309817</v>
      </c>
      <c r="AH27" s="38">
        <f t="shared" ref="AH27:AI27" si="115">AH26</f>
        <v>21.3</v>
      </c>
      <c r="AI27" s="124">
        <f t="shared" si="115"/>
        <v>1.0960000000000001</v>
      </c>
      <c r="AJ27" s="124">
        <f t="shared" si="24"/>
        <v>1.087</v>
      </c>
      <c r="AK27" s="41">
        <f t="shared" si="59"/>
        <v>237.9</v>
      </c>
      <c r="AL27" s="41">
        <v>242.94</v>
      </c>
      <c r="AM27" s="34">
        <f t="shared" ref="AM27:AN27" si="116">AM26</f>
        <v>5.0049999999999999</v>
      </c>
      <c r="AN27" s="33" t="str">
        <f t="shared" si="116"/>
        <v>18,09,850</v>
      </c>
      <c r="AO27" s="11" t="str">
        <f t="shared" si="61"/>
        <v>18</v>
      </c>
      <c r="AP27" s="11" t="str">
        <f t="shared" si="62"/>
        <v>09,850</v>
      </c>
      <c r="AQ27" s="11">
        <f t="shared" si="63"/>
        <v>0.30273611111111109</v>
      </c>
      <c r="AR27" s="14">
        <f t="shared" si="64"/>
        <v>16.532550350965728</v>
      </c>
      <c r="AS27" s="39">
        <f t="shared" si="65"/>
        <v>0.69930069930054251</v>
      </c>
      <c r="AT27" s="40" t="str">
        <f t="shared" si="66"/>
        <v>CONFORME</v>
      </c>
      <c r="AU27" s="8" t="b">
        <f t="shared" si="28"/>
        <v>1</v>
      </c>
      <c r="AV27" s="8" t="b">
        <f t="shared" si="29"/>
        <v>1</v>
      </c>
      <c r="AW27" s="8" t="b">
        <f t="shared" si="30"/>
        <v>1</v>
      </c>
      <c r="AX27" s="8" t="str">
        <f t="shared" si="31"/>
        <v>Qcorrecto</v>
      </c>
      <c r="AY27" s="22" t="str">
        <f t="shared" si="5"/>
        <v>aceptable</v>
      </c>
      <c r="AZ27" s="22" t="str">
        <f t="shared" si="6"/>
        <v>aceptable</v>
      </c>
      <c r="BA27" s="22" t="str">
        <f t="shared" si="32"/>
        <v>aceptable</v>
      </c>
      <c r="BB27" s="25" t="str">
        <f t="shared" si="33"/>
        <v>CONFORME</v>
      </c>
      <c r="BC27" s="5" t="str">
        <f t="shared" si="34"/>
        <v>CONFORME</v>
      </c>
      <c r="BD27" s="15">
        <f t="shared" si="7"/>
        <v>-1</v>
      </c>
      <c r="BE27" s="15">
        <f t="shared" si="8"/>
        <v>-1</v>
      </c>
      <c r="BF27" s="15">
        <f t="shared" si="9"/>
        <v>1</v>
      </c>
      <c r="BG27" s="15" t="str">
        <f t="shared" si="10"/>
        <v>-1-11</v>
      </c>
      <c r="BH27" s="15" t="str">
        <f t="shared" si="11"/>
        <v>SD</v>
      </c>
      <c r="BI27" s="15" t="str">
        <f t="shared" si="12"/>
        <v>SD</v>
      </c>
      <c r="BJ27" s="15" t="b">
        <f t="shared" si="13"/>
        <v>0</v>
      </c>
      <c r="BK27" s="15" t="str">
        <f t="shared" si="14"/>
        <v>SIGDIFERENTES</v>
      </c>
      <c r="BL27" s="22" t="str">
        <f t="shared" si="15"/>
        <v>CONFORME</v>
      </c>
    </row>
    <row r="28" spans="1:64" ht="15" customHeight="1" x14ac:dyDescent="0.3">
      <c r="A28" s="91">
        <v>20</v>
      </c>
      <c r="B28" s="28">
        <f t="shared" ref="B28:E28" si="117">B27</f>
        <v>45920</v>
      </c>
      <c r="C28" s="28">
        <f t="shared" si="117"/>
        <v>45920</v>
      </c>
      <c r="D28" s="12">
        <f t="shared" si="117"/>
        <v>3</v>
      </c>
      <c r="E28" s="10">
        <f t="shared" si="117"/>
        <v>8</v>
      </c>
      <c r="F28" s="13"/>
      <c r="G28" s="157" t="s">
        <v>72</v>
      </c>
      <c r="H28" s="70">
        <f t="shared" ref="H28:L28" si="118">H27</f>
        <v>25.6</v>
      </c>
      <c r="I28" s="36">
        <f t="shared" si="118"/>
        <v>0</v>
      </c>
      <c r="J28" s="35">
        <f t="shared" si="118"/>
        <v>20.5</v>
      </c>
      <c r="K28" s="122">
        <f t="shared" si="118"/>
        <v>8.4870000000000001</v>
      </c>
      <c r="L28" s="122">
        <f t="shared" si="118"/>
        <v>0.59199999999999997</v>
      </c>
      <c r="M28" s="41">
        <v>140.69999999999999</v>
      </c>
      <c r="N28" s="41">
        <v>240.36</v>
      </c>
      <c r="O28" s="32">
        <f t="shared" ref="O28:P28" si="119">O27</f>
        <v>100.31</v>
      </c>
      <c r="P28" s="168" t="str">
        <f t="shared" si="119"/>
        <v>2,30,140</v>
      </c>
      <c r="Q28" s="11" t="str">
        <f t="shared" si="47"/>
        <v>2</v>
      </c>
      <c r="R28" s="11" t="str">
        <f t="shared" si="48"/>
        <v>30,140</v>
      </c>
      <c r="S28" s="11">
        <f t="shared" si="49"/>
        <v>4.1705555555555551E-2</v>
      </c>
      <c r="T28" s="14">
        <f t="shared" si="50"/>
        <v>2405.1951511922207</v>
      </c>
      <c r="U28" s="37">
        <f t="shared" si="51"/>
        <v>-0.64799122719567059</v>
      </c>
      <c r="V28" s="38">
        <f t="shared" ref="V28:W28" si="120">V27</f>
        <v>20.7</v>
      </c>
      <c r="W28" s="124">
        <f t="shared" si="120"/>
        <v>1.095</v>
      </c>
      <c r="X28" s="124">
        <f t="shared" si="20"/>
        <v>1.0860000000000001</v>
      </c>
      <c r="Y28" s="41">
        <v>265.75</v>
      </c>
      <c r="Z28" s="41">
        <v>275.69</v>
      </c>
      <c r="AA28" s="90">
        <f t="shared" ref="AA28:AB28" si="121">AA27</f>
        <v>10.007999999999999</v>
      </c>
      <c r="AB28" s="73" t="str">
        <f t="shared" si="121"/>
        <v>22,32,060</v>
      </c>
      <c r="AC28" s="11" t="str">
        <f t="shared" si="54"/>
        <v>22</v>
      </c>
      <c r="AD28" s="11" t="str">
        <f t="shared" si="55"/>
        <v>32,060</v>
      </c>
      <c r="AE28" s="11">
        <f t="shared" si="56"/>
        <v>0.3755722222222222</v>
      </c>
      <c r="AF28" s="14">
        <f t="shared" si="57"/>
        <v>26.647338135881544</v>
      </c>
      <c r="AG28" s="39">
        <f t="shared" si="58"/>
        <v>-0.67945643485213225</v>
      </c>
      <c r="AH28" s="38">
        <f t="shared" ref="AH28:AI28" si="122">AH27</f>
        <v>21.3</v>
      </c>
      <c r="AI28" s="124">
        <f t="shared" si="122"/>
        <v>1.0960000000000001</v>
      </c>
      <c r="AJ28" s="124">
        <f t="shared" si="24"/>
        <v>1.087</v>
      </c>
      <c r="AK28" s="41">
        <f t="shared" si="59"/>
        <v>275.69</v>
      </c>
      <c r="AL28" s="41">
        <v>280.68</v>
      </c>
      <c r="AM28" s="34">
        <f t="shared" ref="AM28:AN28" si="123">AM27</f>
        <v>5.0049999999999999</v>
      </c>
      <c r="AN28" s="33" t="str">
        <f t="shared" si="123"/>
        <v>18,09,850</v>
      </c>
      <c r="AO28" s="11" t="str">
        <f t="shared" si="61"/>
        <v>18</v>
      </c>
      <c r="AP28" s="11" t="str">
        <f t="shared" si="62"/>
        <v>09,850</v>
      </c>
      <c r="AQ28" s="11">
        <f t="shared" si="63"/>
        <v>0.30273611111111109</v>
      </c>
      <c r="AR28" s="14">
        <f t="shared" si="64"/>
        <v>16.532550350965728</v>
      </c>
      <c r="AS28" s="39">
        <f t="shared" si="65"/>
        <v>-0.29970029970011586</v>
      </c>
      <c r="AT28" s="40" t="str">
        <f t="shared" si="66"/>
        <v>CONFORME</v>
      </c>
      <c r="AU28" s="8" t="b">
        <f t="shared" si="28"/>
        <v>1</v>
      </c>
      <c r="AV28" s="8" t="b">
        <f t="shared" si="29"/>
        <v>1</v>
      </c>
      <c r="AW28" s="8" t="b">
        <f t="shared" si="30"/>
        <v>1</v>
      </c>
      <c r="AX28" s="8" t="str">
        <f t="shared" si="31"/>
        <v>Qcorrecto</v>
      </c>
      <c r="AY28" s="22" t="str">
        <f t="shared" si="5"/>
        <v>aceptable</v>
      </c>
      <c r="AZ28" s="22" t="str">
        <f t="shared" si="6"/>
        <v>aceptable</v>
      </c>
      <c r="BA28" s="22" t="str">
        <f t="shared" si="32"/>
        <v>aceptable</v>
      </c>
      <c r="BB28" s="25" t="str">
        <f t="shared" si="33"/>
        <v>CONFORME</v>
      </c>
      <c r="BC28" s="5" t="str">
        <f t="shared" si="34"/>
        <v>CONFORME</v>
      </c>
      <c r="BD28" s="15">
        <f t="shared" si="7"/>
        <v>-1</v>
      </c>
      <c r="BE28" s="15">
        <f t="shared" si="8"/>
        <v>-1</v>
      </c>
      <c r="BF28" s="15">
        <f t="shared" si="9"/>
        <v>-1</v>
      </c>
      <c r="BG28" s="15" t="str">
        <f t="shared" si="10"/>
        <v>-1-1-1</v>
      </c>
      <c r="BH28" s="15" t="str">
        <f t="shared" si="11"/>
        <v>SD</v>
      </c>
      <c r="BI28" s="15" t="str">
        <f t="shared" si="12"/>
        <v>SI</v>
      </c>
      <c r="BJ28" s="15" t="b">
        <f t="shared" si="13"/>
        <v>1</v>
      </c>
      <c r="BK28" s="15" t="str">
        <f t="shared" si="14"/>
        <v>SIGIGUALES</v>
      </c>
      <c r="BL28" s="22" t="str">
        <f t="shared" si="15"/>
        <v>CONFORME</v>
      </c>
    </row>
    <row r="29" spans="1:64" ht="15.75" customHeight="1" x14ac:dyDescent="0.3">
      <c r="A29" s="91">
        <v>21</v>
      </c>
      <c r="B29" s="28">
        <f t="shared" ref="B29:E29" si="124">B28</f>
        <v>45920</v>
      </c>
      <c r="C29" s="28">
        <f t="shared" si="124"/>
        <v>45920</v>
      </c>
      <c r="D29" s="12">
        <f t="shared" si="124"/>
        <v>3</v>
      </c>
      <c r="E29" s="10">
        <f t="shared" si="124"/>
        <v>8</v>
      </c>
      <c r="F29" s="13"/>
      <c r="G29" s="157" t="s">
        <v>73</v>
      </c>
      <c r="H29" s="70">
        <f t="shared" ref="H29:L29" si="125">H28</f>
        <v>25.6</v>
      </c>
      <c r="I29" s="36">
        <f t="shared" si="125"/>
        <v>0</v>
      </c>
      <c r="J29" s="35">
        <f t="shared" si="125"/>
        <v>20.5</v>
      </c>
      <c r="K29" s="122">
        <f t="shared" si="125"/>
        <v>8.4870000000000001</v>
      </c>
      <c r="L29" s="122">
        <f t="shared" si="125"/>
        <v>0.59199999999999997</v>
      </c>
      <c r="M29" s="41">
        <v>102.85</v>
      </c>
      <c r="N29" s="41">
        <v>202.66</v>
      </c>
      <c r="O29" s="32">
        <f t="shared" ref="O29:P29" si="126">O28</f>
        <v>100.31</v>
      </c>
      <c r="P29" s="33" t="str">
        <f t="shared" si="126"/>
        <v>2,30,140</v>
      </c>
      <c r="Q29" s="11" t="str">
        <f t="shared" si="47"/>
        <v>2</v>
      </c>
      <c r="R29" s="11" t="str">
        <f t="shared" si="48"/>
        <v>30,140</v>
      </c>
      <c r="S29" s="11">
        <f t="shared" si="49"/>
        <v>4.1705555555555551E-2</v>
      </c>
      <c r="T29" s="14">
        <f t="shared" si="50"/>
        <v>2405.1951511922207</v>
      </c>
      <c r="U29" s="37">
        <f t="shared" si="51"/>
        <v>-0.49845479015053334</v>
      </c>
      <c r="V29" s="38">
        <f t="shared" ref="V29:W29" si="127">V28</f>
        <v>20.7</v>
      </c>
      <c r="W29" s="124">
        <f t="shared" si="127"/>
        <v>1.095</v>
      </c>
      <c r="X29" s="124">
        <f t="shared" si="20"/>
        <v>1.0860000000000001</v>
      </c>
      <c r="Y29" s="41">
        <v>228.26</v>
      </c>
      <c r="Z29" s="41">
        <v>238.27</v>
      </c>
      <c r="AA29" s="90">
        <f t="shared" ref="AA29:AB29" si="128">AA28</f>
        <v>10.007999999999999</v>
      </c>
      <c r="AB29" s="73" t="str">
        <f t="shared" si="128"/>
        <v>22,32,060</v>
      </c>
      <c r="AC29" s="11" t="str">
        <f t="shared" si="54"/>
        <v>22</v>
      </c>
      <c r="AD29" s="11" t="str">
        <f t="shared" si="55"/>
        <v>32,060</v>
      </c>
      <c r="AE29" s="11">
        <f t="shared" si="56"/>
        <v>0.3755722222222222</v>
      </c>
      <c r="AF29" s="14">
        <f t="shared" si="57"/>
        <v>26.647338135881544</v>
      </c>
      <c r="AG29" s="39">
        <f t="shared" si="58"/>
        <v>1.9984012789970106E-2</v>
      </c>
      <c r="AH29" s="38">
        <f t="shared" ref="AH29:AI29" si="129">AH28</f>
        <v>21.3</v>
      </c>
      <c r="AI29" s="124">
        <f t="shared" si="129"/>
        <v>1.0960000000000001</v>
      </c>
      <c r="AJ29" s="124">
        <f t="shared" si="24"/>
        <v>1.087</v>
      </c>
      <c r="AK29" s="41">
        <f t="shared" si="59"/>
        <v>238.27</v>
      </c>
      <c r="AL29" s="41">
        <v>243.29</v>
      </c>
      <c r="AM29" s="34">
        <f t="shared" ref="AM29:AN29" si="130">AM28</f>
        <v>5.0049999999999999</v>
      </c>
      <c r="AN29" s="33" t="str">
        <f t="shared" si="130"/>
        <v>18,09,850</v>
      </c>
      <c r="AO29" s="11" t="str">
        <f t="shared" si="61"/>
        <v>18</v>
      </c>
      <c r="AP29" s="11" t="str">
        <f t="shared" si="62"/>
        <v>09,850</v>
      </c>
      <c r="AQ29" s="11">
        <f t="shared" si="63"/>
        <v>0.30273611111111109</v>
      </c>
      <c r="AR29" s="14">
        <f t="shared" si="64"/>
        <v>16.532550350965728</v>
      </c>
      <c r="AS29" s="39">
        <f t="shared" si="65"/>
        <v>0.29970029969993839</v>
      </c>
      <c r="AT29" s="40" t="str">
        <f t="shared" si="66"/>
        <v>CONFORME</v>
      </c>
      <c r="AU29" s="8" t="b">
        <f t="shared" si="28"/>
        <v>1</v>
      </c>
      <c r="AV29" s="8" t="b">
        <f t="shared" si="29"/>
        <v>1</v>
      </c>
      <c r="AW29" s="8" t="b">
        <f t="shared" si="30"/>
        <v>1</v>
      </c>
      <c r="AX29" s="8" t="str">
        <f t="shared" si="31"/>
        <v>Qcorrecto</v>
      </c>
      <c r="AY29" s="22" t="str">
        <f t="shared" si="5"/>
        <v>aceptable</v>
      </c>
      <c r="AZ29" s="22" t="str">
        <f t="shared" si="6"/>
        <v>aceptable</v>
      </c>
      <c r="BA29" s="22" t="str">
        <f t="shared" si="32"/>
        <v>aceptable</v>
      </c>
      <c r="BB29" s="25" t="str">
        <f t="shared" si="33"/>
        <v>CONFORME</v>
      </c>
      <c r="BC29" s="5" t="str">
        <f t="shared" si="34"/>
        <v>CONFORME</v>
      </c>
      <c r="BD29" s="15">
        <f t="shared" si="7"/>
        <v>-1</v>
      </c>
      <c r="BE29" s="15">
        <f t="shared" si="8"/>
        <v>1</v>
      </c>
      <c r="BF29" s="15">
        <f t="shared" si="9"/>
        <v>1</v>
      </c>
      <c r="BG29" s="15" t="str">
        <f t="shared" si="10"/>
        <v>-111</v>
      </c>
      <c r="BH29" s="15" t="str">
        <f t="shared" si="11"/>
        <v>SD</v>
      </c>
      <c r="BI29" s="15" t="str">
        <f t="shared" si="12"/>
        <v>SD</v>
      </c>
      <c r="BJ29" s="15" t="b">
        <f t="shared" si="13"/>
        <v>0</v>
      </c>
      <c r="BK29" s="15" t="str">
        <f t="shared" si="14"/>
        <v>SIGDIFERENTES</v>
      </c>
      <c r="BL29" s="22" t="str">
        <f t="shared" si="15"/>
        <v>CONFORME</v>
      </c>
    </row>
    <row r="30" spans="1:64" ht="15" customHeight="1" x14ac:dyDescent="0.3">
      <c r="A30" s="91">
        <v>22</v>
      </c>
      <c r="B30" s="28">
        <f t="shared" ref="B30:E30" si="131">B29</f>
        <v>45920</v>
      </c>
      <c r="C30" s="28">
        <f t="shared" si="131"/>
        <v>45920</v>
      </c>
      <c r="D30" s="12">
        <f t="shared" si="131"/>
        <v>3</v>
      </c>
      <c r="E30" s="10">
        <f t="shared" si="131"/>
        <v>8</v>
      </c>
      <c r="F30" s="13"/>
      <c r="G30" s="157" t="s">
        <v>74</v>
      </c>
      <c r="H30" s="70">
        <f t="shared" ref="H30:L30" si="132">H29</f>
        <v>25.6</v>
      </c>
      <c r="I30" s="36">
        <f t="shared" si="132"/>
        <v>0</v>
      </c>
      <c r="J30" s="35">
        <f t="shared" si="132"/>
        <v>20.5</v>
      </c>
      <c r="K30" s="122">
        <f t="shared" si="132"/>
        <v>8.4870000000000001</v>
      </c>
      <c r="L30" s="122">
        <f t="shared" si="132"/>
        <v>0.59199999999999997</v>
      </c>
      <c r="M30" s="41">
        <v>103.05</v>
      </c>
      <c r="N30" s="41">
        <v>203.68</v>
      </c>
      <c r="O30" s="32">
        <f t="shared" ref="O30:P30" si="133">O29</f>
        <v>100.31</v>
      </c>
      <c r="P30" s="168" t="str">
        <f t="shared" si="133"/>
        <v>2,30,140</v>
      </c>
      <c r="Q30" s="11" t="str">
        <f t="shared" si="47"/>
        <v>2</v>
      </c>
      <c r="R30" s="11" t="str">
        <f t="shared" si="48"/>
        <v>30,140</v>
      </c>
      <c r="S30" s="11">
        <f t="shared" si="49"/>
        <v>4.1705555555555551E-2</v>
      </c>
      <c r="T30" s="14">
        <f t="shared" si="50"/>
        <v>2405.1951511922207</v>
      </c>
      <c r="U30" s="37">
        <f t="shared" si="51"/>
        <v>0.31901106569634868</v>
      </c>
      <c r="V30" s="38">
        <f t="shared" ref="V30:W30" si="134">V29</f>
        <v>20.7</v>
      </c>
      <c r="W30" s="124">
        <f t="shared" si="134"/>
        <v>1.095</v>
      </c>
      <c r="X30" s="124">
        <f t="shared" si="20"/>
        <v>1.0860000000000001</v>
      </c>
      <c r="Y30" s="41">
        <v>229.3</v>
      </c>
      <c r="Z30" s="41">
        <v>239.33</v>
      </c>
      <c r="AA30" s="90">
        <f t="shared" ref="AA30:AB30" si="135">AA29</f>
        <v>10.007999999999999</v>
      </c>
      <c r="AB30" s="73" t="str">
        <f t="shared" si="135"/>
        <v>22,32,060</v>
      </c>
      <c r="AC30" s="11" t="str">
        <f t="shared" si="54"/>
        <v>22</v>
      </c>
      <c r="AD30" s="11" t="str">
        <f t="shared" si="55"/>
        <v>32,060</v>
      </c>
      <c r="AE30" s="11">
        <f t="shared" si="56"/>
        <v>0.3755722222222222</v>
      </c>
      <c r="AF30" s="14">
        <f t="shared" si="57"/>
        <v>26.647338135881544</v>
      </c>
      <c r="AG30" s="39">
        <f t="shared" si="58"/>
        <v>0.21982414068747025</v>
      </c>
      <c r="AH30" s="38">
        <f t="shared" ref="AH30:AI30" si="136">AH29</f>
        <v>21.3</v>
      </c>
      <c r="AI30" s="124">
        <f t="shared" si="136"/>
        <v>1.0960000000000001</v>
      </c>
      <c r="AJ30" s="124">
        <f t="shared" si="24"/>
        <v>1.087</v>
      </c>
      <c r="AK30" s="41">
        <f t="shared" si="59"/>
        <v>239.33</v>
      </c>
      <c r="AL30" s="41">
        <v>244.39</v>
      </c>
      <c r="AM30" s="34">
        <f t="shared" ref="AM30:AN30" si="137">AM29</f>
        <v>5.0049999999999999</v>
      </c>
      <c r="AN30" s="33" t="str">
        <f t="shared" si="137"/>
        <v>18,09,850</v>
      </c>
      <c r="AO30" s="11" t="str">
        <f t="shared" si="61"/>
        <v>18</v>
      </c>
      <c r="AP30" s="11" t="str">
        <f t="shared" si="62"/>
        <v>09,850</v>
      </c>
      <c r="AQ30" s="11">
        <f t="shared" si="63"/>
        <v>0.30273611111111109</v>
      </c>
      <c r="AR30" s="14">
        <f t="shared" si="64"/>
        <v>16.532550350965728</v>
      </c>
      <c r="AS30" s="39">
        <f t="shared" si="65"/>
        <v>1.0989010989005785</v>
      </c>
      <c r="AT30" s="40" t="str">
        <f t="shared" si="66"/>
        <v>CONFORME</v>
      </c>
      <c r="AU30" s="8" t="b">
        <f t="shared" si="28"/>
        <v>1</v>
      </c>
      <c r="AV30" s="8" t="b">
        <f t="shared" si="29"/>
        <v>1</v>
      </c>
      <c r="AW30" s="8" t="b">
        <f t="shared" si="30"/>
        <v>1</v>
      </c>
      <c r="AX30" s="8" t="str">
        <f t="shared" si="31"/>
        <v>Qcorrecto</v>
      </c>
      <c r="AY30" s="22" t="str">
        <f t="shared" si="5"/>
        <v>aceptable</v>
      </c>
      <c r="AZ30" s="22" t="str">
        <f t="shared" si="6"/>
        <v>aceptable</v>
      </c>
      <c r="BA30" s="22" t="str">
        <f t="shared" si="32"/>
        <v>aceptable</v>
      </c>
      <c r="BB30" s="25" t="str">
        <f t="shared" si="33"/>
        <v>CONFORME</v>
      </c>
      <c r="BC30" s="5" t="str">
        <f t="shared" si="34"/>
        <v>CONFORME</v>
      </c>
      <c r="BD30" s="15">
        <f t="shared" si="7"/>
        <v>1</v>
      </c>
      <c r="BE30" s="15">
        <f t="shared" si="8"/>
        <v>1</v>
      </c>
      <c r="BF30" s="15">
        <f t="shared" si="9"/>
        <v>1</v>
      </c>
      <c r="BG30" s="15" t="str">
        <f t="shared" si="10"/>
        <v>111</v>
      </c>
      <c r="BH30" s="15" t="str">
        <f t="shared" si="11"/>
        <v>SI</v>
      </c>
      <c r="BI30" s="15" t="str">
        <f t="shared" si="12"/>
        <v>SD</v>
      </c>
      <c r="BJ30" s="15" t="b">
        <f t="shared" si="13"/>
        <v>1</v>
      </c>
      <c r="BK30" s="15" t="str">
        <f t="shared" si="14"/>
        <v>SIGIGUALES</v>
      </c>
      <c r="BL30" s="22" t="str">
        <f t="shared" si="15"/>
        <v>CONFORME</v>
      </c>
    </row>
    <row r="31" spans="1:64" ht="15" customHeight="1" x14ac:dyDescent="0.3">
      <c r="A31" s="159">
        <v>23</v>
      </c>
      <c r="B31" s="160">
        <f t="shared" ref="B31:E31" si="138">B30</f>
        <v>45920</v>
      </c>
      <c r="C31" s="160">
        <f t="shared" si="138"/>
        <v>45920</v>
      </c>
      <c r="D31" s="161">
        <f t="shared" si="138"/>
        <v>3</v>
      </c>
      <c r="E31" s="10">
        <f t="shared" si="138"/>
        <v>8</v>
      </c>
      <c r="F31" s="45"/>
      <c r="G31" s="157" t="s">
        <v>75</v>
      </c>
      <c r="H31" s="162">
        <f t="shared" ref="H31:L31" si="139">H30</f>
        <v>25.6</v>
      </c>
      <c r="I31" s="163">
        <f t="shared" si="139"/>
        <v>0</v>
      </c>
      <c r="J31" s="35">
        <f t="shared" si="139"/>
        <v>20.5</v>
      </c>
      <c r="K31" s="122">
        <f t="shared" si="139"/>
        <v>8.4870000000000001</v>
      </c>
      <c r="L31" s="122">
        <f t="shared" si="139"/>
        <v>0.59199999999999997</v>
      </c>
      <c r="M31" s="166">
        <v>101.11</v>
      </c>
      <c r="N31" s="166">
        <v>200.56</v>
      </c>
      <c r="O31" s="32">
        <f t="shared" ref="O31:P31" si="140">O30</f>
        <v>100.31</v>
      </c>
      <c r="P31" s="168" t="str">
        <f t="shared" si="140"/>
        <v>2,30,140</v>
      </c>
      <c r="Q31" s="169" t="str">
        <f t="shared" si="47"/>
        <v>2</v>
      </c>
      <c r="R31" s="169" t="str">
        <f t="shared" si="48"/>
        <v>30,140</v>
      </c>
      <c r="S31" s="169">
        <f t="shared" si="49"/>
        <v>4.1705555555555551E-2</v>
      </c>
      <c r="T31" s="170">
        <f t="shared" si="50"/>
        <v>2405.1951511922207</v>
      </c>
      <c r="U31" s="171">
        <f t="shared" si="51"/>
        <v>-0.85734223905891671</v>
      </c>
      <c r="V31" s="38">
        <f t="shared" ref="V31:W31" si="141">V30</f>
        <v>20.7</v>
      </c>
      <c r="W31" s="124">
        <f t="shared" si="141"/>
        <v>1.095</v>
      </c>
      <c r="X31" s="124">
        <f t="shared" si="20"/>
        <v>1.0860000000000001</v>
      </c>
      <c r="Y31" s="166">
        <v>225.98</v>
      </c>
      <c r="Z31" s="166">
        <v>235.94</v>
      </c>
      <c r="AA31" s="90">
        <f t="shared" ref="AA31:AB31" si="142">AA30</f>
        <v>10.007999999999999</v>
      </c>
      <c r="AB31" s="73" t="str">
        <f t="shared" si="142"/>
        <v>22,32,060</v>
      </c>
      <c r="AC31" s="169" t="str">
        <f t="shared" si="54"/>
        <v>22</v>
      </c>
      <c r="AD31" s="169" t="str">
        <f t="shared" si="55"/>
        <v>32,060</v>
      </c>
      <c r="AE31" s="169">
        <f t="shared" si="56"/>
        <v>0.3755722222222222</v>
      </c>
      <c r="AF31" s="170">
        <f t="shared" si="57"/>
        <v>26.647338135881544</v>
      </c>
      <c r="AG31" s="176">
        <f t="shared" si="58"/>
        <v>-0.4796163069543482</v>
      </c>
      <c r="AH31" s="38">
        <f t="shared" ref="AH31:AI31" si="143">AH30</f>
        <v>21.3</v>
      </c>
      <c r="AI31" s="124">
        <f t="shared" si="143"/>
        <v>1.0960000000000001</v>
      </c>
      <c r="AJ31" s="124">
        <f t="shared" si="24"/>
        <v>1.087</v>
      </c>
      <c r="AK31" s="166">
        <f t="shared" si="59"/>
        <v>235.94</v>
      </c>
      <c r="AL31" s="166">
        <v>240.97</v>
      </c>
      <c r="AM31" s="34">
        <f t="shared" ref="AM31:AN31" si="144">AM30</f>
        <v>5.0049999999999999</v>
      </c>
      <c r="AN31" s="33" t="str">
        <f t="shared" si="144"/>
        <v>18,09,850</v>
      </c>
      <c r="AO31" s="169" t="str">
        <f t="shared" si="61"/>
        <v>18</v>
      </c>
      <c r="AP31" s="169" t="str">
        <f t="shared" si="62"/>
        <v>09,850</v>
      </c>
      <c r="AQ31" s="169">
        <f t="shared" si="63"/>
        <v>0.30273611111111109</v>
      </c>
      <c r="AR31" s="170">
        <f t="shared" si="64"/>
        <v>16.532550350965728</v>
      </c>
      <c r="AS31" s="176">
        <f t="shared" si="65"/>
        <v>0.49950049950052439</v>
      </c>
      <c r="AT31" s="178" t="str">
        <f t="shared" si="66"/>
        <v>CONFORME</v>
      </c>
      <c r="AU31" s="8" t="b">
        <f t="shared" si="28"/>
        <v>1</v>
      </c>
      <c r="AV31" s="8" t="b">
        <f t="shared" si="29"/>
        <v>1</v>
      </c>
      <c r="AW31" s="8" t="b">
        <f t="shared" si="30"/>
        <v>1</v>
      </c>
      <c r="AX31" s="8" t="str">
        <f t="shared" si="31"/>
        <v>Qcorrecto</v>
      </c>
      <c r="AY31" s="179" t="str">
        <f t="shared" si="5"/>
        <v>aceptable</v>
      </c>
      <c r="AZ31" s="179" t="str">
        <f t="shared" si="6"/>
        <v>aceptable</v>
      </c>
      <c r="BA31" s="179" t="str">
        <f t="shared" si="32"/>
        <v>aceptable</v>
      </c>
      <c r="BB31" s="180" t="str">
        <f t="shared" si="33"/>
        <v>CONFORME</v>
      </c>
      <c r="BC31" s="181" t="str">
        <f t="shared" si="34"/>
        <v>CONFORME</v>
      </c>
      <c r="BD31" s="15">
        <f t="shared" si="7"/>
        <v>-1</v>
      </c>
      <c r="BE31" s="15">
        <f t="shared" si="8"/>
        <v>-1</v>
      </c>
      <c r="BF31" s="15">
        <f t="shared" si="9"/>
        <v>1</v>
      </c>
      <c r="BG31" s="15" t="str">
        <f t="shared" si="10"/>
        <v>-1-11</v>
      </c>
      <c r="BH31" s="15" t="str">
        <f t="shared" si="11"/>
        <v>SD</v>
      </c>
      <c r="BI31" s="15" t="str">
        <f t="shared" si="12"/>
        <v>SD</v>
      </c>
      <c r="BJ31" s="15" t="b">
        <f t="shared" si="13"/>
        <v>0</v>
      </c>
      <c r="BK31" s="15" t="str">
        <f t="shared" si="14"/>
        <v>SIGDIFERENTES</v>
      </c>
      <c r="BL31" s="179" t="str">
        <f t="shared" si="15"/>
        <v>CONFORME</v>
      </c>
    </row>
    <row r="32" spans="1:64" s="187" customFormat="1" ht="15" customHeight="1" x14ac:dyDescent="0.3">
      <c r="A32" s="10">
        <v>24</v>
      </c>
      <c r="B32" s="28">
        <f t="shared" ref="B32:E32" si="145">B31</f>
        <v>45920</v>
      </c>
      <c r="C32" s="28">
        <f t="shared" si="145"/>
        <v>45920</v>
      </c>
      <c r="D32" s="12">
        <f t="shared" si="145"/>
        <v>3</v>
      </c>
      <c r="E32" s="10">
        <f t="shared" si="145"/>
        <v>8</v>
      </c>
      <c r="F32" s="13"/>
      <c r="G32" s="157" t="s">
        <v>76</v>
      </c>
      <c r="H32" s="70">
        <f t="shared" ref="H32:L32" si="146">H31</f>
        <v>25.6</v>
      </c>
      <c r="I32" s="36">
        <f t="shared" si="146"/>
        <v>0</v>
      </c>
      <c r="J32" s="35">
        <f t="shared" si="146"/>
        <v>20.5</v>
      </c>
      <c r="K32" s="122">
        <f t="shared" si="146"/>
        <v>8.4870000000000001</v>
      </c>
      <c r="L32" s="122">
        <f t="shared" si="146"/>
        <v>0.59199999999999997</v>
      </c>
      <c r="M32" s="41">
        <v>102.55</v>
      </c>
      <c r="N32" s="41">
        <v>201.48</v>
      </c>
      <c r="O32" s="32">
        <f t="shared" ref="O32:P32" si="147">O31</f>
        <v>100.31</v>
      </c>
      <c r="P32" s="168" t="str">
        <f t="shared" si="147"/>
        <v>2,30,140</v>
      </c>
      <c r="Q32" s="11" t="str">
        <f t="shared" si="47"/>
        <v>2</v>
      </c>
      <c r="R32" s="11" t="str">
        <f t="shared" si="48"/>
        <v>30,140</v>
      </c>
      <c r="S32" s="11">
        <f t="shared" si="49"/>
        <v>4.1705555555555551E-2</v>
      </c>
      <c r="T32" s="14">
        <f t="shared" si="50"/>
        <v>2405.1951511922207</v>
      </c>
      <c r="U32" s="37">
        <f t="shared" si="51"/>
        <v>-1.3757352208154816</v>
      </c>
      <c r="V32" s="38">
        <f t="shared" ref="V32:W32" si="148">V31</f>
        <v>20.7</v>
      </c>
      <c r="W32" s="124">
        <f t="shared" si="148"/>
        <v>1.095</v>
      </c>
      <c r="X32" s="124">
        <f t="shared" si="20"/>
        <v>1.0860000000000001</v>
      </c>
      <c r="Y32" s="41">
        <v>226.7</v>
      </c>
      <c r="Z32" s="41">
        <v>236.61</v>
      </c>
      <c r="AA32" s="90">
        <f t="shared" ref="AA32:AB32" si="149">AA31</f>
        <v>10.007999999999999</v>
      </c>
      <c r="AB32" s="73" t="str">
        <f t="shared" si="149"/>
        <v>22,32,060</v>
      </c>
      <c r="AC32" s="11" t="str">
        <f t="shared" si="54"/>
        <v>22</v>
      </c>
      <c r="AD32" s="11" t="str">
        <f t="shared" si="55"/>
        <v>32,060</v>
      </c>
      <c r="AE32" s="11">
        <f t="shared" si="56"/>
        <v>0.3755722222222222</v>
      </c>
      <c r="AF32" s="14">
        <f t="shared" si="57"/>
        <v>26.647338135881544</v>
      </c>
      <c r="AG32" s="39">
        <f t="shared" si="58"/>
        <v>-0.9792166266983825</v>
      </c>
      <c r="AH32" s="38">
        <f t="shared" ref="AH32:AI32" si="150">AH31</f>
        <v>21.3</v>
      </c>
      <c r="AI32" s="124">
        <f t="shared" si="150"/>
        <v>1.0960000000000001</v>
      </c>
      <c r="AJ32" s="124">
        <f t="shared" si="24"/>
        <v>1.087</v>
      </c>
      <c r="AK32" s="41">
        <f t="shared" si="59"/>
        <v>236.61</v>
      </c>
      <c r="AL32" s="41">
        <v>241.56</v>
      </c>
      <c r="AM32" s="34">
        <f t="shared" ref="AM32:AN32" si="151">AM31</f>
        <v>5.0049999999999999</v>
      </c>
      <c r="AN32" s="33" t="str">
        <f t="shared" si="151"/>
        <v>18,09,850</v>
      </c>
      <c r="AO32" s="11" t="str">
        <f t="shared" si="61"/>
        <v>18</v>
      </c>
      <c r="AP32" s="11" t="str">
        <f t="shared" si="62"/>
        <v>09,850</v>
      </c>
      <c r="AQ32" s="11">
        <f t="shared" si="63"/>
        <v>0.30273611111111109</v>
      </c>
      <c r="AR32" s="14">
        <f t="shared" si="64"/>
        <v>16.532550350965728</v>
      </c>
      <c r="AS32" s="39">
        <f t="shared" si="65"/>
        <v>-1.0989010989013239</v>
      </c>
      <c r="AT32" s="40" t="str">
        <f t="shared" si="66"/>
        <v>CONFORME</v>
      </c>
      <c r="AU32" s="183" t="b">
        <f t="shared" si="28"/>
        <v>1</v>
      </c>
      <c r="AV32" s="183" t="b">
        <f t="shared" si="29"/>
        <v>1</v>
      </c>
      <c r="AW32" s="183" t="b">
        <f t="shared" si="30"/>
        <v>1</v>
      </c>
      <c r="AX32" s="183" t="str">
        <f t="shared" si="31"/>
        <v>Qcorrecto</v>
      </c>
      <c r="AY32" s="22" t="str">
        <f t="shared" si="5"/>
        <v>aceptable</v>
      </c>
      <c r="AZ32" s="22" t="str">
        <f t="shared" si="6"/>
        <v>aceptable</v>
      </c>
      <c r="BA32" s="22" t="str">
        <f t="shared" si="32"/>
        <v>aceptable</v>
      </c>
      <c r="BB32" s="184" t="str">
        <f t="shared" si="33"/>
        <v>CONFORME</v>
      </c>
      <c r="BC32" s="185" t="str">
        <f t="shared" si="34"/>
        <v>CONFORME</v>
      </c>
      <c r="BD32" s="186">
        <f t="shared" si="7"/>
        <v>-1</v>
      </c>
      <c r="BE32" s="186">
        <f t="shared" si="8"/>
        <v>-1</v>
      </c>
      <c r="BF32" s="186">
        <f t="shared" si="9"/>
        <v>-1</v>
      </c>
      <c r="BG32" s="186" t="str">
        <f t="shared" si="10"/>
        <v>-1-1-1</v>
      </c>
      <c r="BH32" s="186" t="str">
        <f t="shared" si="11"/>
        <v>SD</v>
      </c>
      <c r="BI32" s="186" t="str">
        <f t="shared" si="12"/>
        <v>SI</v>
      </c>
      <c r="BJ32" s="186" t="b">
        <f t="shared" si="13"/>
        <v>1</v>
      </c>
      <c r="BK32" s="186" t="str">
        <f t="shared" si="14"/>
        <v>SIGIGUALES</v>
      </c>
      <c r="BL32" s="22" t="str">
        <f t="shared" si="15"/>
        <v>CONFORME</v>
      </c>
    </row>
    <row r="33" spans="1:64" ht="15" customHeight="1" x14ac:dyDescent="0.3">
      <c r="A33" s="91">
        <v>25</v>
      </c>
      <c r="B33" s="125">
        <f t="shared" ref="B33:E33" si="152">B32</f>
        <v>45920</v>
      </c>
      <c r="C33" s="125">
        <f t="shared" si="152"/>
        <v>45920</v>
      </c>
      <c r="D33" s="126">
        <f t="shared" si="152"/>
        <v>3</v>
      </c>
      <c r="E33" s="10">
        <f t="shared" si="152"/>
        <v>8</v>
      </c>
      <c r="F33" s="46"/>
      <c r="G33" s="157" t="s">
        <v>77</v>
      </c>
      <c r="H33" s="127">
        <f t="shared" ref="H33:L33" si="153">H32</f>
        <v>25.6</v>
      </c>
      <c r="I33" s="111">
        <f t="shared" si="153"/>
        <v>0</v>
      </c>
      <c r="J33" s="35">
        <f t="shared" si="153"/>
        <v>20.5</v>
      </c>
      <c r="K33" s="122">
        <f t="shared" si="153"/>
        <v>8.4870000000000001</v>
      </c>
      <c r="L33" s="122">
        <f t="shared" si="153"/>
        <v>0.59199999999999997</v>
      </c>
      <c r="M33" s="96">
        <v>142.43</v>
      </c>
      <c r="N33" s="96">
        <v>242.08</v>
      </c>
      <c r="O33" s="32">
        <f t="shared" ref="O33:P33" si="154">O32</f>
        <v>100.31</v>
      </c>
      <c r="P33" s="168" t="str">
        <f t="shared" si="154"/>
        <v>2,30,140</v>
      </c>
      <c r="Q33" s="97" t="str">
        <f t="shared" si="47"/>
        <v>2</v>
      </c>
      <c r="R33" s="97" t="str">
        <f t="shared" si="48"/>
        <v>30,140</v>
      </c>
      <c r="S33" s="97">
        <f t="shared" si="49"/>
        <v>4.1705555555555551E-2</v>
      </c>
      <c r="T33" s="98">
        <f t="shared" si="50"/>
        <v>2405.1951511922207</v>
      </c>
      <c r="U33" s="99">
        <f t="shared" si="51"/>
        <v>-0.65796032299870055</v>
      </c>
      <c r="V33" s="38">
        <f t="shared" ref="V33:W33" si="155">V32</f>
        <v>20.7</v>
      </c>
      <c r="W33" s="124">
        <f t="shared" si="155"/>
        <v>1.095</v>
      </c>
      <c r="X33" s="124">
        <f t="shared" si="20"/>
        <v>1.0860000000000001</v>
      </c>
      <c r="Y33" s="96">
        <v>267.48</v>
      </c>
      <c r="Z33" s="96">
        <v>277.41000000000003</v>
      </c>
      <c r="AA33" s="90">
        <f t="shared" ref="AA33:AB33" si="156">AA32</f>
        <v>10.007999999999999</v>
      </c>
      <c r="AB33" s="73" t="str">
        <f t="shared" si="156"/>
        <v>22,32,060</v>
      </c>
      <c r="AC33" s="97" t="str">
        <f t="shared" si="54"/>
        <v>22</v>
      </c>
      <c r="AD33" s="97" t="str">
        <f t="shared" si="55"/>
        <v>32,060</v>
      </c>
      <c r="AE33" s="97">
        <f t="shared" si="56"/>
        <v>0.3755722222222222</v>
      </c>
      <c r="AF33" s="98">
        <f t="shared" si="57"/>
        <v>26.647338135881544</v>
      </c>
      <c r="AG33" s="100">
        <f t="shared" si="58"/>
        <v>-0.77937649880088233</v>
      </c>
      <c r="AH33" s="38">
        <f t="shared" ref="AH33:AI33" si="157">AH32</f>
        <v>21.3</v>
      </c>
      <c r="AI33" s="124">
        <f t="shared" si="157"/>
        <v>1.0960000000000001</v>
      </c>
      <c r="AJ33" s="124">
        <f t="shared" si="24"/>
        <v>1.087</v>
      </c>
      <c r="AK33" s="96">
        <f t="shared" si="59"/>
        <v>277.41000000000003</v>
      </c>
      <c r="AL33" s="96">
        <v>282.42</v>
      </c>
      <c r="AM33" s="34">
        <f t="shared" ref="AM33:AN33" si="158">AM32</f>
        <v>5.0049999999999999</v>
      </c>
      <c r="AN33" s="33" t="str">
        <f t="shared" si="158"/>
        <v>18,09,850</v>
      </c>
      <c r="AO33" s="97" t="str">
        <f t="shared" si="61"/>
        <v>18</v>
      </c>
      <c r="AP33" s="97" t="str">
        <f t="shared" si="62"/>
        <v>09,850</v>
      </c>
      <c r="AQ33" s="97">
        <f t="shared" si="63"/>
        <v>0.30273611111111109</v>
      </c>
      <c r="AR33" s="98">
        <f t="shared" si="64"/>
        <v>16.532550350965728</v>
      </c>
      <c r="AS33" s="100">
        <f t="shared" si="65"/>
        <v>9.9900099899920311E-2</v>
      </c>
      <c r="AT33" s="102" t="str">
        <f t="shared" si="66"/>
        <v>CONFORME</v>
      </c>
      <c r="AU33" s="8" t="b">
        <f t="shared" si="28"/>
        <v>1</v>
      </c>
      <c r="AV33" s="8" t="b">
        <f t="shared" si="29"/>
        <v>1</v>
      </c>
      <c r="AW33" s="8" t="b">
        <f t="shared" si="30"/>
        <v>1</v>
      </c>
      <c r="AX33" s="8" t="str">
        <f t="shared" si="31"/>
        <v>Qcorrecto</v>
      </c>
      <c r="AY33" s="26" t="str">
        <f t="shared" si="5"/>
        <v>aceptable</v>
      </c>
      <c r="AZ33" s="26" t="str">
        <f t="shared" si="6"/>
        <v>aceptable</v>
      </c>
      <c r="BA33" s="26" t="str">
        <f t="shared" si="32"/>
        <v>aceptable</v>
      </c>
      <c r="BB33" s="25" t="str">
        <f t="shared" si="33"/>
        <v>CONFORME</v>
      </c>
      <c r="BC33" s="5" t="str">
        <f t="shared" si="34"/>
        <v>CONFORME</v>
      </c>
      <c r="BD33" s="15">
        <f t="shared" si="7"/>
        <v>-1</v>
      </c>
      <c r="BE33" s="15">
        <f t="shared" si="8"/>
        <v>-1</v>
      </c>
      <c r="BF33" s="15">
        <f t="shared" si="9"/>
        <v>1</v>
      </c>
      <c r="BG33" s="15" t="str">
        <f t="shared" si="10"/>
        <v>-1-11</v>
      </c>
      <c r="BH33" s="15" t="str">
        <f t="shared" si="11"/>
        <v>SD</v>
      </c>
      <c r="BI33" s="15" t="str">
        <f t="shared" si="12"/>
        <v>SD</v>
      </c>
      <c r="BJ33" s="15" t="b">
        <f t="shared" si="13"/>
        <v>0</v>
      </c>
      <c r="BK33" s="15" t="str">
        <f t="shared" si="14"/>
        <v>SIGDIFERENTES</v>
      </c>
      <c r="BL33" s="26" t="str">
        <f t="shared" si="15"/>
        <v>CONFORME</v>
      </c>
    </row>
    <row r="34" spans="1:64" ht="15" customHeight="1" x14ac:dyDescent="0.3">
      <c r="A34" s="91">
        <v>26</v>
      </c>
      <c r="B34" s="28">
        <f t="shared" ref="B34:E34" si="159">B33</f>
        <v>45920</v>
      </c>
      <c r="C34" s="28">
        <f t="shared" si="159"/>
        <v>45920</v>
      </c>
      <c r="D34" s="12">
        <f t="shared" si="159"/>
        <v>3</v>
      </c>
      <c r="E34" s="10">
        <f t="shared" si="159"/>
        <v>8</v>
      </c>
      <c r="F34" s="13"/>
      <c r="G34" s="157" t="s">
        <v>78</v>
      </c>
      <c r="H34" s="70">
        <f t="shared" ref="H34:L34" si="160">H33</f>
        <v>25.6</v>
      </c>
      <c r="I34" s="36">
        <f t="shared" si="160"/>
        <v>0</v>
      </c>
      <c r="J34" s="35">
        <f t="shared" si="160"/>
        <v>20.5</v>
      </c>
      <c r="K34" s="122">
        <f t="shared" si="160"/>
        <v>8.4870000000000001</v>
      </c>
      <c r="L34" s="122">
        <f t="shared" si="160"/>
        <v>0.59199999999999997</v>
      </c>
      <c r="M34" s="41">
        <v>101.45</v>
      </c>
      <c r="N34" s="41">
        <v>200.55</v>
      </c>
      <c r="O34" s="32">
        <f t="shared" ref="O34:P34" si="161">O33</f>
        <v>100.31</v>
      </c>
      <c r="P34" s="168" t="str">
        <f t="shared" si="161"/>
        <v>2,30,140</v>
      </c>
      <c r="Q34" s="11" t="str">
        <f t="shared" si="47"/>
        <v>2</v>
      </c>
      <c r="R34" s="11" t="str">
        <f t="shared" si="48"/>
        <v>30,140</v>
      </c>
      <c r="S34" s="11">
        <f t="shared" si="49"/>
        <v>4.1705555555555551E-2</v>
      </c>
      <c r="T34" s="14">
        <f t="shared" si="50"/>
        <v>2405.1951511922207</v>
      </c>
      <c r="U34" s="37">
        <f t="shared" si="51"/>
        <v>-1.2062605921642844</v>
      </c>
      <c r="V34" s="38">
        <f t="shared" ref="V34:W34" si="162">V33</f>
        <v>20.7</v>
      </c>
      <c r="W34" s="124">
        <f t="shared" si="162"/>
        <v>1.095</v>
      </c>
      <c r="X34" s="124">
        <f t="shared" si="20"/>
        <v>1.0860000000000001</v>
      </c>
      <c r="Y34" s="41">
        <v>225.88</v>
      </c>
      <c r="Z34" s="41">
        <v>235.79</v>
      </c>
      <c r="AA34" s="90">
        <f t="shared" ref="AA34:AB34" si="163">AA33</f>
        <v>10.007999999999999</v>
      </c>
      <c r="AB34" s="73" t="str">
        <f t="shared" si="163"/>
        <v>22,32,060</v>
      </c>
      <c r="AC34" s="11" t="str">
        <f t="shared" si="54"/>
        <v>22</v>
      </c>
      <c r="AD34" s="11" t="str">
        <f t="shared" si="55"/>
        <v>32,060</v>
      </c>
      <c r="AE34" s="11">
        <f t="shared" si="56"/>
        <v>0.3755722222222222</v>
      </c>
      <c r="AF34" s="14">
        <f t="shared" si="57"/>
        <v>26.647338135881544</v>
      </c>
      <c r="AG34" s="39">
        <f t="shared" si="58"/>
        <v>-0.97921662669866649</v>
      </c>
      <c r="AH34" s="38">
        <f t="shared" ref="AH34:AI34" si="164">AH33</f>
        <v>21.3</v>
      </c>
      <c r="AI34" s="124">
        <f t="shared" si="164"/>
        <v>1.0960000000000001</v>
      </c>
      <c r="AJ34" s="124">
        <f t="shared" si="24"/>
        <v>1.087</v>
      </c>
      <c r="AK34" s="41">
        <f t="shared" si="59"/>
        <v>235.79</v>
      </c>
      <c r="AL34" s="41">
        <v>240.79</v>
      </c>
      <c r="AM34" s="34">
        <f t="shared" ref="AM34:AN34" si="165">AM33</f>
        <v>5.0049999999999999</v>
      </c>
      <c r="AN34" s="33" t="str">
        <f t="shared" si="165"/>
        <v>18,09,850</v>
      </c>
      <c r="AO34" s="11" t="str">
        <f t="shared" si="61"/>
        <v>18</v>
      </c>
      <c r="AP34" s="11" t="str">
        <f t="shared" si="62"/>
        <v>09,850</v>
      </c>
      <c r="AQ34" s="11">
        <f t="shared" si="63"/>
        <v>0.30273611111111109</v>
      </c>
      <c r="AR34" s="14">
        <f t="shared" si="64"/>
        <v>16.532550350965728</v>
      </c>
      <c r="AS34" s="39">
        <f t="shared" si="65"/>
        <v>-9.990009990009778E-2</v>
      </c>
      <c r="AT34" s="40" t="str">
        <f t="shared" si="66"/>
        <v>CONFORME</v>
      </c>
      <c r="AU34" s="8" t="b">
        <f t="shared" si="28"/>
        <v>1</v>
      </c>
      <c r="AV34" s="8" t="b">
        <f t="shared" si="29"/>
        <v>1</v>
      </c>
      <c r="AW34" s="8" t="b">
        <f t="shared" si="30"/>
        <v>1</v>
      </c>
      <c r="AX34" s="8" t="str">
        <f t="shared" si="31"/>
        <v>Qcorrecto</v>
      </c>
      <c r="AY34" s="22" t="str">
        <f t="shared" si="5"/>
        <v>aceptable</v>
      </c>
      <c r="AZ34" s="22" t="str">
        <f t="shared" si="6"/>
        <v>aceptable</v>
      </c>
      <c r="BA34" s="22" t="str">
        <f t="shared" si="32"/>
        <v>aceptable</v>
      </c>
      <c r="BB34" s="25" t="str">
        <f t="shared" si="33"/>
        <v>CONFORME</v>
      </c>
      <c r="BC34" s="5" t="str">
        <f t="shared" si="34"/>
        <v>CONFORME</v>
      </c>
      <c r="BD34" s="15">
        <f t="shared" si="7"/>
        <v>-1</v>
      </c>
      <c r="BE34" s="15">
        <f t="shared" si="8"/>
        <v>-1</v>
      </c>
      <c r="BF34" s="15">
        <f t="shared" si="9"/>
        <v>-1</v>
      </c>
      <c r="BG34" s="15" t="str">
        <f t="shared" si="10"/>
        <v>-1-1-1</v>
      </c>
      <c r="BH34" s="15" t="str">
        <f t="shared" si="11"/>
        <v>SD</v>
      </c>
      <c r="BI34" s="15" t="str">
        <f t="shared" si="12"/>
        <v>SI</v>
      </c>
      <c r="BJ34" s="15" t="b">
        <f t="shared" si="13"/>
        <v>1</v>
      </c>
      <c r="BK34" s="15" t="str">
        <f t="shared" si="14"/>
        <v>SIGIGUALES</v>
      </c>
      <c r="BL34" s="22" t="str">
        <f t="shared" si="15"/>
        <v>CONFORME</v>
      </c>
    </row>
    <row r="35" spans="1:64" ht="15" customHeight="1" x14ac:dyDescent="0.3">
      <c r="A35" s="91">
        <v>27</v>
      </c>
      <c r="B35" s="28">
        <f t="shared" ref="B35:E35" si="166">B34</f>
        <v>45920</v>
      </c>
      <c r="C35" s="28">
        <f t="shared" si="166"/>
        <v>45920</v>
      </c>
      <c r="D35" s="12">
        <f t="shared" si="166"/>
        <v>3</v>
      </c>
      <c r="E35" s="10">
        <f t="shared" si="166"/>
        <v>8</v>
      </c>
      <c r="F35" s="13"/>
      <c r="G35" s="157" t="s">
        <v>79</v>
      </c>
      <c r="H35" s="70">
        <f t="shared" ref="H35:L35" si="167">H34</f>
        <v>25.6</v>
      </c>
      <c r="I35" s="36">
        <f t="shared" si="167"/>
        <v>0</v>
      </c>
      <c r="J35" s="35">
        <f t="shared" si="167"/>
        <v>20.5</v>
      </c>
      <c r="K35" s="122">
        <f t="shared" si="167"/>
        <v>8.4870000000000001</v>
      </c>
      <c r="L35" s="122">
        <f t="shared" si="167"/>
        <v>0.59199999999999997</v>
      </c>
      <c r="M35" s="41">
        <v>100.33</v>
      </c>
      <c r="N35" s="41">
        <v>200.09</v>
      </c>
      <c r="O35" s="32">
        <f t="shared" ref="O35:P35" si="168">O34</f>
        <v>100.31</v>
      </c>
      <c r="P35" s="168" t="str">
        <f t="shared" si="168"/>
        <v>2,30,140</v>
      </c>
      <c r="Q35" s="11" t="str">
        <f t="shared" si="47"/>
        <v>2</v>
      </c>
      <c r="R35" s="11" t="str">
        <f t="shared" si="48"/>
        <v>30,140</v>
      </c>
      <c r="S35" s="11">
        <f t="shared" si="49"/>
        <v>4.1705555555555551E-2</v>
      </c>
      <c r="T35" s="14">
        <f t="shared" si="50"/>
        <v>2405.1951511922207</v>
      </c>
      <c r="U35" s="37">
        <f t="shared" si="51"/>
        <v>-0.54830026916558383</v>
      </c>
      <c r="V35" s="38">
        <f t="shared" ref="V35:W35" si="169">V34</f>
        <v>20.7</v>
      </c>
      <c r="W35" s="124">
        <f t="shared" si="169"/>
        <v>1.095</v>
      </c>
      <c r="X35" s="124">
        <f t="shared" si="20"/>
        <v>1.0860000000000001</v>
      </c>
      <c r="Y35" s="41">
        <v>225.52</v>
      </c>
      <c r="Z35" s="41">
        <v>235.45</v>
      </c>
      <c r="AA35" s="90">
        <f t="shared" ref="AA35:AB35" si="170">AA34</f>
        <v>10.007999999999999</v>
      </c>
      <c r="AB35" s="73" t="str">
        <f t="shared" si="170"/>
        <v>22,32,060</v>
      </c>
      <c r="AC35" s="11" t="str">
        <f t="shared" si="54"/>
        <v>22</v>
      </c>
      <c r="AD35" s="11" t="str">
        <f t="shared" si="55"/>
        <v>32,060</v>
      </c>
      <c r="AE35" s="11">
        <f t="shared" si="56"/>
        <v>0.3755722222222222</v>
      </c>
      <c r="AF35" s="14">
        <f t="shared" si="57"/>
        <v>26.647338135881544</v>
      </c>
      <c r="AG35" s="39">
        <f t="shared" si="58"/>
        <v>-0.77937649880116633</v>
      </c>
      <c r="AH35" s="38">
        <f t="shared" ref="AH35:AI35" si="171">AH34</f>
        <v>21.3</v>
      </c>
      <c r="AI35" s="124">
        <f t="shared" si="171"/>
        <v>1.0960000000000001</v>
      </c>
      <c r="AJ35" s="124">
        <f t="shared" si="24"/>
        <v>1.087</v>
      </c>
      <c r="AK35" s="41">
        <f t="shared" si="59"/>
        <v>235.45</v>
      </c>
      <c r="AL35" s="41">
        <v>240.44</v>
      </c>
      <c r="AM35" s="34">
        <f t="shared" ref="AM35:AN35" si="172">AM34</f>
        <v>5.0049999999999999</v>
      </c>
      <c r="AN35" s="33" t="str">
        <f t="shared" si="172"/>
        <v>18,09,850</v>
      </c>
      <c r="AO35" s="11" t="str">
        <f t="shared" si="61"/>
        <v>18</v>
      </c>
      <c r="AP35" s="11" t="str">
        <f t="shared" si="62"/>
        <v>09,850</v>
      </c>
      <c r="AQ35" s="11">
        <f t="shared" si="63"/>
        <v>0.30273611111111109</v>
      </c>
      <c r="AR35" s="14">
        <f t="shared" si="64"/>
        <v>16.532550350965728</v>
      </c>
      <c r="AS35" s="39">
        <f t="shared" si="65"/>
        <v>-0.29970029970011586</v>
      </c>
      <c r="AT35" s="40" t="str">
        <f t="shared" si="66"/>
        <v>CONFORME</v>
      </c>
      <c r="AU35" s="8" t="b">
        <f t="shared" si="28"/>
        <v>1</v>
      </c>
      <c r="AV35" s="8" t="b">
        <f t="shared" si="29"/>
        <v>1</v>
      </c>
      <c r="AW35" s="8" t="b">
        <f t="shared" si="30"/>
        <v>1</v>
      </c>
      <c r="AX35" s="8" t="str">
        <f t="shared" si="31"/>
        <v>Qcorrecto</v>
      </c>
      <c r="AY35" s="22" t="str">
        <f t="shared" si="5"/>
        <v>aceptable</v>
      </c>
      <c r="AZ35" s="22" t="str">
        <f t="shared" si="6"/>
        <v>aceptable</v>
      </c>
      <c r="BA35" s="22" t="str">
        <f t="shared" si="32"/>
        <v>aceptable</v>
      </c>
      <c r="BB35" s="25" t="str">
        <f t="shared" si="33"/>
        <v>CONFORME</v>
      </c>
      <c r="BC35" s="5" t="str">
        <f t="shared" si="34"/>
        <v>CONFORME</v>
      </c>
      <c r="BD35" s="15">
        <f t="shared" si="7"/>
        <v>-1</v>
      </c>
      <c r="BE35" s="15">
        <f t="shared" si="8"/>
        <v>-1</v>
      </c>
      <c r="BF35" s="15">
        <f t="shared" si="9"/>
        <v>-1</v>
      </c>
      <c r="BG35" s="15" t="str">
        <f t="shared" si="10"/>
        <v>-1-1-1</v>
      </c>
      <c r="BH35" s="15" t="str">
        <f t="shared" si="11"/>
        <v>SD</v>
      </c>
      <c r="BI35" s="15" t="str">
        <f t="shared" si="12"/>
        <v>SI</v>
      </c>
      <c r="BJ35" s="15" t="b">
        <f t="shared" si="13"/>
        <v>1</v>
      </c>
      <c r="BK35" s="15" t="str">
        <f t="shared" si="14"/>
        <v>SIGIGUALES</v>
      </c>
      <c r="BL35" s="22" t="str">
        <f t="shared" si="15"/>
        <v>CONFORME</v>
      </c>
    </row>
    <row r="36" spans="1:64" ht="15.75" customHeight="1" x14ac:dyDescent="0.3">
      <c r="A36" s="182">
        <v>28</v>
      </c>
      <c r="B36" s="28">
        <f t="shared" ref="B36:E36" si="173">B35</f>
        <v>45920</v>
      </c>
      <c r="C36" s="28">
        <f t="shared" si="173"/>
        <v>45920</v>
      </c>
      <c r="D36" s="12">
        <f t="shared" si="173"/>
        <v>3</v>
      </c>
      <c r="E36" s="10">
        <f t="shared" si="173"/>
        <v>8</v>
      </c>
      <c r="F36" s="13"/>
      <c r="G36" s="226" t="s">
        <v>80</v>
      </c>
      <c r="H36" s="70">
        <f t="shared" ref="H36:L36" si="174">H35</f>
        <v>25.6</v>
      </c>
      <c r="I36" s="36">
        <f t="shared" si="174"/>
        <v>0</v>
      </c>
      <c r="J36" s="35">
        <f t="shared" si="174"/>
        <v>20.5</v>
      </c>
      <c r="K36" s="122">
        <f t="shared" si="174"/>
        <v>8.4870000000000001</v>
      </c>
      <c r="L36" s="122">
        <f t="shared" si="174"/>
        <v>0.59199999999999997</v>
      </c>
      <c r="M36" s="41">
        <v>100.31</v>
      </c>
      <c r="N36" s="41">
        <v>200.06</v>
      </c>
      <c r="O36" s="32">
        <f t="shared" ref="O36:P36" si="175">O35</f>
        <v>100.31</v>
      </c>
      <c r="P36" s="168" t="str">
        <f t="shared" si="175"/>
        <v>2,30,140</v>
      </c>
      <c r="Q36" s="11" t="str">
        <f t="shared" si="47"/>
        <v>2</v>
      </c>
      <c r="R36" s="11" t="str">
        <f t="shared" si="48"/>
        <v>30,140</v>
      </c>
      <c r="S36" s="11">
        <f t="shared" si="49"/>
        <v>4.1705555555555551E-2</v>
      </c>
      <c r="T36" s="14">
        <f t="shared" si="50"/>
        <v>2405.1951511922207</v>
      </c>
      <c r="U36" s="37">
        <f t="shared" si="51"/>
        <v>-0.55826936496859958</v>
      </c>
      <c r="V36" s="38">
        <f t="shared" ref="V36:W36" si="176">V35</f>
        <v>20.7</v>
      </c>
      <c r="W36" s="124">
        <f t="shared" si="176"/>
        <v>1.095</v>
      </c>
      <c r="X36" s="124">
        <f t="shared" si="20"/>
        <v>1.0860000000000001</v>
      </c>
      <c r="Y36" s="41">
        <v>225.44</v>
      </c>
      <c r="Z36" s="41">
        <v>235.37</v>
      </c>
      <c r="AA36" s="90">
        <f t="shared" ref="AA36:AB36" si="177">AA35</f>
        <v>10.007999999999999</v>
      </c>
      <c r="AB36" s="73" t="str">
        <f t="shared" si="177"/>
        <v>22,32,060</v>
      </c>
      <c r="AC36" s="11" t="str">
        <f t="shared" si="54"/>
        <v>22</v>
      </c>
      <c r="AD36" s="11" t="str">
        <f t="shared" si="55"/>
        <v>32,060</v>
      </c>
      <c r="AE36" s="11">
        <f t="shared" si="56"/>
        <v>0.3755722222222222</v>
      </c>
      <c r="AF36" s="14">
        <f t="shared" si="57"/>
        <v>26.647338135881544</v>
      </c>
      <c r="AG36" s="39">
        <f t="shared" si="58"/>
        <v>-0.77937649880088233</v>
      </c>
      <c r="AH36" s="38">
        <f t="shared" ref="AH36:AI36" si="178">AH35</f>
        <v>21.3</v>
      </c>
      <c r="AI36" s="124">
        <f t="shared" si="178"/>
        <v>1.0960000000000001</v>
      </c>
      <c r="AJ36" s="124">
        <f t="shared" si="24"/>
        <v>1.087</v>
      </c>
      <c r="AK36" s="41">
        <f t="shared" si="59"/>
        <v>235.37</v>
      </c>
      <c r="AL36" s="41">
        <v>240.36</v>
      </c>
      <c r="AM36" s="34">
        <f t="shared" ref="AM36:AN36" si="179">AM35</f>
        <v>5.0049999999999999</v>
      </c>
      <c r="AN36" s="33" t="str">
        <f t="shared" si="179"/>
        <v>18,09,850</v>
      </c>
      <c r="AO36" s="11" t="str">
        <f t="shared" si="61"/>
        <v>18</v>
      </c>
      <c r="AP36" s="11" t="str">
        <f t="shared" si="62"/>
        <v>09,850</v>
      </c>
      <c r="AQ36" s="11">
        <f t="shared" si="63"/>
        <v>0.30273611111111109</v>
      </c>
      <c r="AR36" s="14">
        <f t="shared" si="64"/>
        <v>16.532550350965728</v>
      </c>
      <c r="AS36" s="39">
        <f t="shared" si="65"/>
        <v>-0.29970029970011586</v>
      </c>
      <c r="AT36" s="40" t="str">
        <f t="shared" si="66"/>
        <v>CONFORME</v>
      </c>
      <c r="AU36" s="8" t="b">
        <f t="shared" si="28"/>
        <v>1</v>
      </c>
      <c r="AV36" s="8" t="b">
        <f t="shared" si="29"/>
        <v>1</v>
      </c>
      <c r="AW36" s="8" t="b">
        <f t="shared" si="30"/>
        <v>1</v>
      </c>
      <c r="AX36" s="8" t="str">
        <f t="shared" si="31"/>
        <v>Qcorrecto</v>
      </c>
      <c r="AY36" s="22" t="str">
        <f t="shared" si="5"/>
        <v>aceptable</v>
      </c>
      <c r="AZ36" s="22" t="str">
        <f t="shared" si="6"/>
        <v>aceptable</v>
      </c>
      <c r="BA36" s="22" t="str">
        <f t="shared" si="32"/>
        <v>aceptable</v>
      </c>
      <c r="BB36" s="25" t="str">
        <f t="shared" si="33"/>
        <v>CONFORME</v>
      </c>
      <c r="BC36" s="5" t="str">
        <f t="shared" si="34"/>
        <v>CONFORME</v>
      </c>
      <c r="BD36" s="15">
        <f t="shared" si="7"/>
        <v>-1</v>
      </c>
      <c r="BE36" s="15">
        <f t="shared" si="8"/>
        <v>-1</v>
      </c>
      <c r="BF36" s="15">
        <f t="shared" si="9"/>
        <v>-1</v>
      </c>
      <c r="BG36" s="15" t="str">
        <f t="shared" si="10"/>
        <v>-1-1-1</v>
      </c>
      <c r="BH36" s="15" t="str">
        <f t="shared" si="11"/>
        <v>SD</v>
      </c>
      <c r="BI36" s="15" t="str">
        <f t="shared" si="12"/>
        <v>SI</v>
      </c>
      <c r="BJ36" s="15" t="b">
        <f t="shared" si="13"/>
        <v>1</v>
      </c>
      <c r="BK36" s="15" t="str">
        <f t="shared" si="14"/>
        <v>SIGIGUALES</v>
      </c>
      <c r="BL36" s="22" t="str">
        <f t="shared" si="15"/>
        <v>CONFORME</v>
      </c>
    </row>
    <row r="37" spans="1:64" ht="14.4" x14ac:dyDescent="0.3">
      <c r="A37" s="91">
        <v>29</v>
      </c>
      <c r="B37" s="28">
        <f t="shared" ref="B37:E37" si="180">B36</f>
        <v>45920</v>
      </c>
      <c r="C37" s="28">
        <f t="shared" si="180"/>
        <v>45920</v>
      </c>
      <c r="D37" s="12">
        <f t="shared" si="180"/>
        <v>3</v>
      </c>
      <c r="E37" s="10">
        <f t="shared" si="180"/>
        <v>8</v>
      </c>
      <c r="F37" s="13"/>
      <c r="G37" s="157" t="s">
        <v>81</v>
      </c>
      <c r="H37" s="70">
        <f t="shared" ref="H37:L37" si="181">H36</f>
        <v>25.6</v>
      </c>
      <c r="I37" s="36">
        <f t="shared" si="181"/>
        <v>0</v>
      </c>
      <c r="J37" s="35">
        <f t="shared" si="181"/>
        <v>20.5</v>
      </c>
      <c r="K37" s="122">
        <f t="shared" si="181"/>
        <v>8.4870000000000001</v>
      </c>
      <c r="L37" s="122">
        <f t="shared" si="181"/>
        <v>0.59199999999999997</v>
      </c>
      <c r="M37" s="41">
        <v>99.76</v>
      </c>
      <c r="N37" s="41">
        <v>199.32</v>
      </c>
      <c r="O37" s="32">
        <f t="shared" ref="O37:P37" si="182">O36</f>
        <v>100.31</v>
      </c>
      <c r="P37" s="168" t="str">
        <f t="shared" si="182"/>
        <v>2,30,140</v>
      </c>
      <c r="Q37" s="11" t="str">
        <f t="shared" si="47"/>
        <v>2</v>
      </c>
      <c r="R37" s="11" t="str">
        <f t="shared" si="48"/>
        <v>30,140</v>
      </c>
      <c r="S37" s="11">
        <f t="shared" si="49"/>
        <v>4.1705555555555551E-2</v>
      </c>
      <c r="T37" s="14">
        <f t="shared" si="50"/>
        <v>2405.1951511922207</v>
      </c>
      <c r="U37" s="37">
        <f t="shared" si="51"/>
        <v>-0.7476821852258142</v>
      </c>
      <c r="V37" s="38">
        <f t="shared" ref="V37:W37" si="183">V36</f>
        <v>20.7</v>
      </c>
      <c r="W37" s="124">
        <f t="shared" si="183"/>
        <v>1.095</v>
      </c>
      <c r="X37" s="124">
        <f t="shared" si="20"/>
        <v>1.0860000000000001</v>
      </c>
      <c r="Y37" s="41">
        <v>224.65</v>
      </c>
      <c r="Z37" s="41">
        <v>234.58</v>
      </c>
      <c r="AA37" s="90">
        <f t="shared" ref="AA37:AB37" si="184">AA36</f>
        <v>10.007999999999999</v>
      </c>
      <c r="AB37" s="73" t="str">
        <f t="shared" si="184"/>
        <v>22,32,060</v>
      </c>
      <c r="AC37" s="11" t="str">
        <f t="shared" si="54"/>
        <v>22</v>
      </c>
      <c r="AD37" s="11" t="str">
        <f t="shared" si="55"/>
        <v>32,060</v>
      </c>
      <c r="AE37" s="11">
        <f t="shared" si="56"/>
        <v>0.3755722222222222</v>
      </c>
      <c r="AF37" s="14">
        <f t="shared" si="57"/>
        <v>26.647338135881544</v>
      </c>
      <c r="AG37" s="39">
        <f t="shared" si="58"/>
        <v>-0.77937649880088233</v>
      </c>
      <c r="AH37" s="38">
        <f t="shared" ref="AH37:AI37" si="185">AH36</f>
        <v>21.3</v>
      </c>
      <c r="AI37" s="124">
        <f t="shared" si="185"/>
        <v>1.0960000000000001</v>
      </c>
      <c r="AJ37" s="124">
        <f t="shared" si="24"/>
        <v>1.087</v>
      </c>
      <c r="AK37" s="41">
        <f t="shared" si="59"/>
        <v>234.58</v>
      </c>
      <c r="AL37" s="41">
        <v>239.58</v>
      </c>
      <c r="AM37" s="34">
        <f t="shared" ref="AM37:AN37" si="186">AM36</f>
        <v>5.0049999999999999</v>
      </c>
      <c r="AN37" s="33" t="str">
        <f t="shared" si="186"/>
        <v>18,09,850</v>
      </c>
      <c r="AO37" s="11" t="str">
        <f t="shared" si="61"/>
        <v>18</v>
      </c>
      <c r="AP37" s="11" t="str">
        <f t="shared" si="62"/>
        <v>09,850</v>
      </c>
      <c r="AQ37" s="11">
        <f t="shared" si="63"/>
        <v>0.30273611111111109</v>
      </c>
      <c r="AR37" s="14">
        <f t="shared" si="64"/>
        <v>16.532550350965728</v>
      </c>
      <c r="AS37" s="39">
        <f t="shared" si="65"/>
        <v>-9.990009990009778E-2</v>
      </c>
      <c r="AT37" s="40" t="str">
        <f t="shared" si="66"/>
        <v>CONFORME</v>
      </c>
      <c r="AU37" s="8" t="b">
        <f t="shared" si="28"/>
        <v>1</v>
      </c>
      <c r="AV37" s="8" t="b">
        <f t="shared" si="29"/>
        <v>1</v>
      </c>
      <c r="AW37" s="8" t="b">
        <f t="shared" si="30"/>
        <v>1</v>
      </c>
      <c r="AX37" s="8" t="str">
        <f t="shared" si="31"/>
        <v>Qcorrecto</v>
      </c>
      <c r="AY37" s="22" t="str">
        <f t="shared" si="5"/>
        <v>aceptable</v>
      </c>
      <c r="AZ37" s="22" t="str">
        <f t="shared" si="6"/>
        <v>aceptable</v>
      </c>
      <c r="BA37" s="22" t="str">
        <f t="shared" si="32"/>
        <v>aceptable</v>
      </c>
      <c r="BB37" s="25" t="str">
        <f t="shared" si="33"/>
        <v>CONFORME</v>
      </c>
      <c r="BC37" s="5" t="str">
        <f t="shared" si="34"/>
        <v>CONFORME</v>
      </c>
      <c r="BD37" s="15">
        <f t="shared" si="7"/>
        <v>-1</v>
      </c>
      <c r="BE37" s="15">
        <f t="shared" si="8"/>
        <v>-1</v>
      </c>
      <c r="BF37" s="15">
        <f t="shared" si="9"/>
        <v>-1</v>
      </c>
      <c r="BG37" s="15" t="str">
        <f t="shared" si="10"/>
        <v>-1-1-1</v>
      </c>
      <c r="BH37" s="15" t="str">
        <f t="shared" si="11"/>
        <v>SD</v>
      </c>
      <c r="BI37" s="15" t="str">
        <f t="shared" si="12"/>
        <v>SI</v>
      </c>
      <c r="BJ37" s="15" t="b">
        <f t="shared" si="13"/>
        <v>1</v>
      </c>
      <c r="BK37" s="15" t="str">
        <f t="shared" si="14"/>
        <v>SIGIGUALES</v>
      </c>
      <c r="BL37" s="22" t="str">
        <f t="shared" si="15"/>
        <v>CONFORME</v>
      </c>
    </row>
    <row r="38" spans="1:64" ht="14.4" x14ac:dyDescent="0.3">
      <c r="A38" s="91">
        <v>30</v>
      </c>
      <c r="B38" s="28">
        <f t="shared" ref="B38:E38" si="187">B37</f>
        <v>45920</v>
      </c>
      <c r="C38" s="28">
        <f t="shared" si="187"/>
        <v>45920</v>
      </c>
      <c r="D38" s="12">
        <f t="shared" si="187"/>
        <v>3</v>
      </c>
      <c r="E38" s="10">
        <f t="shared" si="187"/>
        <v>8</v>
      </c>
      <c r="F38" s="13"/>
      <c r="G38" s="157" t="s">
        <v>82</v>
      </c>
      <c r="H38" s="70">
        <f t="shared" ref="H38:L38" si="188">H37</f>
        <v>25.6</v>
      </c>
      <c r="I38" s="36">
        <f t="shared" si="188"/>
        <v>0</v>
      </c>
      <c r="J38" s="35">
        <f t="shared" si="188"/>
        <v>20.5</v>
      </c>
      <c r="K38" s="122">
        <f t="shared" si="188"/>
        <v>8.4870000000000001</v>
      </c>
      <c r="L38" s="122">
        <f t="shared" si="188"/>
        <v>0.59199999999999997</v>
      </c>
      <c r="M38" s="41">
        <v>100.45</v>
      </c>
      <c r="N38" s="41">
        <v>200.63</v>
      </c>
      <c r="O38" s="32">
        <f t="shared" ref="O38:P38" si="189">O37</f>
        <v>100.31</v>
      </c>
      <c r="P38" s="168" t="str">
        <f t="shared" si="189"/>
        <v>2,30,140</v>
      </c>
      <c r="Q38" s="11" t="str">
        <f t="shared" si="47"/>
        <v>2</v>
      </c>
      <c r="R38" s="11" t="str">
        <f t="shared" si="48"/>
        <v>30,140</v>
      </c>
      <c r="S38" s="11">
        <f t="shared" si="49"/>
        <v>4.1705555555555551E-2</v>
      </c>
      <c r="T38" s="14">
        <f t="shared" si="50"/>
        <v>2405.1951511922207</v>
      </c>
      <c r="U38" s="37">
        <f t="shared" si="51"/>
        <v>-0.1295982454391483</v>
      </c>
      <c r="V38" s="38">
        <f t="shared" ref="V38:W38" si="190">V37</f>
        <v>20.7</v>
      </c>
      <c r="W38" s="124">
        <f t="shared" si="190"/>
        <v>1.095</v>
      </c>
      <c r="X38" s="124">
        <f t="shared" si="20"/>
        <v>1.0860000000000001</v>
      </c>
      <c r="Y38" s="41">
        <v>226.17</v>
      </c>
      <c r="Z38" s="41">
        <v>236.14</v>
      </c>
      <c r="AA38" s="90">
        <f t="shared" ref="AA38:AB38" si="191">AA37</f>
        <v>10.007999999999999</v>
      </c>
      <c r="AB38" s="73" t="str">
        <f t="shared" si="191"/>
        <v>22,32,060</v>
      </c>
      <c r="AC38" s="11" t="str">
        <f t="shared" si="54"/>
        <v>22</v>
      </c>
      <c r="AD38" s="11" t="str">
        <f t="shared" si="55"/>
        <v>32,060</v>
      </c>
      <c r="AE38" s="11">
        <f t="shared" si="56"/>
        <v>0.3755722222222222</v>
      </c>
      <c r="AF38" s="14">
        <f t="shared" si="57"/>
        <v>26.647338135881544</v>
      </c>
      <c r="AG38" s="39">
        <f t="shared" si="58"/>
        <v>-0.37969624300559807</v>
      </c>
      <c r="AH38" s="38">
        <f t="shared" ref="AH38:AI38" si="192">AH37</f>
        <v>21.3</v>
      </c>
      <c r="AI38" s="124">
        <f t="shared" si="192"/>
        <v>1.0960000000000001</v>
      </c>
      <c r="AJ38" s="124">
        <f t="shared" si="24"/>
        <v>1.087</v>
      </c>
      <c r="AK38" s="41">
        <f t="shared" si="59"/>
        <v>236.14</v>
      </c>
      <c r="AL38" s="41">
        <v>241.19</v>
      </c>
      <c r="AM38" s="34">
        <f t="shared" ref="AM38:AN38" si="193">AM37</f>
        <v>5.0049999999999999</v>
      </c>
      <c r="AN38" s="33" t="str">
        <f t="shared" si="193"/>
        <v>18,09,850</v>
      </c>
      <c r="AO38" s="11" t="str">
        <f t="shared" si="61"/>
        <v>18</v>
      </c>
      <c r="AP38" s="11" t="str">
        <f t="shared" si="62"/>
        <v>09,850</v>
      </c>
      <c r="AQ38" s="11">
        <f t="shared" si="63"/>
        <v>0.30273611111111109</v>
      </c>
      <c r="AR38" s="14">
        <f t="shared" si="64"/>
        <v>16.532550350965728</v>
      </c>
      <c r="AS38" s="39">
        <f t="shared" si="65"/>
        <v>0.89910089910112834</v>
      </c>
      <c r="AT38" s="40" t="str">
        <f t="shared" si="66"/>
        <v>CONFORME</v>
      </c>
      <c r="AU38" s="8" t="b">
        <f t="shared" si="28"/>
        <v>1</v>
      </c>
      <c r="AV38" s="8" t="b">
        <f t="shared" si="29"/>
        <v>1</v>
      </c>
      <c r="AW38" s="8" t="b">
        <f t="shared" si="30"/>
        <v>1</v>
      </c>
      <c r="AX38" s="8" t="str">
        <f t="shared" si="31"/>
        <v>Qcorrecto</v>
      </c>
      <c r="AY38" s="22" t="str">
        <f t="shared" si="5"/>
        <v>aceptable</v>
      </c>
      <c r="AZ38" s="22" t="str">
        <f t="shared" si="6"/>
        <v>aceptable</v>
      </c>
      <c r="BA38" s="22" t="str">
        <f t="shared" si="32"/>
        <v>aceptable</v>
      </c>
      <c r="BB38" s="25" t="str">
        <f t="shared" si="33"/>
        <v>CONFORME</v>
      </c>
      <c r="BC38" s="5" t="str">
        <f t="shared" si="34"/>
        <v>CONFORME</v>
      </c>
      <c r="BD38" s="15">
        <f t="shared" si="7"/>
        <v>-1</v>
      </c>
      <c r="BE38" s="15">
        <f t="shared" si="8"/>
        <v>-1</v>
      </c>
      <c r="BF38" s="15">
        <f t="shared" si="9"/>
        <v>1</v>
      </c>
      <c r="BG38" s="15" t="str">
        <f t="shared" si="10"/>
        <v>-1-11</v>
      </c>
      <c r="BH38" s="15" t="str">
        <f t="shared" si="11"/>
        <v>SD</v>
      </c>
      <c r="BI38" s="15" t="str">
        <f t="shared" si="12"/>
        <v>SD</v>
      </c>
      <c r="BJ38" s="15" t="b">
        <f t="shared" si="13"/>
        <v>0</v>
      </c>
      <c r="BK38" s="15" t="str">
        <f t="shared" si="14"/>
        <v>SIGDIFERENTES</v>
      </c>
      <c r="BL38" s="22" t="str">
        <f t="shared" si="15"/>
        <v>CONFORME</v>
      </c>
    </row>
    <row r="39" spans="1:64" ht="14.4" x14ac:dyDescent="0.3">
      <c r="A39" s="91">
        <v>31</v>
      </c>
      <c r="B39" s="28">
        <f t="shared" ref="B39:E39" si="194">B38</f>
        <v>45920</v>
      </c>
      <c r="C39" s="28">
        <f t="shared" si="194"/>
        <v>45920</v>
      </c>
      <c r="D39" s="12">
        <f t="shared" si="194"/>
        <v>3</v>
      </c>
      <c r="E39" s="10">
        <f t="shared" si="194"/>
        <v>8</v>
      </c>
      <c r="F39" s="13"/>
      <c r="G39" s="157" t="s">
        <v>83</v>
      </c>
      <c r="H39" s="70">
        <f t="shared" ref="H39:L39" si="195">H38</f>
        <v>25.6</v>
      </c>
      <c r="I39" s="36">
        <f t="shared" si="195"/>
        <v>0</v>
      </c>
      <c r="J39" s="35">
        <f t="shared" si="195"/>
        <v>20.5</v>
      </c>
      <c r="K39" s="122">
        <f t="shared" si="195"/>
        <v>8.4870000000000001</v>
      </c>
      <c r="L39" s="122">
        <f t="shared" si="195"/>
        <v>0.59199999999999997</v>
      </c>
      <c r="M39" s="41">
        <v>101.2</v>
      </c>
      <c r="N39" s="41">
        <v>200.65</v>
      </c>
      <c r="O39" s="32">
        <f t="shared" ref="O39:P39" si="196">O38</f>
        <v>100.31</v>
      </c>
      <c r="P39" s="168" t="str">
        <f t="shared" si="196"/>
        <v>2,30,140</v>
      </c>
      <c r="Q39" s="11" t="str">
        <f t="shared" si="47"/>
        <v>2</v>
      </c>
      <c r="R39" s="11" t="str">
        <f t="shared" si="48"/>
        <v>30,140</v>
      </c>
      <c r="S39" s="11">
        <f t="shared" si="49"/>
        <v>4.1705555555555551E-2</v>
      </c>
      <c r="T39" s="14">
        <f t="shared" si="50"/>
        <v>2405.1951511922207</v>
      </c>
      <c r="U39" s="37">
        <f t="shared" si="51"/>
        <v>-0.85734223905891671</v>
      </c>
      <c r="V39" s="38">
        <f t="shared" ref="V39:W39" si="197">V38</f>
        <v>20.7</v>
      </c>
      <c r="W39" s="124">
        <f t="shared" si="197"/>
        <v>1.095</v>
      </c>
      <c r="X39" s="124">
        <f t="shared" si="20"/>
        <v>1.0860000000000001</v>
      </c>
      <c r="Y39" s="41">
        <v>226.02</v>
      </c>
      <c r="Z39" s="41">
        <v>235.99</v>
      </c>
      <c r="AA39" s="90">
        <f t="shared" ref="AA39:AB39" si="198">AA38</f>
        <v>10.007999999999999</v>
      </c>
      <c r="AB39" s="73" t="str">
        <f t="shared" si="198"/>
        <v>22,32,060</v>
      </c>
      <c r="AC39" s="11" t="str">
        <f t="shared" si="54"/>
        <v>22</v>
      </c>
      <c r="AD39" s="11" t="str">
        <f t="shared" si="55"/>
        <v>32,060</v>
      </c>
      <c r="AE39" s="11">
        <f t="shared" si="56"/>
        <v>0.3755722222222222</v>
      </c>
      <c r="AF39" s="14">
        <f t="shared" si="57"/>
        <v>26.647338135881544</v>
      </c>
      <c r="AG39" s="39">
        <f t="shared" si="58"/>
        <v>-0.37969624300559807</v>
      </c>
      <c r="AH39" s="38">
        <f t="shared" ref="AH39:AI39" si="199">AH38</f>
        <v>21.3</v>
      </c>
      <c r="AI39" s="124">
        <f t="shared" si="199"/>
        <v>1.0960000000000001</v>
      </c>
      <c r="AJ39" s="124">
        <f t="shared" si="24"/>
        <v>1.087</v>
      </c>
      <c r="AK39" s="41">
        <f t="shared" si="59"/>
        <v>235.99</v>
      </c>
      <c r="AL39" s="41">
        <v>241.03</v>
      </c>
      <c r="AM39" s="34">
        <f t="shared" ref="AM39:AN39" si="200">AM38</f>
        <v>5.0049999999999999</v>
      </c>
      <c r="AN39" s="33" t="str">
        <f t="shared" si="200"/>
        <v>18,09,850</v>
      </c>
      <c r="AO39" s="11" t="str">
        <f t="shared" si="61"/>
        <v>18</v>
      </c>
      <c r="AP39" s="11" t="str">
        <f t="shared" si="62"/>
        <v>09,850</v>
      </c>
      <c r="AQ39" s="11">
        <f t="shared" si="63"/>
        <v>0.30273611111111109</v>
      </c>
      <c r="AR39" s="14">
        <f t="shared" si="64"/>
        <v>16.532550350965728</v>
      </c>
      <c r="AS39" s="39">
        <f t="shared" si="65"/>
        <v>0.69930069930054251</v>
      </c>
      <c r="AT39" s="40" t="str">
        <f t="shared" si="66"/>
        <v>CONFORME</v>
      </c>
      <c r="AU39" s="8" t="b">
        <f t="shared" si="28"/>
        <v>1</v>
      </c>
      <c r="AV39" s="8" t="b">
        <f t="shared" si="29"/>
        <v>1</v>
      </c>
      <c r="AW39" s="8" t="b">
        <f t="shared" si="30"/>
        <v>1</v>
      </c>
      <c r="AX39" s="8" t="str">
        <f t="shared" si="31"/>
        <v>Qcorrecto</v>
      </c>
      <c r="AY39" s="22" t="str">
        <f t="shared" si="5"/>
        <v>aceptable</v>
      </c>
      <c r="AZ39" s="22" t="str">
        <f t="shared" si="6"/>
        <v>aceptable</v>
      </c>
      <c r="BA39" s="22" t="str">
        <f t="shared" si="32"/>
        <v>aceptable</v>
      </c>
      <c r="BB39" s="25" t="str">
        <f t="shared" si="33"/>
        <v>CONFORME</v>
      </c>
      <c r="BC39" s="5" t="str">
        <f t="shared" si="34"/>
        <v>CONFORME</v>
      </c>
      <c r="BD39" s="15">
        <f t="shared" si="7"/>
        <v>-1</v>
      </c>
      <c r="BE39" s="15">
        <f t="shared" si="8"/>
        <v>-1</v>
      </c>
      <c r="BF39" s="15">
        <f t="shared" si="9"/>
        <v>1</v>
      </c>
      <c r="BG39" s="15" t="str">
        <f t="shared" si="10"/>
        <v>-1-11</v>
      </c>
      <c r="BH39" s="15" t="str">
        <f t="shared" si="11"/>
        <v>SD</v>
      </c>
      <c r="BI39" s="15" t="str">
        <f t="shared" si="12"/>
        <v>SD</v>
      </c>
      <c r="BJ39" s="15" t="b">
        <f t="shared" si="13"/>
        <v>0</v>
      </c>
      <c r="BK39" s="15" t="str">
        <f t="shared" si="14"/>
        <v>SIGDIFERENTES</v>
      </c>
      <c r="BL39" s="22" t="str">
        <f t="shared" si="15"/>
        <v>CONFORME</v>
      </c>
    </row>
    <row r="40" spans="1:64" s="152" customFormat="1" ht="15" thickBot="1" x14ac:dyDescent="0.35">
      <c r="A40" s="158">
        <v>32</v>
      </c>
      <c r="B40" s="137">
        <f t="shared" ref="B40:E40" si="201">B39</f>
        <v>45920</v>
      </c>
      <c r="C40" s="137">
        <f t="shared" si="201"/>
        <v>45920</v>
      </c>
      <c r="D40" s="138">
        <f t="shared" si="201"/>
        <v>3</v>
      </c>
      <c r="E40" s="237">
        <f t="shared" si="201"/>
        <v>8</v>
      </c>
      <c r="F40" s="43"/>
      <c r="G40" s="227" t="s">
        <v>84</v>
      </c>
      <c r="H40" s="139">
        <f t="shared" ref="H40:L40" si="202">H39</f>
        <v>25.6</v>
      </c>
      <c r="I40" s="140">
        <f t="shared" si="202"/>
        <v>0</v>
      </c>
      <c r="J40" s="228">
        <f t="shared" si="202"/>
        <v>20.5</v>
      </c>
      <c r="K40" s="229">
        <f t="shared" si="202"/>
        <v>8.4870000000000001</v>
      </c>
      <c r="L40" s="229">
        <f t="shared" si="202"/>
        <v>0.59199999999999997</v>
      </c>
      <c r="M40" s="141">
        <v>100.15</v>
      </c>
      <c r="N40" s="141">
        <v>199.64</v>
      </c>
      <c r="O40" s="230">
        <f t="shared" ref="O40:P40" si="203">O39</f>
        <v>100.31</v>
      </c>
      <c r="P40" s="231" t="str">
        <f t="shared" si="203"/>
        <v>2,30,140</v>
      </c>
      <c r="Q40" s="142" t="str">
        <f t="shared" si="47"/>
        <v>2</v>
      </c>
      <c r="R40" s="142" t="str">
        <f t="shared" si="48"/>
        <v>30,140</v>
      </c>
      <c r="S40" s="142">
        <f t="shared" si="49"/>
        <v>4.1705555555555551E-2</v>
      </c>
      <c r="T40" s="143">
        <f t="shared" si="50"/>
        <v>2405.1951511922207</v>
      </c>
      <c r="U40" s="144">
        <f t="shared" si="51"/>
        <v>-0.81746585584689613</v>
      </c>
      <c r="V40" s="232">
        <f t="shared" ref="V40:W40" si="204">V39</f>
        <v>20.7</v>
      </c>
      <c r="W40" s="233">
        <f t="shared" si="204"/>
        <v>1.095</v>
      </c>
      <c r="X40" s="233">
        <f t="shared" si="20"/>
        <v>1.0860000000000001</v>
      </c>
      <c r="Y40" s="141">
        <v>225.02</v>
      </c>
      <c r="Z40" s="141">
        <v>234.99</v>
      </c>
      <c r="AA40" s="234">
        <f t="shared" ref="AA40:AB40" si="205">AA39</f>
        <v>10.007999999999999</v>
      </c>
      <c r="AB40" s="235" t="str">
        <f t="shared" si="205"/>
        <v>22,32,060</v>
      </c>
      <c r="AC40" s="142" t="str">
        <f t="shared" si="54"/>
        <v>22</v>
      </c>
      <c r="AD40" s="142" t="str">
        <f t="shared" si="55"/>
        <v>32,060</v>
      </c>
      <c r="AE40" s="142">
        <f t="shared" si="56"/>
        <v>0.3755722222222222</v>
      </c>
      <c r="AF40" s="143">
        <f t="shared" si="57"/>
        <v>26.647338135881544</v>
      </c>
      <c r="AG40" s="145">
        <f t="shared" si="58"/>
        <v>-0.37969624300559807</v>
      </c>
      <c r="AH40" s="232">
        <f t="shared" ref="AH40:AI40" si="206">AH39</f>
        <v>21.3</v>
      </c>
      <c r="AI40" s="233">
        <f t="shared" si="206"/>
        <v>1.0960000000000001</v>
      </c>
      <c r="AJ40" s="233">
        <f t="shared" si="24"/>
        <v>1.087</v>
      </c>
      <c r="AK40" s="141">
        <f t="shared" si="59"/>
        <v>234.99</v>
      </c>
      <c r="AL40" s="141">
        <v>239.96</v>
      </c>
      <c r="AM40" s="236">
        <f t="shared" ref="AM40:AN40" si="207">AM39</f>
        <v>5.0049999999999999</v>
      </c>
      <c r="AN40" s="231" t="str">
        <f t="shared" si="207"/>
        <v>18,09,850</v>
      </c>
      <c r="AO40" s="142" t="str">
        <f t="shared" si="61"/>
        <v>18</v>
      </c>
      <c r="AP40" s="142" t="str">
        <f t="shared" si="62"/>
        <v>09,850</v>
      </c>
      <c r="AQ40" s="142">
        <f t="shared" si="63"/>
        <v>0.30273611111111109</v>
      </c>
      <c r="AR40" s="143">
        <f t="shared" si="64"/>
        <v>16.532550350965728</v>
      </c>
      <c r="AS40" s="145">
        <f t="shared" si="65"/>
        <v>-0.69930069930071992</v>
      </c>
      <c r="AT40" s="146" t="str">
        <f t="shared" si="66"/>
        <v>CONFORME</v>
      </c>
      <c r="AU40" s="147" t="b">
        <f t="shared" si="28"/>
        <v>1</v>
      </c>
      <c r="AV40" s="147" t="b">
        <f t="shared" si="29"/>
        <v>1</v>
      </c>
      <c r="AW40" s="147" t="b">
        <f t="shared" si="30"/>
        <v>1</v>
      </c>
      <c r="AX40" s="147" t="str">
        <f t="shared" si="31"/>
        <v>Qcorrecto</v>
      </c>
      <c r="AY40" s="148" t="str">
        <f t="shared" si="5"/>
        <v>aceptable</v>
      </c>
      <c r="AZ40" s="148" t="str">
        <f t="shared" si="6"/>
        <v>aceptable</v>
      </c>
      <c r="BA40" s="148" t="str">
        <f t="shared" si="32"/>
        <v>aceptable</v>
      </c>
      <c r="BB40" s="149" t="str">
        <f t="shared" si="33"/>
        <v>CONFORME</v>
      </c>
      <c r="BC40" s="150" t="str">
        <f t="shared" si="34"/>
        <v>CONFORME</v>
      </c>
      <c r="BD40" s="151">
        <f t="shared" si="7"/>
        <v>-1</v>
      </c>
      <c r="BE40" s="151">
        <f t="shared" si="8"/>
        <v>-1</v>
      </c>
      <c r="BF40" s="151">
        <f t="shared" si="9"/>
        <v>-1</v>
      </c>
      <c r="BG40" s="151" t="str">
        <f t="shared" si="10"/>
        <v>-1-1-1</v>
      </c>
      <c r="BH40" s="151" t="str">
        <f t="shared" si="11"/>
        <v>SD</v>
      </c>
      <c r="BI40" s="151" t="str">
        <f t="shared" si="12"/>
        <v>SI</v>
      </c>
      <c r="BJ40" s="151" t="b">
        <f t="shared" si="13"/>
        <v>1</v>
      </c>
      <c r="BK40" s="151" t="str">
        <f t="shared" si="14"/>
        <v>SIGIGUALES</v>
      </c>
      <c r="BL40" s="148" t="str">
        <f t="shared" si="15"/>
        <v>CONFORME</v>
      </c>
    </row>
    <row r="41" spans="1:64" ht="14.4" x14ac:dyDescent="0.3">
      <c r="A41" s="91">
        <v>33</v>
      </c>
      <c r="B41" s="125">
        <f t="shared" ref="B41:E41" si="208">B40</f>
        <v>45920</v>
      </c>
      <c r="C41" s="125">
        <f t="shared" si="208"/>
        <v>45920</v>
      </c>
      <c r="D41" s="126">
        <f t="shared" si="208"/>
        <v>3</v>
      </c>
      <c r="E41" s="238">
        <f t="shared" si="208"/>
        <v>8</v>
      </c>
      <c r="F41" s="46"/>
      <c r="G41" s="157" t="s">
        <v>85</v>
      </c>
      <c r="H41" s="127">
        <f t="shared" ref="H41:I41" si="209">H40</f>
        <v>25.6</v>
      </c>
      <c r="I41" s="111">
        <f t="shared" si="209"/>
        <v>0</v>
      </c>
      <c r="J41" s="112">
        <v>20.9</v>
      </c>
      <c r="K41" s="121">
        <v>8.4730000000000008</v>
      </c>
      <c r="L41" s="121">
        <v>0.52100000000000002</v>
      </c>
      <c r="M41" s="96">
        <v>109.21</v>
      </c>
      <c r="N41" s="96">
        <v>209.35</v>
      </c>
      <c r="O41" s="113">
        <v>100.48</v>
      </c>
      <c r="P41" s="252" t="s">
        <v>49</v>
      </c>
      <c r="Q41" s="97" t="str">
        <f t="shared" si="47"/>
        <v>2</v>
      </c>
      <c r="R41" s="97" t="str">
        <f t="shared" si="48"/>
        <v>29,610</v>
      </c>
      <c r="S41" s="97">
        <f t="shared" si="49"/>
        <v>4.1558333333333336E-2</v>
      </c>
      <c r="T41" s="98">
        <f t="shared" si="50"/>
        <v>2417.8062963705634</v>
      </c>
      <c r="U41" s="99">
        <f t="shared" si="51"/>
        <v>-0.33837579617834734</v>
      </c>
      <c r="V41" s="115">
        <v>21.3</v>
      </c>
      <c r="W41" s="133">
        <v>1.0960000000000001</v>
      </c>
      <c r="X41" s="133">
        <v>1.0880000000000001</v>
      </c>
      <c r="Y41" s="96">
        <v>214.75</v>
      </c>
      <c r="Z41" s="96">
        <v>224.69</v>
      </c>
      <c r="AA41" s="253">
        <v>10.01</v>
      </c>
      <c r="AB41" s="254" t="s">
        <v>107</v>
      </c>
      <c r="AC41" s="97" t="str">
        <f t="shared" si="54"/>
        <v>22</v>
      </c>
      <c r="AD41" s="97" t="str">
        <f t="shared" si="55"/>
        <v>44,380</v>
      </c>
      <c r="AE41" s="97">
        <f t="shared" si="56"/>
        <v>0.37899444444444447</v>
      </c>
      <c r="AF41" s="98">
        <f t="shared" si="57"/>
        <v>26.411996657822598</v>
      </c>
      <c r="AG41" s="100">
        <f t="shared" si="58"/>
        <v>-0.69930069930071992</v>
      </c>
      <c r="AH41" s="115">
        <v>21.5</v>
      </c>
      <c r="AI41" s="133">
        <v>1.097</v>
      </c>
      <c r="AJ41" s="133">
        <v>1.089</v>
      </c>
      <c r="AK41" s="96">
        <f t="shared" si="59"/>
        <v>224.69</v>
      </c>
      <c r="AL41" s="96">
        <v>229.67</v>
      </c>
      <c r="AM41" s="101">
        <v>5.01</v>
      </c>
      <c r="AN41" s="114" t="s">
        <v>108</v>
      </c>
      <c r="AO41" s="97" t="str">
        <f t="shared" si="61"/>
        <v>18</v>
      </c>
      <c r="AP41" s="97" t="str">
        <f t="shared" si="62"/>
        <v>16,100</v>
      </c>
      <c r="AQ41" s="97">
        <f t="shared" si="63"/>
        <v>0.3044722222222222</v>
      </c>
      <c r="AR41" s="98">
        <f t="shared" si="64"/>
        <v>16.454703038043974</v>
      </c>
      <c r="AS41" s="100">
        <f t="shared" si="65"/>
        <v>-0.59880239520978085</v>
      </c>
      <c r="AT41" s="102" t="str">
        <f t="shared" si="66"/>
        <v>CONFORME</v>
      </c>
      <c r="AU41" s="8" t="b">
        <f t="shared" si="28"/>
        <v>1</v>
      </c>
      <c r="AV41" s="8" t="b">
        <f t="shared" si="29"/>
        <v>1</v>
      </c>
      <c r="AW41" s="8" t="b">
        <f t="shared" si="30"/>
        <v>1</v>
      </c>
      <c r="AX41" s="8" t="str">
        <f t="shared" si="31"/>
        <v>Qcorrecto</v>
      </c>
      <c r="AY41" s="26" t="str">
        <f t="shared" si="5"/>
        <v>aceptable</v>
      </c>
      <c r="AZ41" s="26" t="str">
        <f t="shared" si="6"/>
        <v>aceptable</v>
      </c>
      <c r="BA41" s="26" t="str">
        <f t="shared" si="32"/>
        <v>aceptable</v>
      </c>
      <c r="BB41" s="25" t="str">
        <f t="shared" si="33"/>
        <v>CONFORME</v>
      </c>
      <c r="BC41" s="5" t="str">
        <f t="shared" si="34"/>
        <v>CONFORME</v>
      </c>
      <c r="BD41" s="15">
        <f t="shared" si="7"/>
        <v>-1</v>
      </c>
      <c r="BE41" s="15">
        <f t="shared" si="8"/>
        <v>-1</v>
      </c>
      <c r="BF41" s="15">
        <f t="shared" si="9"/>
        <v>-1</v>
      </c>
      <c r="BG41" s="15" t="str">
        <f t="shared" si="10"/>
        <v>-1-1-1</v>
      </c>
      <c r="BH41" s="15" t="str">
        <f t="shared" si="11"/>
        <v>SD</v>
      </c>
      <c r="BI41" s="15" t="str">
        <f t="shared" si="12"/>
        <v>SI</v>
      </c>
      <c r="BJ41" s="15" t="b">
        <f t="shared" si="13"/>
        <v>1</v>
      </c>
      <c r="BK41" s="15" t="str">
        <f t="shared" si="14"/>
        <v>SIGIGUALES</v>
      </c>
      <c r="BL41" s="26" t="str">
        <f t="shared" si="15"/>
        <v>CONFORME</v>
      </c>
    </row>
    <row r="42" spans="1:64" ht="14.4" x14ac:dyDescent="0.3">
      <c r="A42" s="91">
        <v>34</v>
      </c>
      <c r="B42" s="28">
        <f t="shared" ref="B42:E42" si="210">B41</f>
        <v>45920</v>
      </c>
      <c r="C42" s="28">
        <f t="shared" si="210"/>
        <v>45920</v>
      </c>
      <c r="D42" s="12">
        <f t="shared" si="210"/>
        <v>3</v>
      </c>
      <c r="E42" s="10">
        <f t="shared" si="210"/>
        <v>8</v>
      </c>
      <c r="F42" s="13"/>
      <c r="G42" s="157" t="s">
        <v>86</v>
      </c>
      <c r="H42" s="70">
        <f t="shared" ref="H42:L42" si="211">H41</f>
        <v>25.6</v>
      </c>
      <c r="I42" s="36">
        <f t="shared" si="211"/>
        <v>0</v>
      </c>
      <c r="J42" s="35">
        <f t="shared" si="211"/>
        <v>20.9</v>
      </c>
      <c r="K42" s="122">
        <f t="shared" si="211"/>
        <v>8.4730000000000008</v>
      </c>
      <c r="L42" s="122">
        <f t="shared" si="211"/>
        <v>0.52100000000000002</v>
      </c>
      <c r="M42" s="41">
        <v>150.30000000000001</v>
      </c>
      <c r="N42" s="41">
        <v>250</v>
      </c>
      <c r="O42" s="32">
        <f t="shared" ref="O42:P42" si="212">O41</f>
        <v>100.48</v>
      </c>
      <c r="P42" s="168" t="str">
        <f t="shared" si="212"/>
        <v>2,29,610</v>
      </c>
      <c r="Q42" s="11" t="str">
        <f t="shared" si="47"/>
        <v>2</v>
      </c>
      <c r="R42" s="11" t="str">
        <f t="shared" si="48"/>
        <v>29,610</v>
      </c>
      <c r="S42" s="11">
        <f t="shared" si="49"/>
        <v>4.1558333333333336E-2</v>
      </c>
      <c r="T42" s="14">
        <f t="shared" si="50"/>
        <v>2417.8062963705634</v>
      </c>
      <c r="U42" s="37">
        <f t="shared" si="51"/>
        <v>-0.7762738853503337</v>
      </c>
      <c r="V42" s="38">
        <f t="shared" ref="V42:W42" si="213">V41</f>
        <v>21.3</v>
      </c>
      <c r="W42" s="124">
        <f t="shared" si="213"/>
        <v>1.0960000000000001</v>
      </c>
      <c r="X42" s="124">
        <f t="shared" si="20"/>
        <v>1.0880000000000001</v>
      </c>
      <c r="Y42" s="41">
        <v>255.4</v>
      </c>
      <c r="Z42" s="41">
        <v>265.35000000000002</v>
      </c>
      <c r="AA42" s="90">
        <f t="shared" ref="AA42:AB42" si="214">AA41</f>
        <v>10.01</v>
      </c>
      <c r="AB42" s="73" t="str">
        <f t="shared" si="214"/>
        <v>22,44,380</v>
      </c>
      <c r="AC42" s="11" t="str">
        <f t="shared" si="54"/>
        <v>22</v>
      </c>
      <c r="AD42" s="11" t="str">
        <f t="shared" si="55"/>
        <v>44,380</v>
      </c>
      <c r="AE42" s="11">
        <f t="shared" si="56"/>
        <v>0.37899444444444447</v>
      </c>
      <c r="AF42" s="14">
        <f t="shared" si="57"/>
        <v>26.411996657822598</v>
      </c>
      <c r="AG42" s="39">
        <f t="shared" si="58"/>
        <v>-0.59940059940042689</v>
      </c>
      <c r="AH42" s="38">
        <f t="shared" ref="AH42:AI42" si="215">AH41</f>
        <v>21.5</v>
      </c>
      <c r="AI42" s="124">
        <f t="shared" si="215"/>
        <v>1.097</v>
      </c>
      <c r="AJ42" s="124">
        <f t="shared" si="24"/>
        <v>1.089</v>
      </c>
      <c r="AK42" s="41">
        <f t="shared" si="59"/>
        <v>265.35000000000002</v>
      </c>
      <c r="AL42" s="41">
        <v>270.37</v>
      </c>
      <c r="AM42" s="34">
        <f t="shared" ref="AM42:AN42" si="216">AM41</f>
        <v>5.01</v>
      </c>
      <c r="AN42" s="33" t="str">
        <f t="shared" si="216"/>
        <v>18,16,100</v>
      </c>
      <c r="AO42" s="11" t="str">
        <f t="shared" si="61"/>
        <v>18</v>
      </c>
      <c r="AP42" s="11" t="str">
        <f t="shared" si="62"/>
        <v>16,100</v>
      </c>
      <c r="AQ42" s="11">
        <f t="shared" si="63"/>
        <v>0.3044722222222222</v>
      </c>
      <c r="AR42" s="14">
        <f t="shared" si="64"/>
        <v>16.454703038043974</v>
      </c>
      <c r="AS42" s="39">
        <f t="shared" si="65"/>
        <v>0.19960079840283482</v>
      </c>
      <c r="AT42" s="40" t="str">
        <f t="shared" si="66"/>
        <v>CONFORME</v>
      </c>
      <c r="AU42" s="8" t="b">
        <f t="shared" si="28"/>
        <v>1</v>
      </c>
      <c r="AV42" s="8" t="b">
        <f t="shared" si="29"/>
        <v>1</v>
      </c>
      <c r="AW42" s="8" t="b">
        <f t="shared" si="30"/>
        <v>1</v>
      </c>
      <c r="AX42" s="8" t="str">
        <f t="shared" si="31"/>
        <v>Qcorrecto</v>
      </c>
      <c r="AY42" s="22" t="str">
        <f t="shared" si="5"/>
        <v>aceptable</v>
      </c>
      <c r="AZ42" s="22" t="str">
        <f t="shared" si="6"/>
        <v>aceptable</v>
      </c>
      <c r="BA42" s="22" t="str">
        <f t="shared" si="32"/>
        <v>aceptable</v>
      </c>
      <c r="BB42" s="25" t="str">
        <f t="shared" si="33"/>
        <v>CONFORME</v>
      </c>
      <c r="BC42" s="5" t="str">
        <f t="shared" si="34"/>
        <v>CONFORME</v>
      </c>
      <c r="BD42" s="15">
        <f t="shared" si="7"/>
        <v>-1</v>
      </c>
      <c r="BE42" s="15">
        <f t="shared" si="8"/>
        <v>-1</v>
      </c>
      <c r="BF42" s="15">
        <f t="shared" si="9"/>
        <v>1</v>
      </c>
      <c r="BG42" s="15" t="str">
        <f t="shared" si="10"/>
        <v>-1-11</v>
      </c>
      <c r="BH42" s="15" t="str">
        <f t="shared" si="11"/>
        <v>SD</v>
      </c>
      <c r="BI42" s="15" t="str">
        <f t="shared" si="12"/>
        <v>SD</v>
      </c>
      <c r="BJ42" s="15" t="b">
        <f t="shared" si="13"/>
        <v>0</v>
      </c>
      <c r="BK42" s="15" t="str">
        <f t="shared" si="14"/>
        <v>SIGDIFERENTES</v>
      </c>
      <c r="BL42" s="22" t="str">
        <f t="shared" si="15"/>
        <v>CONFORME</v>
      </c>
    </row>
    <row r="43" spans="1:64" ht="14.4" x14ac:dyDescent="0.3">
      <c r="A43" s="159">
        <v>35</v>
      </c>
      <c r="B43" s="160">
        <f t="shared" ref="B43:E43" si="217">B42</f>
        <v>45920</v>
      </c>
      <c r="C43" s="160">
        <f t="shared" si="217"/>
        <v>45920</v>
      </c>
      <c r="D43" s="161">
        <f t="shared" si="217"/>
        <v>3</v>
      </c>
      <c r="E43" s="10">
        <f t="shared" si="217"/>
        <v>8</v>
      </c>
      <c r="F43" s="45"/>
      <c r="G43" s="157" t="s">
        <v>87</v>
      </c>
      <c r="H43" s="162">
        <f t="shared" ref="H43:L43" si="218">H42</f>
        <v>25.6</v>
      </c>
      <c r="I43" s="163">
        <f t="shared" si="218"/>
        <v>0</v>
      </c>
      <c r="J43" s="35">
        <f t="shared" si="218"/>
        <v>20.9</v>
      </c>
      <c r="K43" s="122">
        <f t="shared" si="218"/>
        <v>8.4730000000000008</v>
      </c>
      <c r="L43" s="122">
        <f t="shared" si="218"/>
        <v>0.52100000000000002</v>
      </c>
      <c r="M43" s="166">
        <v>108.58</v>
      </c>
      <c r="N43" s="166">
        <v>208.08</v>
      </c>
      <c r="O43" s="32">
        <f t="shared" ref="O43:P43" si="219">O42</f>
        <v>100.48</v>
      </c>
      <c r="P43" s="168" t="str">
        <f t="shared" si="219"/>
        <v>2,29,610</v>
      </c>
      <c r="Q43" s="169" t="str">
        <f t="shared" si="47"/>
        <v>2</v>
      </c>
      <c r="R43" s="169" t="str">
        <f t="shared" si="48"/>
        <v>29,610</v>
      </c>
      <c r="S43" s="169">
        <f t="shared" si="49"/>
        <v>4.1558333333333336E-2</v>
      </c>
      <c r="T43" s="170">
        <f t="shared" si="50"/>
        <v>2417.8062963705634</v>
      </c>
      <c r="U43" s="171">
        <f t="shared" si="51"/>
        <v>-0.97531847133756933</v>
      </c>
      <c r="V43" s="38">
        <f t="shared" ref="V43:W43" si="220">V42</f>
        <v>21.3</v>
      </c>
      <c r="W43" s="124">
        <f t="shared" si="220"/>
        <v>1.0960000000000001</v>
      </c>
      <c r="X43" s="124">
        <f t="shared" si="20"/>
        <v>1.0880000000000001</v>
      </c>
      <c r="Y43" s="166">
        <v>213.48</v>
      </c>
      <c r="Z43" s="166">
        <v>223.42</v>
      </c>
      <c r="AA43" s="90">
        <f t="shared" ref="AA43:AB43" si="221">AA42</f>
        <v>10.01</v>
      </c>
      <c r="AB43" s="73" t="str">
        <f t="shared" si="221"/>
        <v>22,44,380</v>
      </c>
      <c r="AC43" s="169" t="str">
        <f t="shared" si="54"/>
        <v>22</v>
      </c>
      <c r="AD43" s="169" t="str">
        <f t="shared" si="55"/>
        <v>44,380</v>
      </c>
      <c r="AE43" s="169">
        <f t="shared" si="56"/>
        <v>0.37899444444444447</v>
      </c>
      <c r="AF43" s="170">
        <f t="shared" si="57"/>
        <v>26.411996657822598</v>
      </c>
      <c r="AG43" s="176">
        <f t="shared" si="58"/>
        <v>-0.69930069930071992</v>
      </c>
      <c r="AH43" s="38">
        <f t="shared" ref="AH43:AI43" si="222">AH42</f>
        <v>21.5</v>
      </c>
      <c r="AI43" s="124">
        <f t="shared" si="222"/>
        <v>1.097</v>
      </c>
      <c r="AJ43" s="124">
        <f t="shared" si="24"/>
        <v>1.089</v>
      </c>
      <c r="AK43" s="166">
        <f t="shared" si="59"/>
        <v>223.42</v>
      </c>
      <c r="AL43" s="166">
        <v>228.44</v>
      </c>
      <c r="AM43" s="34">
        <f t="shared" ref="AM43:AN43" si="223">AM42</f>
        <v>5.01</v>
      </c>
      <c r="AN43" s="33" t="str">
        <f t="shared" si="223"/>
        <v>18,16,100</v>
      </c>
      <c r="AO43" s="169" t="str">
        <f t="shared" si="61"/>
        <v>18</v>
      </c>
      <c r="AP43" s="169" t="str">
        <f t="shared" si="62"/>
        <v>16,100</v>
      </c>
      <c r="AQ43" s="169">
        <f t="shared" si="63"/>
        <v>0.3044722222222222</v>
      </c>
      <c r="AR43" s="170">
        <f t="shared" si="64"/>
        <v>16.454703038043974</v>
      </c>
      <c r="AS43" s="176">
        <f t="shared" si="65"/>
        <v>0.19960079840340211</v>
      </c>
      <c r="AT43" s="178" t="str">
        <f t="shared" si="66"/>
        <v>CONFORME</v>
      </c>
      <c r="AU43" s="8" t="b">
        <f t="shared" si="28"/>
        <v>1</v>
      </c>
      <c r="AV43" s="8" t="b">
        <f t="shared" si="29"/>
        <v>1</v>
      </c>
      <c r="AW43" s="8" t="b">
        <f t="shared" si="30"/>
        <v>1</v>
      </c>
      <c r="AX43" s="8" t="str">
        <f t="shared" si="31"/>
        <v>Qcorrecto</v>
      </c>
      <c r="AY43" s="179" t="str">
        <f t="shared" si="5"/>
        <v>aceptable</v>
      </c>
      <c r="AZ43" s="179" t="str">
        <f t="shared" si="6"/>
        <v>aceptable</v>
      </c>
      <c r="BA43" s="179" t="str">
        <f t="shared" si="32"/>
        <v>aceptable</v>
      </c>
      <c r="BB43" s="180" t="str">
        <f t="shared" si="33"/>
        <v>CONFORME</v>
      </c>
      <c r="BC43" s="181" t="str">
        <f t="shared" si="34"/>
        <v>CONFORME</v>
      </c>
      <c r="BD43" s="15">
        <f t="shared" si="7"/>
        <v>-1</v>
      </c>
      <c r="BE43" s="15">
        <f t="shared" si="8"/>
        <v>-1</v>
      </c>
      <c r="BF43" s="15">
        <f t="shared" si="9"/>
        <v>1</v>
      </c>
      <c r="BG43" s="15" t="str">
        <f t="shared" si="10"/>
        <v>-1-11</v>
      </c>
      <c r="BH43" s="15" t="str">
        <f t="shared" si="11"/>
        <v>SD</v>
      </c>
      <c r="BI43" s="15" t="str">
        <f t="shared" si="12"/>
        <v>SD</v>
      </c>
      <c r="BJ43" s="15" t="b">
        <f t="shared" si="13"/>
        <v>0</v>
      </c>
      <c r="BK43" s="15" t="str">
        <f t="shared" si="14"/>
        <v>SIGDIFERENTES</v>
      </c>
      <c r="BL43" s="179" t="str">
        <f t="shared" si="15"/>
        <v>CONFORME</v>
      </c>
    </row>
    <row r="44" spans="1:64" s="187" customFormat="1" ht="14.4" x14ac:dyDescent="0.3">
      <c r="A44" s="10">
        <v>36</v>
      </c>
      <c r="B44" s="28">
        <f t="shared" ref="B44:E44" si="224">B43</f>
        <v>45920</v>
      </c>
      <c r="C44" s="28">
        <f t="shared" si="224"/>
        <v>45920</v>
      </c>
      <c r="D44" s="12">
        <f t="shared" si="224"/>
        <v>3</v>
      </c>
      <c r="E44" s="10">
        <f t="shared" si="224"/>
        <v>8</v>
      </c>
      <c r="F44" s="13"/>
      <c r="G44" s="157" t="s">
        <v>88</v>
      </c>
      <c r="H44" s="70">
        <f t="shared" ref="H44:L44" si="225">H43</f>
        <v>25.6</v>
      </c>
      <c r="I44" s="36">
        <f t="shared" si="225"/>
        <v>0</v>
      </c>
      <c r="J44" s="35">
        <f t="shared" si="225"/>
        <v>20.9</v>
      </c>
      <c r="K44" s="122">
        <f t="shared" si="225"/>
        <v>8.4730000000000008</v>
      </c>
      <c r="L44" s="122">
        <f t="shared" si="225"/>
        <v>0.52100000000000002</v>
      </c>
      <c r="M44" s="41">
        <v>109.51</v>
      </c>
      <c r="N44" s="41">
        <v>209.6</v>
      </c>
      <c r="O44" s="32">
        <f t="shared" ref="O44:P44" si="226">O43</f>
        <v>100.48</v>
      </c>
      <c r="P44" s="168" t="str">
        <f t="shared" si="226"/>
        <v>2,29,610</v>
      </c>
      <c r="Q44" s="11" t="str">
        <f t="shared" si="47"/>
        <v>2</v>
      </c>
      <c r="R44" s="11" t="str">
        <f t="shared" si="48"/>
        <v>29,610</v>
      </c>
      <c r="S44" s="11">
        <f t="shared" si="49"/>
        <v>4.1558333333333336E-2</v>
      </c>
      <c r="T44" s="14">
        <f t="shared" si="50"/>
        <v>2417.8062963705634</v>
      </c>
      <c r="U44" s="37">
        <f t="shared" si="51"/>
        <v>-0.38813694267517396</v>
      </c>
      <c r="V44" s="38">
        <f t="shared" ref="V44:W44" si="227">V43</f>
        <v>21.3</v>
      </c>
      <c r="W44" s="124">
        <f t="shared" si="227"/>
        <v>1.0960000000000001</v>
      </c>
      <c r="X44" s="124">
        <f t="shared" si="20"/>
        <v>1.0880000000000001</v>
      </c>
      <c r="Y44" s="41">
        <v>215</v>
      </c>
      <c r="Z44" s="41">
        <v>225.01</v>
      </c>
      <c r="AA44" s="90">
        <f t="shared" ref="AA44:AB44" si="228">AA43</f>
        <v>10.01</v>
      </c>
      <c r="AB44" s="73" t="str">
        <f t="shared" si="228"/>
        <v>22,44,380</v>
      </c>
      <c r="AC44" s="11" t="str">
        <f t="shared" si="54"/>
        <v>22</v>
      </c>
      <c r="AD44" s="11" t="str">
        <f t="shared" si="55"/>
        <v>44,380</v>
      </c>
      <c r="AE44" s="11">
        <f t="shared" si="56"/>
        <v>0.37899444444444447</v>
      </c>
      <c r="AF44" s="14">
        <f t="shared" si="57"/>
        <v>26.411996657822598</v>
      </c>
      <c r="AG44" s="39">
        <f t="shared" si="58"/>
        <v>-8.872911285715537E-14</v>
      </c>
      <c r="AH44" s="38">
        <f t="shared" ref="AH44:AI44" si="229">AH43</f>
        <v>21.5</v>
      </c>
      <c r="AI44" s="124">
        <f t="shared" si="229"/>
        <v>1.097</v>
      </c>
      <c r="AJ44" s="124">
        <f t="shared" si="24"/>
        <v>1.089</v>
      </c>
      <c r="AK44" s="41">
        <f t="shared" si="59"/>
        <v>225.01</v>
      </c>
      <c r="AL44" s="41">
        <v>230.09</v>
      </c>
      <c r="AM44" s="34">
        <f t="shared" ref="AM44:AN44" si="230">AM43</f>
        <v>5.01</v>
      </c>
      <c r="AN44" s="33" t="str">
        <f t="shared" si="230"/>
        <v>18,16,100</v>
      </c>
      <c r="AO44" s="11" t="str">
        <f t="shared" si="61"/>
        <v>18</v>
      </c>
      <c r="AP44" s="11" t="str">
        <f t="shared" si="62"/>
        <v>16,100</v>
      </c>
      <c r="AQ44" s="11">
        <f t="shared" si="63"/>
        <v>0.3044722222222222</v>
      </c>
      <c r="AR44" s="14">
        <f t="shared" si="64"/>
        <v>16.454703038043974</v>
      </c>
      <c r="AS44" s="39">
        <f t="shared" si="65"/>
        <v>1.3972055888226091</v>
      </c>
      <c r="AT44" s="40" t="str">
        <f t="shared" si="66"/>
        <v>CONFORME</v>
      </c>
      <c r="AU44" s="183" t="b">
        <f t="shared" si="28"/>
        <v>1</v>
      </c>
      <c r="AV44" s="183" t="b">
        <f t="shared" si="29"/>
        <v>1</v>
      </c>
      <c r="AW44" s="183" t="b">
        <f t="shared" si="30"/>
        <v>1</v>
      </c>
      <c r="AX44" s="183" t="str">
        <f t="shared" si="31"/>
        <v>Qcorrecto</v>
      </c>
      <c r="AY44" s="22" t="str">
        <f t="shared" si="5"/>
        <v>aceptable</v>
      </c>
      <c r="AZ44" s="22" t="str">
        <f t="shared" si="6"/>
        <v>aceptable</v>
      </c>
      <c r="BA44" s="22" t="str">
        <f t="shared" si="32"/>
        <v>aceptable</v>
      </c>
      <c r="BB44" s="184" t="str">
        <f t="shared" si="33"/>
        <v>CONFORME</v>
      </c>
      <c r="BC44" s="185" t="str">
        <f t="shared" si="34"/>
        <v>CONFORME</v>
      </c>
      <c r="BD44" s="186">
        <f t="shared" si="7"/>
        <v>-1</v>
      </c>
      <c r="BE44" s="186">
        <f t="shared" si="8"/>
        <v>-1</v>
      </c>
      <c r="BF44" s="186">
        <f t="shared" si="9"/>
        <v>1</v>
      </c>
      <c r="BG44" s="186" t="str">
        <f t="shared" si="10"/>
        <v>-1-11</v>
      </c>
      <c r="BH44" s="186" t="str">
        <f t="shared" si="11"/>
        <v>SD</v>
      </c>
      <c r="BI44" s="186" t="str">
        <f t="shared" si="12"/>
        <v>SD</v>
      </c>
      <c r="BJ44" s="186" t="b">
        <f t="shared" si="13"/>
        <v>0</v>
      </c>
      <c r="BK44" s="186" t="str">
        <f t="shared" si="14"/>
        <v>SIGDIFERENTES</v>
      </c>
      <c r="BL44" s="22" t="str">
        <f t="shared" si="15"/>
        <v>CONFORME</v>
      </c>
    </row>
    <row r="45" spans="1:64" ht="14.4" x14ac:dyDescent="0.3">
      <c r="A45" s="91">
        <v>37</v>
      </c>
      <c r="B45" s="125">
        <f t="shared" ref="B45:E45" si="231">B44</f>
        <v>45920</v>
      </c>
      <c r="C45" s="125">
        <f t="shared" si="231"/>
        <v>45920</v>
      </c>
      <c r="D45" s="126">
        <f t="shared" si="231"/>
        <v>3</v>
      </c>
      <c r="E45" s="10">
        <f t="shared" si="231"/>
        <v>8</v>
      </c>
      <c r="F45" s="46"/>
      <c r="G45" s="157" t="s">
        <v>89</v>
      </c>
      <c r="H45" s="127">
        <f t="shared" ref="H45:L45" si="232">H44</f>
        <v>25.6</v>
      </c>
      <c r="I45" s="111">
        <f t="shared" si="232"/>
        <v>0</v>
      </c>
      <c r="J45" s="35">
        <f t="shared" si="232"/>
        <v>20.9</v>
      </c>
      <c r="K45" s="122">
        <f t="shared" si="232"/>
        <v>8.4730000000000008</v>
      </c>
      <c r="L45" s="122">
        <f t="shared" si="232"/>
        <v>0.52100000000000002</v>
      </c>
      <c r="M45" s="96">
        <v>111.31</v>
      </c>
      <c r="N45" s="96">
        <v>211.64</v>
      </c>
      <c r="O45" s="32">
        <f t="shared" ref="O45:P45" si="233">O44</f>
        <v>100.48</v>
      </c>
      <c r="P45" s="168" t="str">
        <f t="shared" si="233"/>
        <v>2,29,610</v>
      </c>
      <c r="Q45" s="97" t="str">
        <f t="shared" si="47"/>
        <v>2</v>
      </c>
      <c r="R45" s="97" t="str">
        <f t="shared" si="48"/>
        <v>29,610</v>
      </c>
      <c r="S45" s="97">
        <f t="shared" si="49"/>
        <v>4.1558333333333336E-2</v>
      </c>
      <c r="T45" s="98">
        <f t="shared" si="50"/>
        <v>2417.8062963705634</v>
      </c>
      <c r="U45" s="99">
        <f t="shared" si="51"/>
        <v>-0.14928343949046566</v>
      </c>
      <c r="V45" s="38">
        <f t="shared" ref="V45:W45" si="234">V44</f>
        <v>21.3</v>
      </c>
      <c r="W45" s="124">
        <f t="shared" si="234"/>
        <v>1.0960000000000001</v>
      </c>
      <c r="X45" s="124">
        <f t="shared" si="20"/>
        <v>1.0880000000000001</v>
      </c>
      <c r="Y45" s="96">
        <v>217.05</v>
      </c>
      <c r="Z45" s="96">
        <v>227.08</v>
      </c>
      <c r="AA45" s="90">
        <f t="shared" ref="AA45:AB45" si="235">AA44</f>
        <v>10.01</v>
      </c>
      <c r="AB45" s="73" t="str">
        <f t="shared" si="235"/>
        <v>22,44,380</v>
      </c>
      <c r="AC45" s="97" t="str">
        <f t="shared" si="54"/>
        <v>22</v>
      </c>
      <c r="AD45" s="97" t="str">
        <f t="shared" si="55"/>
        <v>44,380</v>
      </c>
      <c r="AE45" s="97">
        <f t="shared" si="56"/>
        <v>0.37899444444444447</v>
      </c>
      <c r="AF45" s="98">
        <f t="shared" si="57"/>
        <v>26.411996657822598</v>
      </c>
      <c r="AG45" s="100">
        <f t="shared" si="58"/>
        <v>0.1998001998002133</v>
      </c>
      <c r="AH45" s="38">
        <f t="shared" ref="AH45:AI45" si="236">AH44</f>
        <v>21.5</v>
      </c>
      <c r="AI45" s="124">
        <f t="shared" si="236"/>
        <v>1.097</v>
      </c>
      <c r="AJ45" s="124">
        <f t="shared" si="24"/>
        <v>1.089</v>
      </c>
      <c r="AK45" s="96">
        <f t="shared" si="59"/>
        <v>227.08</v>
      </c>
      <c r="AL45" s="96">
        <v>232.14</v>
      </c>
      <c r="AM45" s="34">
        <f t="shared" ref="AM45:AN45" si="237">AM44</f>
        <v>5.01</v>
      </c>
      <c r="AN45" s="33" t="str">
        <f t="shared" si="237"/>
        <v>18,16,100</v>
      </c>
      <c r="AO45" s="97" t="str">
        <f t="shared" si="61"/>
        <v>18</v>
      </c>
      <c r="AP45" s="97" t="str">
        <f t="shared" si="62"/>
        <v>16,100</v>
      </c>
      <c r="AQ45" s="97">
        <f t="shared" si="63"/>
        <v>0.3044722222222222</v>
      </c>
      <c r="AR45" s="98">
        <f t="shared" si="64"/>
        <v>16.454703038043974</v>
      </c>
      <c r="AS45" s="100">
        <f t="shared" si="65"/>
        <v>0.99800399201545043</v>
      </c>
      <c r="AT45" s="102" t="str">
        <f t="shared" si="66"/>
        <v>CONFORME</v>
      </c>
      <c r="AU45" s="8" t="b">
        <f t="shared" si="28"/>
        <v>1</v>
      </c>
      <c r="AV45" s="8" t="b">
        <f t="shared" si="29"/>
        <v>1</v>
      </c>
      <c r="AW45" s="8" t="b">
        <f t="shared" si="30"/>
        <v>1</v>
      </c>
      <c r="AX45" s="8" t="str">
        <f t="shared" si="31"/>
        <v>Qcorrecto</v>
      </c>
      <c r="AY45" s="26" t="str">
        <f t="shared" si="5"/>
        <v>aceptable</v>
      </c>
      <c r="AZ45" s="26" t="str">
        <f t="shared" si="6"/>
        <v>aceptable</v>
      </c>
      <c r="BA45" s="26" t="str">
        <f t="shared" si="32"/>
        <v>aceptable</v>
      </c>
      <c r="BB45" s="25" t="str">
        <f t="shared" si="33"/>
        <v>CONFORME</v>
      </c>
      <c r="BC45" s="5" t="str">
        <f t="shared" si="34"/>
        <v>CONFORME</v>
      </c>
      <c r="BD45" s="15">
        <f t="shared" si="7"/>
        <v>-1</v>
      </c>
      <c r="BE45" s="15">
        <f t="shared" si="8"/>
        <v>1</v>
      </c>
      <c r="BF45" s="15">
        <f t="shared" si="9"/>
        <v>1</v>
      </c>
      <c r="BG45" s="15" t="str">
        <f t="shared" si="10"/>
        <v>-111</v>
      </c>
      <c r="BH45" s="15" t="str">
        <f t="shared" si="11"/>
        <v>SD</v>
      </c>
      <c r="BI45" s="15" t="str">
        <f t="shared" si="12"/>
        <v>SD</v>
      </c>
      <c r="BJ45" s="15" t="b">
        <f t="shared" si="13"/>
        <v>0</v>
      </c>
      <c r="BK45" s="15" t="str">
        <f t="shared" si="14"/>
        <v>SIGDIFERENTES</v>
      </c>
      <c r="BL45" s="26" t="str">
        <f t="shared" si="15"/>
        <v>CONFORME</v>
      </c>
    </row>
    <row r="46" spans="1:64" ht="14.4" x14ac:dyDescent="0.3">
      <c r="A46" s="91">
        <v>38</v>
      </c>
      <c r="B46" s="28">
        <f t="shared" ref="B46:E46" si="238">B45</f>
        <v>45920</v>
      </c>
      <c r="C46" s="28">
        <f t="shared" si="238"/>
        <v>45920</v>
      </c>
      <c r="D46" s="12">
        <f t="shared" si="238"/>
        <v>3</v>
      </c>
      <c r="E46" s="10">
        <f t="shared" si="238"/>
        <v>8</v>
      </c>
      <c r="F46" s="13"/>
      <c r="G46" s="157" t="s">
        <v>90</v>
      </c>
      <c r="H46" s="70">
        <f t="shared" ref="H46:L46" si="239">H45</f>
        <v>25.6</v>
      </c>
      <c r="I46" s="36">
        <f t="shared" si="239"/>
        <v>0</v>
      </c>
      <c r="J46" s="35">
        <f t="shared" si="239"/>
        <v>20.9</v>
      </c>
      <c r="K46" s="122">
        <f t="shared" si="239"/>
        <v>8.4730000000000008</v>
      </c>
      <c r="L46" s="122">
        <f t="shared" si="239"/>
        <v>0.52100000000000002</v>
      </c>
      <c r="M46" s="41">
        <v>109.2</v>
      </c>
      <c r="N46" s="41">
        <v>208.8</v>
      </c>
      <c r="O46" s="32">
        <f t="shared" ref="O46:P46" si="240">O45</f>
        <v>100.48</v>
      </c>
      <c r="P46" s="168" t="str">
        <f t="shared" si="240"/>
        <v>2,29,610</v>
      </c>
      <c r="Q46" s="11" t="str">
        <f t="shared" si="47"/>
        <v>2</v>
      </c>
      <c r="R46" s="11" t="str">
        <f t="shared" si="48"/>
        <v>29,610</v>
      </c>
      <c r="S46" s="11">
        <f t="shared" si="49"/>
        <v>4.1558333333333336E-2</v>
      </c>
      <c r="T46" s="14">
        <f t="shared" si="50"/>
        <v>2417.8062963705634</v>
      </c>
      <c r="U46" s="37">
        <f t="shared" si="51"/>
        <v>-0.87579617834394452</v>
      </c>
      <c r="V46" s="38">
        <f t="shared" ref="V46:W46" si="241">V45</f>
        <v>21.3</v>
      </c>
      <c r="W46" s="124">
        <f t="shared" si="241"/>
        <v>1.0960000000000001</v>
      </c>
      <c r="X46" s="124">
        <f t="shared" si="20"/>
        <v>1.0880000000000001</v>
      </c>
      <c r="Y46" s="41">
        <v>214.19</v>
      </c>
      <c r="Z46" s="41">
        <v>224.13</v>
      </c>
      <c r="AA46" s="90">
        <f t="shared" ref="AA46:AB46" si="242">AA45</f>
        <v>10.01</v>
      </c>
      <c r="AB46" s="73" t="str">
        <f t="shared" si="242"/>
        <v>22,44,380</v>
      </c>
      <c r="AC46" s="11" t="str">
        <f t="shared" si="54"/>
        <v>22</v>
      </c>
      <c r="AD46" s="11" t="str">
        <f t="shared" si="55"/>
        <v>44,380</v>
      </c>
      <c r="AE46" s="11">
        <f t="shared" si="56"/>
        <v>0.37899444444444447</v>
      </c>
      <c r="AF46" s="14">
        <f t="shared" si="57"/>
        <v>26.411996657822598</v>
      </c>
      <c r="AG46" s="39">
        <f t="shared" si="58"/>
        <v>-0.69930069930071992</v>
      </c>
      <c r="AH46" s="38">
        <f t="shared" ref="AH46:AI46" si="243">AH45</f>
        <v>21.5</v>
      </c>
      <c r="AI46" s="124">
        <f t="shared" si="243"/>
        <v>1.097</v>
      </c>
      <c r="AJ46" s="124">
        <f t="shared" si="24"/>
        <v>1.089</v>
      </c>
      <c r="AK46" s="41">
        <f t="shared" si="59"/>
        <v>224.13</v>
      </c>
      <c r="AL46" s="41">
        <v>229.18</v>
      </c>
      <c r="AM46" s="34">
        <f t="shared" ref="AM46:AN46" si="244">AM45</f>
        <v>5.01</v>
      </c>
      <c r="AN46" s="33" t="str">
        <f t="shared" si="244"/>
        <v>18,16,100</v>
      </c>
      <c r="AO46" s="11" t="str">
        <f t="shared" si="61"/>
        <v>18</v>
      </c>
      <c r="AP46" s="11" t="str">
        <f t="shared" si="62"/>
        <v>16,100</v>
      </c>
      <c r="AQ46" s="11">
        <f t="shared" si="63"/>
        <v>0.3044722222222222</v>
      </c>
      <c r="AR46" s="14">
        <f t="shared" si="64"/>
        <v>16.454703038043974</v>
      </c>
      <c r="AS46" s="39">
        <f t="shared" si="65"/>
        <v>0.7984031936130056</v>
      </c>
      <c r="AT46" s="40" t="str">
        <f t="shared" si="66"/>
        <v>CONFORME</v>
      </c>
      <c r="AU46" s="8" t="b">
        <f t="shared" si="28"/>
        <v>1</v>
      </c>
      <c r="AV46" s="8" t="b">
        <f t="shared" si="29"/>
        <v>1</v>
      </c>
      <c r="AW46" s="8" t="b">
        <f t="shared" si="30"/>
        <v>1</v>
      </c>
      <c r="AX46" s="8" t="str">
        <f t="shared" si="31"/>
        <v>Qcorrecto</v>
      </c>
      <c r="AY46" s="22" t="str">
        <f t="shared" si="5"/>
        <v>aceptable</v>
      </c>
      <c r="AZ46" s="22" t="str">
        <f t="shared" si="6"/>
        <v>aceptable</v>
      </c>
      <c r="BA46" s="22" t="str">
        <f t="shared" si="32"/>
        <v>aceptable</v>
      </c>
      <c r="BB46" s="25" t="str">
        <f t="shared" si="33"/>
        <v>CONFORME</v>
      </c>
      <c r="BC46" s="5" t="str">
        <f t="shared" si="34"/>
        <v>CONFORME</v>
      </c>
      <c r="BD46" s="15">
        <f t="shared" si="7"/>
        <v>-1</v>
      </c>
      <c r="BE46" s="15">
        <f t="shared" si="8"/>
        <v>-1</v>
      </c>
      <c r="BF46" s="15">
        <f t="shared" si="9"/>
        <v>1</v>
      </c>
      <c r="BG46" s="15" t="str">
        <f t="shared" si="10"/>
        <v>-1-11</v>
      </c>
      <c r="BH46" s="15" t="str">
        <f t="shared" si="11"/>
        <v>SD</v>
      </c>
      <c r="BI46" s="15" t="str">
        <f t="shared" si="12"/>
        <v>SD</v>
      </c>
      <c r="BJ46" s="15" t="b">
        <f t="shared" si="13"/>
        <v>0</v>
      </c>
      <c r="BK46" s="15" t="str">
        <f t="shared" si="14"/>
        <v>SIGDIFERENTES</v>
      </c>
      <c r="BL46" s="22" t="str">
        <f t="shared" si="15"/>
        <v>CONFORME</v>
      </c>
    </row>
    <row r="47" spans="1:64" ht="14.4" x14ac:dyDescent="0.3">
      <c r="A47" s="91">
        <v>39</v>
      </c>
      <c r="B47" s="28">
        <f t="shared" ref="B47:E47" si="245">B46</f>
        <v>45920</v>
      </c>
      <c r="C47" s="28">
        <f t="shared" si="245"/>
        <v>45920</v>
      </c>
      <c r="D47" s="12">
        <f t="shared" si="245"/>
        <v>3</v>
      </c>
      <c r="E47" s="10">
        <f t="shared" si="245"/>
        <v>8</v>
      </c>
      <c r="F47" s="13"/>
      <c r="G47" s="157" t="s">
        <v>91</v>
      </c>
      <c r="H47" s="70">
        <f t="shared" ref="H47:L47" si="246">H46</f>
        <v>25.6</v>
      </c>
      <c r="I47" s="36">
        <f t="shared" si="246"/>
        <v>0</v>
      </c>
      <c r="J47" s="35">
        <f t="shared" si="246"/>
        <v>20.9</v>
      </c>
      <c r="K47" s="122">
        <f t="shared" si="246"/>
        <v>8.4730000000000008</v>
      </c>
      <c r="L47" s="122">
        <f t="shared" si="246"/>
        <v>0.52100000000000002</v>
      </c>
      <c r="M47" s="41">
        <v>150.79</v>
      </c>
      <c r="N47" s="41">
        <v>250.93</v>
      </c>
      <c r="O47" s="32">
        <f t="shared" ref="O47:P47" si="247">O46</f>
        <v>100.48</v>
      </c>
      <c r="P47" s="168" t="str">
        <f t="shared" si="247"/>
        <v>2,29,610</v>
      </c>
      <c r="Q47" s="11" t="str">
        <f t="shared" si="47"/>
        <v>2</v>
      </c>
      <c r="R47" s="11" t="str">
        <f t="shared" si="48"/>
        <v>29,610</v>
      </c>
      <c r="S47" s="11">
        <f t="shared" si="49"/>
        <v>4.1558333333333336E-2</v>
      </c>
      <c r="T47" s="14">
        <f t="shared" si="50"/>
        <v>2417.8062963705634</v>
      </c>
      <c r="U47" s="37">
        <f t="shared" si="51"/>
        <v>-0.33837579617833319</v>
      </c>
      <c r="V47" s="38">
        <f t="shared" ref="V47:W47" si="248">V46</f>
        <v>21.3</v>
      </c>
      <c r="W47" s="124">
        <f t="shared" si="248"/>
        <v>1.0960000000000001</v>
      </c>
      <c r="X47" s="124">
        <f t="shared" si="20"/>
        <v>1.0880000000000001</v>
      </c>
      <c r="Y47" s="41">
        <v>256.33999999999997</v>
      </c>
      <c r="Z47" s="41">
        <v>266.27999999999997</v>
      </c>
      <c r="AA47" s="90">
        <f t="shared" ref="AA47:AB47" si="249">AA46</f>
        <v>10.01</v>
      </c>
      <c r="AB47" s="73" t="str">
        <f t="shared" si="249"/>
        <v>22,44,380</v>
      </c>
      <c r="AC47" s="11" t="str">
        <f t="shared" si="54"/>
        <v>22</v>
      </c>
      <c r="AD47" s="11" t="str">
        <f t="shared" si="55"/>
        <v>44,380</v>
      </c>
      <c r="AE47" s="11">
        <f t="shared" si="56"/>
        <v>0.37899444444444447</v>
      </c>
      <c r="AF47" s="14">
        <f t="shared" si="57"/>
        <v>26.411996657822598</v>
      </c>
      <c r="AG47" s="39">
        <f t="shared" si="58"/>
        <v>-0.69930069930071992</v>
      </c>
      <c r="AH47" s="38">
        <f t="shared" ref="AH47:AI47" si="250">AH46</f>
        <v>21.5</v>
      </c>
      <c r="AI47" s="124">
        <f t="shared" si="250"/>
        <v>1.097</v>
      </c>
      <c r="AJ47" s="124">
        <f t="shared" si="24"/>
        <v>1.089</v>
      </c>
      <c r="AK47" s="41">
        <f t="shared" si="59"/>
        <v>266.27999999999997</v>
      </c>
      <c r="AL47" s="41">
        <v>271.29000000000002</v>
      </c>
      <c r="AM47" s="34">
        <f t="shared" ref="AM47:AN47" si="251">AM46</f>
        <v>5.01</v>
      </c>
      <c r="AN47" s="33" t="str">
        <f t="shared" si="251"/>
        <v>18,16,100</v>
      </c>
      <c r="AO47" s="11" t="str">
        <f t="shared" si="61"/>
        <v>18</v>
      </c>
      <c r="AP47" s="11" t="str">
        <f t="shared" si="62"/>
        <v>16,100</v>
      </c>
      <c r="AQ47" s="11">
        <f t="shared" si="63"/>
        <v>0.3044722222222222</v>
      </c>
      <c r="AR47" s="14">
        <f t="shared" si="64"/>
        <v>16.454703038043974</v>
      </c>
      <c r="AS47" s="39">
        <f t="shared" si="65"/>
        <v>9.5731805716181162E-13</v>
      </c>
      <c r="AT47" s="40" t="str">
        <f t="shared" si="66"/>
        <v>CONFORME</v>
      </c>
      <c r="AU47" s="8" t="b">
        <f t="shared" si="28"/>
        <v>1</v>
      </c>
      <c r="AV47" s="8" t="b">
        <f t="shared" si="29"/>
        <v>1</v>
      </c>
      <c r="AW47" s="8" t="b">
        <f t="shared" si="30"/>
        <v>1</v>
      </c>
      <c r="AX47" s="8" t="str">
        <f t="shared" si="31"/>
        <v>Qcorrecto</v>
      </c>
      <c r="AY47" s="22" t="str">
        <f t="shared" si="5"/>
        <v>aceptable</v>
      </c>
      <c r="AZ47" s="22" t="str">
        <f t="shared" si="6"/>
        <v>aceptable</v>
      </c>
      <c r="BA47" s="22" t="str">
        <f t="shared" si="32"/>
        <v>aceptable</v>
      </c>
      <c r="BB47" s="25" t="str">
        <f t="shared" si="33"/>
        <v>CONFORME</v>
      </c>
      <c r="BC47" s="5" t="str">
        <f t="shared" si="34"/>
        <v>CONFORME</v>
      </c>
      <c r="BD47" s="15">
        <f t="shared" si="7"/>
        <v>-1</v>
      </c>
      <c r="BE47" s="15">
        <f t="shared" si="8"/>
        <v>-1</v>
      </c>
      <c r="BF47" s="15">
        <f t="shared" si="9"/>
        <v>1</v>
      </c>
      <c r="BG47" s="15" t="str">
        <f t="shared" si="10"/>
        <v>-1-11</v>
      </c>
      <c r="BH47" s="15" t="str">
        <f t="shared" si="11"/>
        <v>SD</v>
      </c>
      <c r="BI47" s="15" t="str">
        <f t="shared" si="12"/>
        <v>SD</v>
      </c>
      <c r="BJ47" s="15" t="b">
        <f t="shared" si="13"/>
        <v>0</v>
      </c>
      <c r="BK47" s="15" t="str">
        <f t="shared" si="14"/>
        <v>SIGDIFERENTES</v>
      </c>
      <c r="BL47" s="22" t="str">
        <f t="shared" si="15"/>
        <v>CONFORME</v>
      </c>
    </row>
    <row r="48" spans="1:64" ht="14.4" x14ac:dyDescent="0.3">
      <c r="A48" s="91">
        <v>40</v>
      </c>
      <c r="B48" s="28">
        <f t="shared" ref="B48:E48" si="252">B47</f>
        <v>45920</v>
      </c>
      <c r="C48" s="28">
        <f t="shared" si="252"/>
        <v>45920</v>
      </c>
      <c r="D48" s="12">
        <f t="shared" si="252"/>
        <v>3</v>
      </c>
      <c r="E48" s="10">
        <f t="shared" si="252"/>
        <v>8</v>
      </c>
      <c r="F48" s="13"/>
      <c r="G48" s="157" t="s">
        <v>92</v>
      </c>
      <c r="H48" s="70">
        <f t="shared" ref="H48:L48" si="253">H47</f>
        <v>25.6</v>
      </c>
      <c r="I48" s="36">
        <f t="shared" si="253"/>
        <v>0</v>
      </c>
      <c r="J48" s="35">
        <f t="shared" si="253"/>
        <v>20.9</v>
      </c>
      <c r="K48" s="122">
        <f t="shared" si="253"/>
        <v>8.4730000000000008</v>
      </c>
      <c r="L48" s="122">
        <f t="shared" si="253"/>
        <v>0.52100000000000002</v>
      </c>
      <c r="M48" s="41">
        <v>109.99</v>
      </c>
      <c r="N48" s="41">
        <v>209.84</v>
      </c>
      <c r="O48" s="32">
        <f t="shared" ref="O48:P48" si="254">O47</f>
        <v>100.48</v>
      </c>
      <c r="P48" s="168" t="str">
        <f t="shared" si="254"/>
        <v>2,29,610</v>
      </c>
      <c r="Q48" s="11" t="str">
        <f t="shared" si="47"/>
        <v>2</v>
      </c>
      <c r="R48" s="11" t="str">
        <f t="shared" si="48"/>
        <v>29,610</v>
      </c>
      <c r="S48" s="11">
        <f t="shared" si="49"/>
        <v>4.1558333333333336E-2</v>
      </c>
      <c r="T48" s="14">
        <f t="shared" si="50"/>
        <v>2417.8062963705634</v>
      </c>
      <c r="U48" s="37">
        <f t="shared" si="51"/>
        <v>-0.62699044585986807</v>
      </c>
      <c r="V48" s="38">
        <f t="shared" ref="V48:W48" si="255">V47</f>
        <v>21.3</v>
      </c>
      <c r="W48" s="124">
        <f t="shared" si="255"/>
        <v>1.0960000000000001</v>
      </c>
      <c r="X48" s="124">
        <f t="shared" si="20"/>
        <v>1.0880000000000001</v>
      </c>
      <c r="Y48" s="41">
        <v>215.24</v>
      </c>
      <c r="Z48" s="41">
        <v>225.22</v>
      </c>
      <c r="AA48" s="90">
        <f t="shared" ref="AA48:AB48" si="256">AA47</f>
        <v>10.01</v>
      </c>
      <c r="AB48" s="73" t="str">
        <f t="shared" si="256"/>
        <v>22,44,380</v>
      </c>
      <c r="AC48" s="11" t="str">
        <f t="shared" si="54"/>
        <v>22</v>
      </c>
      <c r="AD48" s="11" t="str">
        <f t="shared" si="55"/>
        <v>44,380</v>
      </c>
      <c r="AE48" s="11">
        <f t="shared" si="56"/>
        <v>0.37899444444444447</v>
      </c>
      <c r="AF48" s="14">
        <f t="shared" si="57"/>
        <v>26.411996657822598</v>
      </c>
      <c r="AG48" s="39">
        <f t="shared" si="58"/>
        <v>-0.2997002997003998</v>
      </c>
      <c r="AH48" s="38">
        <f t="shared" ref="AH48:AI48" si="257">AH47</f>
        <v>21.5</v>
      </c>
      <c r="AI48" s="124">
        <f t="shared" si="257"/>
        <v>1.097</v>
      </c>
      <c r="AJ48" s="124">
        <f t="shared" si="24"/>
        <v>1.089</v>
      </c>
      <c r="AK48" s="41">
        <f t="shared" si="59"/>
        <v>225.22</v>
      </c>
      <c r="AL48" s="41">
        <v>230.28</v>
      </c>
      <c r="AM48" s="34">
        <f t="shared" ref="AM48:AN48" si="258">AM47</f>
        <v>5.01</v>
      </c>
      <c r="AN48" s="33" t="str">
        <f t="shared" si="258"/>
        <v>18,16,100</v>
      </c>
      <c r="AO48" s="11" t="str">
        <f t="shared" si="61"/>
        <v>18</v>
      </c>
      <c r="AP48" s="11" t="str">
        <f t="shared" si="62"/>
        <v>16,100</v>
      </c>
      <c r="AQ48" s="11">
        <f t="shared" si="63"/>
        <v>0.3044722222222222</v>
      </c>
      <c r="AR48" s="14">
        <f t="shared" si="64"/>
        <v>16.454703038043974</v>
      </c>
      <c r="AS48" s="39">
        <f t="shared" si="65"/>
        <v>0.99800399201601764</v>
      </c>
      <c r="AT48" s="40" t="str">
        <f t="shared" si="66"/>
        <v>CONFORME</v>
      </c>
      <c r="AU48" s="8" t="b">
        <f t="shared" si="28"/>
        <v>1</v>
      </c>
      <c r="AV48" s="8" t="b">
        <f t="shared" si="29"/>
        <v>1</v>
      </c>
      <c r="AW48" s="8" t="b">
        <f t="shared" si="30"/>
        <v>1</v>
      </c>
      <c r="AX48" s="8" t="str">
        <f t="shared" si="31"/>
        <v>Qcorrecto</v>
      </c>
      <c r="AY48" s="22" t="str">
        <f t="shared" si="5"/>
        <v>aceptable</v>
      </c>
      <c r="AZ48" s="22" t="str">
        <f t="shared" si="6"/>
        <v>aceptable</v>
      </c>
      <c r="BA48" s="22" t="str">
        <f t="shared" si="32"/>
        <v>aceptable</v>
      </c>
      <c r="BB48" s="25" t="str">
        <f t="shared" si="33"/>
        <v>CONFORME</v>
      </c>
      <c r="BC48" s="5" t="str">
        <f t="shared" si="34"/>
        <v>CONFORME</v>
      </c>
      <c r="BD48" s="15">
        <f t="shared" si="7"/>
        <v>-1</v>
      </c>
      <c r="BE48" s="15">
        <f t="shared" si="8"/>
        <v>-1</v>
      </c>
      <c r="BF48" s="15">
        <f t="shared" si="9"/>
        <v>1</v>
      </c>
      <c r="BG48" s="15" t="str">
        <f t="shared" si="10"/>
        <v>-1-11</v>
      </c>
      <c r="BH48" s="15" t="str">
        <f t="shared" si="11"/>
        <v>SD</v>
      </c>
      <c r="BI48" s="15" t="str">
        <f t="shared" si="12"/>
        <v>SD</v>
      </c>
      <c r="BJ48" s="15" t="b">
        <f t="shared" si="13"/>
        <v>0</v>
      </c>
      <c r="BK48" s="15" t="str">
        <f t="shared" si="14"/>
        <v>SIGDIFERENTES</v>
      </c>
      <c r="BL48" s="22" t="str">
        <f t="shared" si="15"/>
        <v>CONFORME</v>
      </c>
    </row>
    <row r="49" spans="1:64" ht="14.4" x14ac:dyDescent="0.3">
      <c r="A49" s="91">
        <v>41</v>
      </c>
      <c r="B49" s="28">
        <f t="shared" ref="B49:E49" si="259">B48</f>
        <v>45920</v>
      </c>
      <c r="C49" s="28">
        <f t="shared" si="259"/>
        <v>45920</v>
      </c>
      <c r="D49" s="12">
        <f t="shared" si="259"/>
        <v>3</v>
      </c>
      <c r="E49" s="10">
        <f t="shared" si="259"/>
        <v>8</v>
      </c>
      <c r="F49" s="13"/>
      <c r="G49" s="157" t="s">
        <v>93</v>
      </c>
      <c r="H49" s="70">
        <f t="shared" ref="H49:L49" si="260">H48</f>
        <v>25.6</v>
      </c>
      <c r="I49" s="36">
        <f t="shared" si="260"/>
        <v>0</v>
      </c>
      <c r="J49" s="35">
        <f t="shared" si="260"/>
        <v>20.9</v>
      </c>
      <c r="K49" s="122">
        <f t="shared" si="260"/>
        <v>8.4730000000000008</v>
      </c>
      <c r="L49" s="122">
        <f t="shared" si="260"/>
        <v>0.52100000000000002</v>
      </c>
      <c r="M49" s="41">
        <v>110.91</v>
      </c>
      <c r="N49" s="41">
        <v>210.69</v>
      </c>
      <c r="O49" s="32">
        <f t="shared" ref="O49:P49" si="261">O48</f>
        <v>100.48</v>
      </c>
      <c r="P49" s="168" t="str">
        <f t="shared" si="261"/>
        <v>2,29,610</v>
      </c>
      <c r="Q49" s="11" t="str">
        <f t="shared" si="47"/>
        <v>2</v>
      </c>
      <c r="R49" s="11" t="str">
        <f t="shared" si="48"/>
        <v>29,610</v>
      </c>
      <c r="S49" s="11">
        <f t="shared" si="49"/>
        <v>4.1558333333333336E-2</v>
      </c>
      <c r="T49" s="14">
        <f t="shared" si="50"/>
        <v>2417.8062963705634</v>
      </c>
      <c r="U49" s="37">
        <f t="shared" si="51"/>
        <v>-0.69665605095541683</v>
      </c>
      <c r="V49" s="38">
        <f t="shared" ref="V49:W49" si="262">V48</f>
        <v>21.3</v>
      </c>
      <c r="W49" s="124">
        <f t="shared" si="262"/>
        <v>1.0960000000000001</v>
      </c>
      <c r="X49" s="124">
        <f t="shared" si="20"/>
        <v>1.0880000000000001</v>
      </c>
      <c r="Y49" s="41">
        <v>216.05</v>
      </c>
      <c r="Z49" s="41">
        <v>225.95</v>
      </c>
      <c r="AA49" s="90">
        <f t="shared" ref="AA49:AB49" si="263">AA48</f>
        <v>10.01</v>
      </c>
      <c r="AB49" s="73" t="str">
        <f t="shared" si="263"/>
        <v>22,44,380</v>
      </c>
      <c r="AC49" s="11" t="str">
        <f t="shared" si="54"/>
        <v>22</v>
      </c>
      <c r="AD49" s="11" t="str">
        <f t="shared" si="55"/>
        <v>44,380</v>
      </c>
      <c r="AE49" s="11">
        <f t="shared" si="56"/>
        <v>0.37899444444444447</v>
      </c>
      <c r="AF49" s="14">
        <f t="shared" si="57"/>
        <v>26.411996657822598</v>
      </c>
      <c r="AG49" s="39">
        <f t="shared" si="58"/>
        <v>-1.0989010989013239</v>
      </c>
      <c r="AH49" s="38">
        <f t="shared" ref="AH49:AI49" si="264">AH48</f>
        <v>21.5</v>
      </c>
      <c r="AI49" s="124">
        <f t="shared" si="264"/>
        <v>1.097</v>
      </c>
      <c r="AJ49" s="124">
        <f t="shared" si="24"/>
        <v>1.089</v>
      </c>
      <c r="AK49" s="41">
        <f t="shared" si="59"/>
        <v>225.95</v>
      </c>
      <c r="AL49" s="41">
        <v>230.9</v>
      </c>
      <c r="AM49" s="34">
        <f t="shared" ref="AM49:AN49" si="265">AM48</f>
        <v>5.01</v>
      </c>
      <c r="AN49" s="33" t="str">
        <f t="shared" si="265"/>
        <v>18,16,100</v>
      </c>
      <c r="AO49" s="11" t="str">
        <f t="shared" si="61"/>
        <v>18</v>
      </c>
      <c r="AP49" s="11" t="str">
        <f t="shared" si="62"/>
        <v>16,100</v>
      </c>
      <c r="AQ49" s="11">
        <f t="shared" si="63"/>
        <v>0.3044722222222222</v>
      </c>
      <c r="AR49" s="14">
        <f t="shared" si="64"/>
        <v>16.454703038043974</v>
      </c>
      <c r="AS49" s="39">
        <f t="shared" si="65"/>
        <v>-1.197604790418817</v>
      </c>
      <c r="AT49" s="40" t="str">
        <f t="shared" si="66"/>
        <v>CONFORME</v>
      </c>
      <c r="AU49" s="8" t="b">
        <f t="shared" si="28"/>
        <v>1</v>
      </c>
      <c r="AV49" s="8" t="b">
        <f t="shared" si="29"/>
        <v>1</v>
      </c>
      <c r="AW49" s="8" t="b">
        <f t="shared" si="30"/>
        <v>1</v>
      </c>
      <c r="AX49" s="8" t="str">
        <f t="shared" si="31"/>
        <v>Qcorrecto</v>
      </c>
      <c r="AY49" s="22" t="str">
        <f t="shared" si="5"/>
        <v>aceptable</v>
      </c>
      <c r="AZ49" s="22" t="str">
        <f t="shared" si="6"/>
        <v>aceptable</v>
      </c>
      <c r="BA49" s="22" t="str">
        <f t="shared" si="32"/>
        <v>aceptable</v>
      </c>
      <c r="BB49" s="25" t="str">
        <f t="shared" si="33"/>
        <v>CONFORME</v>
      </c>
      <c r="BC49" s="5" t="str">
        <f t="shared" si="34"/>
        <v>CONFORME</v>
      </c>
      <c r="BD49" s="15">
        <f t="shared" si="7"/>
        <v>-1</v>
      </c>
      <c r="BE49" s="15">
        <f t="shared" si="8"/>
        <v>-1</v>
      </c>
      <c r="BF49" s="15">
        <f t="shared" si="9"/>
        <v>-1</v>
      </c>
      <c r="BG49" s="15" t="str">
        <f t="shared" si="10"/>
        <v>-1-1-1</v>
      </c>
      <c r="BH49" s="15" t="str">
        <f t="shared" si="11"/>
        <v>SD</v>
      </c>
      <c r="BI49" s="15" t="str">
        <f t="shared" si="12"/>
        <v>SI</v>
      </c>
      <c r="BJ49" s="15" t="b">
        <f t="shared" si="13"/>
        <v>1</v>
      </c>
      <c r="BK49" s="15" t="str">
        <f t="shared" si="14"/>
        <v>SIGIGUALES</v>
      </c>
      <c r="BL49" s="22" t="str">
        <f t="shared" si="15"/>
        <v>CONFORME</v>
      </c>
    </row>
    <row r="50" spans="1:64" ht="14.4" x14ac:dyDescent="0.3">
      <c r="A50" s="91">
        <v>42</v>
      </c>
      <c r="B50" s="28">
        <f t="shared" ref="B50:E50" si="266">B49</f>
        <v>45920</v>
      </c>
      <c r="C50" s="28">
        <f t="shared" si="266"/>
        <v>45920</v>
      </c>
      <c r="D50" s="12">
        <f t="shared" si="266"/>
        <v>3</v>
      </c>
      <c r="E50" s="10">
        <f t="shared" si="266"/>
        <v>8</v>
      </c>
      <c r="F50" s="13"/>
      <c r="G50" s="157" t="s">
        <v>94</v>
      </c>
      <c r="H50" s="70">
        <f t="shared" ref="H50:L50" si="267">H49</f>
        <v>25.6</v>
      </c>
      <c r="I50" s="36">
        <f t="shared" si="267"/>
        <v>0</v>
      </c>
      <c r="J50" s="35">
        <f t="shared" si="267"/>
        <v>20.9</v>
      </c>
      <c r="K50" s="122">
        <f t="shared" si="267"/>
        <v>8.4730000000000008</v>
      </c>
      <c r="L50" s="122">
        <f t="shared" si="267"/>
        <v>0.52100000000000002</v>
      </c>
      <c r="M50" s="41">
        <v>111.19</v>
      </c>
      <c r="N50" s="41">
        <v>211.29</v>
      </c>
      <c r="O50" s="32">
        <f t="shared" ref="O50:P50" si="268">O49</f>
        <v>100.48</v>
      </c>
      <c r="P50" s="168" t="str">
        <f t="shared" si="268"/>
        <v>2,29,610</v>
      </c>
      <c r="Q50" s="11" t="str">
        <f t="shared" si="47"/>
        <v>2</v>
      </c>
      <c r="R50" s="11" t="str">
        <f t="shared" si="48"/>
        <v>29,610</v>
      </c>
      <c r="S50" s="11">
        <f t="shared" si="49"/>
        <v>4.1558333333333336E-2</v>
      </c>
      <c r="T50" s="14">
        <f t="shared" si="50"/>
        <v>2417.8062963705634</v>
      </c>
      <c r="U50" s="37">
        <f t="shared" si="51"/>
        <v>-0.37818471337580578</v>
      </c>
      <c r="V50" s="38">
        <f t="shared" ref="V50:W50" si="269">V49</f>
        <v>21.3</v>
      </c>
      <c r="W50" s="124">
        <f t="shared" si="269"/>
        <v>1.0960000000000001</v>
      </c>
      <c r="X50" s="124">
        <f t="shared" si="20"/>
        <v>1.0880000000000001</v>
      </c>
      <c r="Y50" s="41">
        <v>216.67</v>
      </c>
      <c r="Z50" s="41">
        <v>226.6</v>
      </c>
      <c r="AA50" s="90">
        <f t="shared" ref="AA50:AB50" si="270">AA49</f>
        <v>10.01</v>
      </c>
      <c r="AB50" s="73" t="str">
        <f t="shared" si="270"/>
        <v>22,44,380</v>
      </c>
      <c r="AC50" s="11" t="str">
        <f t="shared" si="54"/>
        <v>22</v>
      </c>
      <c r="AD50" s="11" t="str">
        <f t="shared" si="55"/>
        <v>44,380</v>
      </c>
      <c r="AE50" s="11">
        <f t="shared" si="56"/>
        <v>0.37899444444444447</v>
      </c>
      <c r="AF50" s="14">
        <f t="shared" si="57"/>
        <v>26.411996657822598</v>
      </c>
      <c r="AG50" s="39">
        <f t="shared" si="58"/>
        <v>-0.79920079920072895</v>
      </c>
      <c r="AH50" s="38">
        <f t="shared" ref="AH50:AI50" si="271">AH49</f>
        <v>21.5</v>
      </c>
      <c r="AI50" s="124">
        <f t="shared" si="271"/>
        <v>1.097</v>
      </c>
      <c r="AJ50" s="124">
        <f t="shared" si="24"/>
        <v>1.089</v>
      </c>
      <c r="AK50" s="41">
        <f t="shared" si="59"/>
        <v>226.6</v>
      </c>
      <c r="AL50" s="41">
        <v>231.6</v>
      </c>
      <c r="AM50" s="34">
        <f t="shared" ref="AM50:AN50" si="272">AM49</f>
        <v>5.01</v>
      </c>
      <c r="AN50" s="33" t="str">
        <f t="shared" si="272"/>
        <v>18,16,100</v>
      </c>
      <c r="AO50" s="11" t="str">
        <f t="shared" si="61"/>
        <v>18</v>
      </c>
      <c r="AP50" s="11" t="str">
        <f t="shared" si="62"/>
        <v>16,100</v>
      </c>
      <c r="AQ50" s="11">
        <f t="shared" si="63"/>
        <v>0.3044722222222222</v>
      </c>
      <c r="AR50" s="14">
        <f t="shared" si="64"/>
        <v>16.454703038043974</v>
      </c>
      <c r="AS50" s="39">
        <f t="shared" si="65"/>
        <v>-0.19960079840318934</v>
      </c>
      <c r="AT50" s="40" t="str">
        <f t="shared" si="66"/>
        <v>CONFORME</v>
      </c>
      <c r="AU50" s="8" t="b">
        <f t="shared" si="28"/>
        <v>1</v>
      </c>
      <c r="AV50" s="8" t="b">
        <f t="shared" si="29"/>
        <v>1</v>
      </c>
      <c r="AW50" s="8" t="b">
        <f t="shared" si="30"/>
        <v>1</v>
      </c>
      <c r="AX50" s="8" t="str">
        <f t="shared" si="31"/>
        <v>Qcorrecto</v>
      </c>
      <c r="AY50" s="22" t="str">
        <f t="shared" si="5"/>
        <v>aceptable</v>
      </c>
      <c r="AZ50" s="22" t="str">
        <f t="shared" si="6"/>
        <v>aceptable</v>
      </c>
      <c r="BA50" s="22" t="str">
        <f t="shared" si="32"/>
        <v>aceptable</v>
      </c>
      <c r="BB50" s="25" t="str">
        <f t="shared" si="33"/>
        <v>CONFORME</v>
      </c>
      <c r="BC50" s="5" t="str">
        <f t="shared" si="34"/>
        <v>CONFORME</v>
      </c>
      <c r="BD50" s="15">
        <f t="shared" si="7"/>
        <v>-1</v>
      </c>
      <c r="BE50" s="15">
        <f t="shared" si="8"/>
        <v>-1</v>
      </c>
      <c r="BF50" s="15">
        <f t="shared" si="9"/>
        <v>-1</v>
      </c>
      <c r="BG50" s="15" t="str">
        <f t="shared" si="10"/>
        <v>-1-1-1</v>
      </c>
      <c r="BH50" s="15" t="str">
        <f t="shared" si="11"/>
        <v>SD</v>
      </c>
      <c r="BI50" s="15" t="str">
        <f t="shared" si="12"/>
        <v>SI</v>
      </c>
      <c r="BJ50" s="15" t="b">
        <f t="shared" si="13"/>
        <v>1</v>
      </c>
      <c r="BK50" s="15" t="str">
        <f t="shared" si="14"/>
        <v>SIGIGUALES</v>
      </c>
      <c r="BL50" s="22" t="str">
        <f t="shared" si="15"/>
        <v>CONFORME</v>
      </c>
    </row>
    <row r="51" spans="1:64" ht="14.4" x14ac:dyDescent="0.3">
      <c r="A51" s="182">
        <v>43</v>
      </c>
      <c r="B51" s="28">
        <f t="shared" ref="B51:E51" si="273">B50</f>
        <v>45920</v>
      </c>
      <c r="C51" s="28">
        <f t="shared" si="273"/>
        <v>45920</v>
      </c>
      <c r="D51" s="12">
        <f t="shared" si="273"/>
        <v>3</v>
      </c>
      <c r="E51" s="10">
        <f t="shared" si="273"/>
        <v>8</v>
      </c>
      <c r="F51" s="13"/>
      <c r="G51" s="226" t="s">
        <v>95</v>
      </c>
      <c r="H51" s="70">
        <f t="shared" ref="H51:L51" si="274">H50</f>
        <v>25.6</v>
      </c>
      <c r="I51" s="36">
        <f t="shared" si="274"/>
        <v>0</v>
      </c>
      <c r="J51" s="35">
        <f t="shared" si="274"/>
        <v>20.9</v>
      </c>
      <c r="K51" s="122">
        <f t="shared" si="274"/>
        <v>8.4730000000000008</v>
      </c>
      <c r="L51" s="122">
        <f t="shared" si="274"/>
        <v>0.52100000000000002</v>
      </c>
      <c r="M51" s="41">
        <v>150.38</v>
      </c>
      <c r="N51" s="41">
        <v>250.2</v>
      </c>
      <c r="O51" s="32">
        <f t="shared" ref="O51:P51" si="275">O50</f>
        <v>100.48</v>
      </c>
      <c r="P51" s="168" t="str">
        <f t="shared" si="275"/>
        <v>2,29,610</v>
      </c>
      <c r="Q51" s="11" t="str">
        <f t="shared" si="47"/>
        <v>2</v>
      </c>
      <c r="R51" s="11" t="str">
        <f t="shared" si="48"/>
        <v>29,610</v>
      </c>
      <c r="S51" s="11">
        <f t="shared" si="49"/>
        <v>4.1558333333333336E-2</v>
      </c>
      <c r="T51" s="14">
        <f t="shared" si="50"/>
        <v>2417.8062963705634</v>
      </c>
      <c r="U51" s="37">
        <f t="shared" si="51"/>
        <v>-0.65684713375797243</v>
      </c>
      <c r="V51" s="38">
        <f t="shared" ref="V51:W51" si="276">V50</f>
        <v>21.3</v>
      </c>
      <c r="W51" s="124">
        <f t="shared" si="276"/>
        <v>1.0960000000000001</v>
      </c>
      <c r="X51" s="124">
        <f t="shared" si="20"/>
        <v>1.0880000000000001</v>
      </c>
      <c r="Y51" s="41">
        <v>255.6</v>
      </c>
      <c r="Z51" s="41">
        <v>265.54000000000002</v>
      </c>
      <c r="AA51" s="90">
        <f t="shared" ref="AA51:AB51" si="277">AA50</f>
        <v>10.01</v>
      </c>
      <c r="AB51" s="73" t="str">
        <f t="shared" si="277"/>
        <v>22,44,380</v>
      </c>
      <c r="AC51" s="11" t="str">
        <f t="shared" si="54"/>
        <v>22</v>
      </c>
      <c r="AD51" s="11" t="str">
        <f t="shared" si="55"/>
        <v>44,380</v>
      </c>
      <c r="AE51" s="11">
        <f t="shared" si="56"/>
        <v>0.37899444444444447</v>
      </c>
      <c r="AF51" s="14">
        <f t="shared" si="57"/>
        <v>26.411996657822598</v>
      </c>
      <c r="AG51" s="39">
        <f t="shared" si="58"/>
        <v>-0.69930069930043592</v>
      </c>
      <c r="AH51" s="38">
        <f t="shared" ref="AH51:AI51" si="278">AH50</f>
        <v>21.5</v>
      </c>
      <c r="AI51" s="124">
        <f t="shared" si="278"/>
        <v>1.097</v>
      </c>
      <c r="AJ51" s="124">
        <f t="shared" si="24"/>
        <v>1.089</v>
      </c>
      <c r="AK51" s="41">
        <f t="shared" si="59"/>
        <v>265.54000000000002</v>
      </c>
      <c r="AL51" s="41">
        <v>270.54000000000002</v>
      </c>
      <c r="AM51" s="34">
        <f t="shared" ref="AM51:AN51" si="279">AM50</f>
        <v>5.01</v>
      </c>
      <c r="AN51" s="33" t="str">
        <f t="shared" si="279"/>
        <v>18,16,100</v>
      </c>
      <c r="AO51" s="11" t="str">
        <f t="shared" si="61"/>
        <v>18</v>
      </c>
      <c r="AP51" s="11" t="str">
        <f t="shared" si="62"/>
        <v>16,100</v>
      </c>
      <c r="AQ51" s="11">
        <f t="shared" si="63"/>
        <v>0.3044722222222222</v>
      </c>
      <c r="AR51" s="14">
        <f t="shared" si="64"/>
        <v>16.454703038043974</v>
      </c>
      <c r="AS51" s="39">
        <f t="shared" si="65"/>
        <v>-0.19960079840318934</v>
      </c>
      <c r="AT51" s="40" t="str">
        <f t="shared" si="66"/>
        <v>CONFORME</v>
      </c>
      <c r="AU51" s="8" t="b">
        <f t="shared" si="28"/>
        <v>1</v>
      </c>
      <c r="AV51" s="8" t="b">
        <f t="shared" si="29"/>
        <v>1</v>
      </c>
      <c r="AW51" s="8" t="b">
        <f t="shared" si="30"/>
        <v>1</v>
      </c>
      <c r="AX51" s="8" t="str">
        <f t="shared" si="31"/>
        <v>Qcorrecto</v>
      </c>
      <c r="AY51" s="22" t="str">
        <f t="shared" si="5"/>
        <v>aceptable</v>
      </c>
      <c r="AZ51" s="22" t="str">
        <f t="shared" si="6"/>
        <v>aceptable</v>
      </c>
      <c r="BA51" s="22" t="str">
        <f t="shared" si="32"/>
        <v>aceptable</v>
      </c>
      <c r="BB51" s="25" t="str">
        <f t="shared" si="33"/>
        <v>CONFORME</v>
      </c>
      <c r="BC51" s="5" t="str">
        <f t="shared" si="34"/>
        <v>CONFORME</v>
      </c>
      <c r="BD51" s="15">
        <f t="shared" si="7"/>
        <v>-1</v>
      </c>
      <c r="BE51" s="15">
        <f t="shared" si="8"/>
        <v>-1</v>
      </c>
      <c r="BF51" s="15">
        <f t="shared" si="9"/>
        <v>-1</v>
      </c>
      <c r="BG51" s="15" t="str">
        <f t="shared" si="10"/>
        <v>-1-1-1</v>
      </c>
      <c r="BH51" s="15" t="str">
        <f t="shared" si="11"/>
        <v>SD</v>
      </c>
      <c r="BI51" s="15" t="str">
        <f t="shared" si="12"/>
        <v>SI</v>
      </c>
      <c r="BJ51" s="15" t="b">
        <f t="shared" si="13"/>
        <v>1</v>
      </c>
      <c r="BK51" s="15" t="str">
        <f t="shared" si="14"/>
        <v>SIGIGUALES</v>
      </c>
      <c r="BL51" s="22" t="str">
        <f t="shared" si="15"/>
        <v>CONFORME</v>
      </c>
    </row>
    <row r="52" spans="1:64" ht="14.4" x14ac:dyDescent="0.3">
      <c r="A52" s="91">
        <v>44</v>
      </c>
      <c r="B52" s="28">
        <f t="shared" ref="B52:E52" si="280">B51</f>
        <v>45920</v>
      </c>
      <c r="C52" s="28">
        <f t="shared" si="280"/>
        <v>45920</v>
      </c>
      <c r="D52" s="12">
        <f t="shared" si="280"/>
        <v>3</v>
      </c>
      <c r="E52" s="10">
        <f t="shared" si="280"/>
        <v>8</v>
      </c>
      <c r="F52" s="13"/>
      <c r="G52" s="157" t="s">
        <v>96</v>
      </c>
      <c r="H52" s="70">
        <f t="shared" ref="H52:L52" si="281">H51</f>
        <v>25.6</v>
      </c>
      <c r="I52" s="36">
        <f t="shared" si="281"/>
        <v>0</v>
      </c>
      <c r="J52" s="35">
        <f t="shared" si="281"/>
        <v>20.9</v>
      </c>
      <c r="K52" s="122">
        <f t="shared" si="281"/>
        <v>8.4730000000000008</v>
      </c>
      <c r="L52" s="122">
        <f t="shared" si="281"/>
        <v>0.52100000000000002</v>
      </c>
      <c r="M52" s="41">
        <v>151.56</v>
      </c>
      <c r="N52" s="41">
        <v>251.86</v>
      </c>
      <c r="O52" s="32">
        <f t="shared" ref="O52:P52" si="282">O51</f>
        <v>100.48</v>
      </c>
      <c r="P52" s="168" t="str">
        <f t="shared" si="282"/>
        <v>2,29,610</v>
      </c>
      <c r="Q52" s="11" t="str">
        <f t="shared" si="47"/>
        <v>2</v>
      </c>
      <c r="R52" s="11" t="str">
        <f t="shared" si="48"/>
        <v>29,610</v>
      </c>
      <c r="S52" s="11">
        <f t="shared" si="49"/>
        <v>4.1558333333333336E-2</v>
      </c>
      <c r="T52" s="14">
        <f t="shared" si="50"/>
        <v>2417.8062963705634</v>
      </c>
      <c r="U52" s="37">
        <f t="shared" si="51"/>
        <v>-0.17914012738852766</v>
      </c>
      <c r="V52" s="38">
        <f t="shared" ref="V52:W52" si="283">V51</f>
        <v>21.3</v>
      </c>
      <c r="W52" s="124">
        <f t="shared" si="283"/>
        <v>1.0960000000000001</v>
      </c>
      <c r="X52" s="124">
        <f t="shared" si="20"/>
        <v>1.0880000000000001</v>
      </c>
      <c r="Y52" s="41">
        <v>257.29000000000002</v>
      </c>
      <c r="Z52" s="41">
        <v>267.2</v>
      </c>
      <c r="AA52" s="90">
        <f t="shared" ref="AA52:AB52" si="284">AA51</f>
        <v>10.01</v>
      </c>
      <c r="AB52" s="73" t="str">
        <f t="shared" si="284"/>
        <v>22,44,380</v>
      </c>
      <c r="AC52" s="11" t="str">
        <f t="shared" si="54"/>
        <v>22</v>
      </c>
      <c r="AD52" s="11" t="str">
        <f t="shared" si="55"/>
        <v>44,380</v>
      </c>
      <c r="AE52" s="11">
        <f t="shared" si="56"/>
        <v>0.37899444444444447</v>
      </c>
      <c r="AF52" s="14">
        <f t="shared" si="57"/>
        <v>26.411996657822598</v>
      </c>
      <c r="AG52" s="39">
        <f t="shared" si="58"/>
        <v>-0.99900099900131489</v>
      </c>
      <c r="AH52" s="38">
        <f t="shared" ref="AH52:AI52" si="285">AH51</f>
        <v>21.5</v>
      </c>
      <c r="AI52" s="124">
        <f t="shared" si="285"/>
        <v>1.097</v>
      </c>
      <c r="AJ52" s="124">
        <f t="shared" si="24"/>
        <v>1.089</v>
      </c>
      <c r="AK52" s="41">
        <f t="shared" si="59"/>
        <v>267.2</v>
      </c>
      <c r="AL52" s="41">
        <v>272.17</v>
      </c>
      <c r="AM52" s="34">
        <f t="shared" ref="AM52:AN52" si="286">AM51</f>
        <v>5.01</v>
      </c>
      <c r="AN52" s="33" t="str">
        <f t="shared" si="286"/>
        <v>18,16,100</v>
      </c>
      <c r="AO52" s="11" t="str">
        <f t="shared" si="61"/>
        <v>18</v>
      </c>
      <c r="AP52" s="11" t="str">
        <f t="shared" si="62"/>
        <v>16,100</v>
      </c>
      <c r="AQ52" s="11">
        <f t="shared" si="63"/>
        <v>0.3044722222222222</v>
      </c>
      <c r="AR52" s="14">
        <f t="shared" si="64"/>
        <v>16.454703038043974</v>
      </c>
      <c r="AS52" s="39">
        <f t="shared" si="65"/>
        <v>-0.79840319361222567</v>
      </c>
      <c r="AT52" s="40" t="str">
        <f t="shared" si="66"/>
        <v>CONFORME</v>
      </c>
      <c r="AU52" s="8" t="b">
        <f t="shared" si="28"/>
        <v>1</v>
      </c>
      <c r="AV52" s="8" t="b">
        <f t="shared" si="29"/>
        <v>1</v>
      </c>
      <c r="AW52" s="8" t="b">
        <f t="shared" si="30"/>
        <v>1</v>
      </c>
      <c r="AX52" s="8" t="str">
        <f t="shared" si="31"/>
        <v>Qcorrecto</v>
      </c>
      <c r="AY52" s="22" t="str">
        <f t="shared" si="5"/>
        <v>aceptable</v>
      </c>
      <c r="AZ52" s="22" t="str">
        <f t="shared" si="6"/>
        <v>aceptable</v>
      </c>
      <c r="BA52" s="22" t="str">
        <f t="shared" si="32"/>
        <v>aceptable</v>
      </c>
      <c r="BB52" s="25" t="str">
        <f t="shared" si="33"/>
        <v>CONFORME</v>
      </c>
      <c r="BC52" s="5" t="str">
        <f t="shared" si="34"/>
        <v>CONFORME</v>
      </c>
      <c r="BD52" s="15">
        <f t="shared" si="7"/>
        <v>-1</v>
      </c>
      <c r="BE52" s="15">
        <f t="shared" si="8"/>
        <v>-1</v>
      </c>
      <c r="BF52" s="15">
        <f t="shared" si="9"/>
        <v>-1</v>
      </c>
      <c r="BG52" s="15" t="str">
        <f t="shared" si="10"/>
        <v>-1-1-1</v>
      </c>
      <c r="BH52" s="15" t="str">
        <f t="shared" si="11"/>
        <v>SD</v>
      </c>
      <c r="BI52" s="15" t="str">
        <f t="shared" si="12"/>
        <v>SI</v>
      </c>
      <c r="BJ52" s="15" t="b">
        <f t="shared" si="13"/>
        <v>1</v>
      </c>
      <c r="BK52" s="15" t="str">
        <f t="shared" si="14"/>
        <v>SIGIGUALES</v>
      </c>
      <c r="BL52" s="22" t="str">
        <f t="shared" si="15"/>
        <v>CONFORME</v>
      </c>
    </row>
    <row r="53" spans="1:64" ht="14.4" x14ac:dyDescent="0.3">
      <c r="A53" s="159">
        <v>45</v>
      </c>
      <c r="B53" s="160">
        <f t="shared" ref="B53:E53" si="287">B52</f>
        <v>45920</v>
      </c>
      <c r="C53" s="160">
        <f t="shared" si="287"/>
        <v>45920</v>
      </c>
      <c r="D53" s="161">
        <f t="shared" si="287"/>
        <v>3</v>
      </c>
      <c r="E53" s="10">
        <f t="shared" si="287"/>
        <v>8</v>
      </c>
      <c r="F53" s="45"/>
      <c r="G53" s="157" t="s">
        <v>97</v>
      </c>
      <c r="H53" s="162">
        <f t="shared" ref="H53:L53" si="288">H52</f>
        <v>25.6</v>
      </c>
      <c r="I53" s="163">
        <f t="shared" si="288"/>
        <v>0</v>
      </c>
      <c r="J53" s="35">
        <f t="shared" si="288"/>
        <v>20.9</v>
      </c>
      <c r="K53" s="122">
        <f t="shared" si="288"/>
        <v>8.4730000000000008</v>
      </c>
      <c r="L53" s="122">
        <f t="shared" si="288"/>
        <v>0.52100000000000002</v>
      </c>
      <c r="M53" s="166">
        <v>112.35</v>
      </c>
      <c r="N53" s="166">
        <v>212.11</v>
      </c>
      <c r="O53" s="32">
        <f t="shared" ref="O53:P53" si="289">O52</f>
        <v>100.48</v>
      </c>
      <c r="P53" s="168" t="str">
        <f t="shared" si="289"/>
        <v>2,29,610</v>
      </c>
      <c r="Q53" s="169" t="str">
        <f t="shared" si="47"/>
        <v>2</v>
      </c>
      <c r="R53" s="169" t="str">
        <f t="shared" si="48"/>
        <v>29,610</v>
      </c>
      <c r="S53" s="169">
        <f t="shared" si="49"/>
        <v>4.1558333333333336E-2</v>
      </c>
      <c r="T53" s="170">
        <f t="shared" si="50"/>
        <v>2417.8062963705634</v>
      </c>
      <c r="U53" s="171">
        <f t="shared" si="51"/>
        <v>-0.71656050955412476</v>
      </c>
      <c r="V53" s="38">
        <f t="shared" ref="V53:W53" si="290">V52</f>
        <v>21.3</v>
      </c>
      <c r="W53" s="124">
        <f t="shared" si="290"/>
        <v>1.0960000000000001</v>
      </c>
      <c r="X53" s="124">
        <f t="shared" si="20"/>
        <v>1.0880000000000001</v>
      </c>
      <c r="Y53" s="166">
        <v>217.53</v>
      </c>
      <c r="Z53" s="166">
        <v>227.54</v>
      </c>
      <c r="AA53" s="90">
        <f t="shared" ref="AA53:AB53" si="291">AA52</f>
        <v>10.01</v>
      </c>
      <c r="AB53" s="73" t="str">
        <f t="shared" si="291"/>
        <v>22,44,380</v>
      </c>
      <c r="AC53" s="169" t="str">
        <f t="shared" si="54"/>
        <v>22</v>
      </c>
      <c r="AD53" s="169" t="str">
        <f t="shared" si="55"/>
        <v>44,380</v>
      </c>
      <c r="AE53" s="169">
        <f t="shared" si="56"/>
        <v>0.37899444444444447</v>
      </c>
      <c r="AF53" s="170">
        <f t="shared" si="57"/>
        <v>26.411996657822598</v>
      </c>
      <c r="AG53" s="176">
        <f t="shared" si="58"/>
        <v>-8.872911285715537E-14</v>
      </c>
      <c r="AH53" s="38">
        <f t="shared" ref="AH53:AI53" si="292">AH52</f>
        <v>21.5</v>
      </c>
      <c r="AI53" s="124">
        <f t="shared" si="292"/>
        <v>1.097</v>
      </c>
      <c r="AJ53" s="124">
        <f t="shared" si="24"/>
        <v>1.089</v>
      </c>
      <c r="AK53" s="166">
        <f t="shared" si="59"/>
        <v>227.54</v>
      </c>
      <c r="AL53" s="166">
        <v>232.54</v>
      </c>
      <c r="AM53" s="34">
        <f t="shared" ref="AM53:AN53" si="293">AM52</f>
        <v>5.01</v>
      </c>
      <c r="AN53" s="33" t="str">
        <f t="shared" si="293"/>
        <v>18,16,100</v>
      </c>
      <c r="AO53" s="169" t="str">
        <f t="shared" si="61"/>
        <v>18</v>
      </c>
      <c r="AP53" s="169" t="str">
        <f t="shared" si="62"/>
        <v>16,100</v>
      </c>
      <c r="AQ53" s="169">
        <f t="shared" si="63"/>
        <v>0.3044722222222222</v>
      </c>
      <c r="AR53" s="170">
        <f t="shared" si="64"/>
        <v>16.454703038043974</v>
      </c>
      <c r="AS53" s="176">
        <f t="shared" si="65"/>
        <v>-0.19960079840318934</v>
      </c>
      <c r="AT53" s="178" t="str">
        <f t="shared" si="66"/>
        <v>CONFORME</v>
      </c>
      <c r="AU53" s="8" t="b">
        <f t="shared" si="28"/>
        <v>1</v>
      </c>
      <c r="AV53" s="8" t="b">
        <f t="shared" si="29"/>
        <v>1</v>
      </c>
      <c r="AW53" s="8" t="b">
        <f t="shared" si="30"/>
        <v>1</v>
      </c>
      <c r="AX53" s="8" t="str">
        <f t="shared" si="31"/>
        <v>Qcorrecto</v>
      </c>
      <c r="AY53" s="179" t="str">
        <f t="shared" si="5"/>
        <v>aceptable</v>
      </c>
      <c r="AZ53" s="179" t="str">
        <f t="shared" si="6"/>
        <v>aceptable</v>
      </c>
      <c r="BA53" s="179" t="str">
        <f t="shared" si="32"/>
        <v>aceptable</v>
      </c>
      <c r="BB53" s="180" t="str">
        <f t="shared" si="33"/>
        <v>CONFORME</v>
      </c>
      <c r="BC53" s="181" t="str">
        <f t="shared" si="34"/>
        <v>CONFORME</v>
      </c>
      <c r="BD53" s="15">
        <f t="shared" si="7"/>
        <v>-1</v>
      </c>
      <c r="BE53" s="15">
        <f t="shared" si="8"/>
        <v>-1</v>
      </c>
      <c r="BF53" s="15">
        <f t="shared" si="9"/>
        <v>-1</v>
      </c>
      <c r="BG53" s="15" t="str">
        <f t="shared" si="10"/>
        <v>-1-1-1</v>
      </c>
      <c r="BH53" s="15" t="str">
        <f t="shared" si="11"/>
        <v>SD</v>
      </c>
      <c r="BI53" s="15" t="str">
        <f t="shared" si="12"/>
        <v>SI</v>
      </c>
      <c r="BJ53" s="15" t="b">
        <f t="shared" si="13"/>
        <v>1</v>
      </c>
      <c r="BK53" s="15" t="str">
        <f t="shared" si="14"/>
        <v>SIGIGUALES</v>
      </c>
      <c r="BL53" s="179" t="str">
        <f t="shared" si="15"/>
        <v>CONFORME</v>
      </c>
    </row>
    <row r="54" spans="1:64" s="187" customFormat="1" ht="14.4" x14ac:dyDescent="0.3">
      <c r="A54" s="10">
        <v>46</v>
      </c>
      <c r="B54" s="28">
        <f t="shared" ref="B54:E54" si="294">B53</f>
        <v>45920</v>
      </c>
      <c r="C54" s="28">
        <f t="shared" si="294"/>
        <v>45920</v>
      </c>
      <c r="D54" s="12">
        <f t="shared" si="294"/>
        <v>3</v>
      </c>
      <c r="E54" s="10">
        <f t="shared" si="294"/>
        <v>8</v>
      </c>
      <c r="F54" s="13"/>
      <c r="G54" s="157" t="s">
        <v>98</v>
      </c>
      <c r="H54" s="70">
        <f t="shared" ref="H54:L54" si="295">H53</f>
        <v>25.6</v>
      </c>
      <c r="I54" s="36">
        <f t="shared" si="295"/>
        <v>0</v>
      </c>
      <c r="J54" s="35">
        <f t="shared" si="295"/>
        <v>20.9</v>
      </c>
      <c r="K54" s="122">
        <f t="shared" si="295"/>
        <v>8.4730000000000008</v>
      </c>
      <c r="L54" s="122">
        <f t="shared" si="295"/>
        <v>0.52100000000000002</v>
      </c>
      <c r="M54" s="41">
        <v>111.75</v>
      </c>
      <c r="N54" s="41">
        <v>211.69</v>
      </c>
      <c r="O54" s="32">
        <f t="shared" ref="O54:P55" si="296">O53</f>
        <v>100.48</v>
      </c>
      <c r="P54" s="168" t="str">
        <f t="shared" si="296"/>
        <v>2,29,610</v>
      </c>
      <c r="Q54" s="11" t="str">
        <f t="shared" si="47"/>
        <v>2</v>
      </c>
      <c r="R54" s="11" t="str">
        <f t="shared" si="48"/>
        <v>29,610</v>
      </c>
      <c r="S54" s="11">
        <f t="shared" si="49"/>
        <v>4.1558333333333336E-2</v>
      </c>
      <c r="T54" s="14">
        <f t="shared" si="50"/>
        <v>2417.8062963705634</v>
      </c>
      <c r="U54" s="37">
        <f t="shared" si="51"/>
        <v>-0.53742038216561128</v>
      </c>
      <c r="V54" s="38">
        <f t="shared" ref="V54:W55" si="297">V53</f>
        <v>21.3</v>
      </c>
      <c r="W54" s="124">
        <f t="shared" si="297"/>
        <v>1.0960000000000001</v>
      </c>
      <c r="X54" s="124">
        <f t="shared" si="20"/>
        <v>1.0880000000000001</v>
      </c>
      <c r="Y54" s="41">
        <v>217.13</v>
      </c>
      <c r="Z54" s="41">
        <v>227.12</v>
      </c>
      <c r="AA54" s="90">
        <f t="shared" ref="AA54:AB54" si="298">AA53</f>
        <v>10.01</v>
      </c>
      <c r="AB54" s="73" t="str">
        <f t="shared" si="298"/>
        <v>22,44,380</v>
      </c>
      <c r="AC54" s="11" t="str">
        <f t="shared" si="54"/>
        <v>22</v>
      </c>
      <c r="AD54" s="11" t="str">
        <f t="shared" si="55"/>
        <v>44,380</v>
      </c>
      <c r="AE54" s="11">
        <f t="shared" si="56"/>
        <v>0.37899444444444447</v>
      </c>
      <c r="AF54" s="14">
        <f t="shared" si="57"/>
        <v>26.411996657822598</v>
      </c>
      <c r="AG54" s="39">
        <f t="shared" si="58"/>
        <v>-0.19980019980010683</v>
      </c>
      <c r="AH54" s="38">
        <f t="shared" ref="AH54:AI54" si="299">AH53</f>
        <v>21.5</v>
      </c>
      <c r="AI54" s="124">
        <f t="shared" si="299"/>
        <v>1.097</v>
      </c>
      <c r="AJ54" s="124">
        <f t="shared" si="24"/>
        <v>1.089</v>
      </c>
      <c r="AK54" s="41">
        <f t="shared" si="59"/>
        <v>227.12</v>
      </c>
      <c r="AL54" s="41">
        <v>232.17</v>
      </c>
      <c r="AM54" s="34">
        <f t="shared" ref="AM54:AN54" si="300">AM53</f>
        <v>5.01</v>
      </c>
      <c r="AN54" s="33" t="str">
        <f t="shared" si="300"/>
        <v>18,16,100</v>
      </c>
      <c r="AO54" s="11" t="str">
        <f t="shared" si="61"/>
        <v>18</v>
      </c>
      <c r="AP54" s="11" t="str">
        <f t="shared" si="62"/>
        <v>16,100</v>
      </c>
      <c r="AQ54" s="11">
        <f t="shared" si="63"/>
        <v>0.3044722222222222</v>
      </c>
      <c r="AR54" s="14">
        <f t="shared" si="64"/>
        <v>16.454703038043974</v>
      </c>
      <c r="AS54" s="39">
        <f t="shared" si="65"/>
        <v>0.79840319361243839</v>
      </c>
      <c r="AT54" s="40" t="str">
        <f t="shared" si="66"/>
        <v>CONFORME</v>
      </c>
      <c r="AU54" s="183" t="b">
        <f t="shared" si="28"/>
        <v>1</v>
      </c>
      <c r="AV54" s="183" t="b">
        <f t="shared" si="29"/>
        <v>1</v>
      </c>
      <c r="AW54" s="183" t="b">
        <f t="shared" si="30"/>
        <v>1</v>
      </c>
      <c r="AX54" s="183" t="str">
        <f t="shared" si="31"/>
        <v>Qcorrecto</v>
      </c>
      <c r="AY54" s="22" t="str">
        <f t="shared" si="5"/>
        <v>aceptable</v>
      </c>
      <c r="AZ54" s="22" t="str">
        <f t="shared" si="6"/>
        <v>aceptable</v>
      </c>
      <c r="BA54" s="22" t="str">
        <f t="shared" si="32"/>
        <v>aceptable</v>
      </c>
      <c r="BB54" s="184" t="str">
        <f t="shared" si="33"/>
        <v>CONFORME</v>
      </c>
      <c r="BC54" s="185" t="str">
        <f t="shared" si="34"/>
        <v>CONFORME</v>
      </c>
      <c r="BD54" s="186">
        <f t="shared" si="7"/>
        <v>-1</v>
      </c>
      <c r="BE54" s="186">
        <f t="shared" si="8"/>
        <v>-1</v>
      </c>
      <c r="BF54" s="186">
        <f t="shared" si="9"/>
        <v>1</v>
      </c>
      <c r="BG54" s="186" t="str">
        <f t="shared" si="10"/>
        <v>-1-11</v>
      </c>
      <c r="BH54" s="186" t="str">
        <f t="shared" si="11"/>
        <v>SD</v>
      </c>
      <c r="BI54" s="186" t="str">
        <f t="shared" si="12"/>
        <v>SD</v>
      </c>
      <c r="BJ54" s="186" t="b">
        <f t="shared" si="13"/>
        <v>0</v>
      </c>
      <c r="BK54" s="186" t="str">
        <f t="shared" si="14"/>
        <v>SIGDIFERENTES</v>
      </c>
      <c r="BL54" s="22" t="str">
        <f t="shared" si="15"/>
        <v>CONFORME</v>
      </c>
    </row>
    <row r="55" spans="1:64" s="187" customFormat="1" ht="15" hidden="1" customHeight="1" x14ac:dyDescent="0.3">
      <c r="A55" s="10">
        <v>47</v>
      </c>
      <c r="B55" s="28">
        <v>45919</v>
      </c>
      <c r="C55" s="28">
        <v>45919</v>
      </c>
      <c r="D55" s="12">
        <v>3</v>
      </c>
      <c r="E55" s="10">
        <f t="shared" ref="E55:E118" si="301">E54</f>
        <v>8</v>
      </c>
      <c r="F55" s="13"/>
      <c r="G55" s="157"/>
      <c r="H55" s="70">
        <v>25.6</v>
      </c>
      <c r="I55" s="36">
        <v>0</v>
      </c>
      <c r="J55" s="35">
        <f t="shared" ref="J55:L55" si="302">J54</f>
        <v>20.9</v>
      </c>
      <c r="K55" s="122">
        <f t="shared" si="302"/>
        <v>8.4730000000000008</v>
      </c>
      <c r="L55" s="122">
        <f t="shared" si="302"/>
        <v>0.52100000000000002</v>
      </c>
      <c r="M55" s="41"/>
      <c r="N55" s="41"/>
      <c r="O55" s="32">
        <f t="shared" si="296"/>
        <v>100.48</v>
      </c>
      <c r="P55" s="168" t="str">
        <f t="shared" si="296"/>
        <v>2,29,610</v>
      </c>
      <c r="Q55" s="11"/>
      <c r="R55" s="11"/>
      <c r="S55" s="11"/>
      <c r="T55" s="14"/>
      <c r="U55" s="37"/>
      <c r="V55" s="38">
        <f t="shared" si="297"/>
        <v>21.3</v>
      </c>
      <c r="W55" s="124">
        <f t="shared" si="297"/>
        <v>1.0960000000000001</v>
      </c>
      <c r="X55" s="124">
        <f t="shared" si="20"/>
        <v>1.0880000000000001</v>
      </c>
      <c r="Y55" s="41"/>
      <c r="Z55" s="41"/>
      <c r="AA55" s="90"/>
      <c r="AB55" s="73"/>
      <c r="AC55" s="11"/>
      <c r="AD55" s="11"/>
      <c r="AE55" s="11"/>
      <c r="AF55" s="14"/>
      <c r="AG55" s="39"/>
      <c r="AH55" s="38"/>
      <c r="AI55" s="124"/>
      <c r="AJ55" s="124"/>
      <c r="AK55" s="41"/>
      <c r="AL55" s="41"/>
      <c r="AM55" s="34"/>
      <c r="AN55" s="33"/>
      <c r="AO55" s="11"/>
      <c r="AP55" s="11"/>
      <c r="AQ55" s="11"/>
      <c r="AR55" s="14"/>
      <c r="AS55" s="39"/>
      <c r="AT55" s="40"/>
      <c r="AU55" s="183"/>
      <c r="AV55" s="183"/>
      <c r="AW55" s="183"/>
      <c r="AX55" s="183"/>
      <c r="AY55" s="22"/>
      <c r="AZ55" s="22"/>
      <c r="BA55" s="22"/>
      <c r="BB55" s="184"/>
      <c r="BC55" s="185"/>
      <c r="BD55" s="186"/>
      <c r="BE55" s="186"/>
      <c r="BF55" s="186"/>
      <c r="BG55" s="186"/>
      <c r="BH55" s="186"/>
      <c r="BI55" s="186"/>
      <c r="BJ55" s="186"/>
      <c r="BK55" s="186"/>
      <c r="BL55" s="22"/>
    </row>
    <row r="56" spans="1:64" ht="14.4" x14ac:dyDescent="0.3">
      <c r="A56" s="91">
        <v>48</v>
      </c>
      <c r="B56" s="125">
        <f t="shared" ref="B56:D56" si="303">B54</f>
        <v>45920</v>
      </c>
      <c r="C56" s="125">
        <f t="shared" si="303"/>
        <v>45920</v>
      </c>
      <c r="D56" s="126">
        <f t="shared" si="303"/>
        <v>3</v>
      </c>
      <c r="E56" s="10">
        <f t="shared" si="301"/>
        <v>8</v>
      </c>
      <c r="F56" s="46"/>
      <c r="G56" s="157" t="s">
        <v>99</v>
      </c>
      <c r="H56" s="127">
        <f t="shared" ref="H56:I56" si="304">H54</f>
        <v>25.6</v>
      </c>
      <c r="I56" s="111">
        <f t="shared" si="304"/>
        <v>0</v>
      </c>
      <c r="J56" s="35">
        <f t="shared" ref="J56:L56" si="305">J55</f>
        <v>20.9</v>
      </c>
      <c r="K56" s="122">
        <f t="shared" si="305"/>
        <v>8.4730000000000008</v>
      </c>
      <c r="L56" s="122">
        <f t="shared" si="305"/>
        <v>0.52100000000000002</v>
      </c>
      <c r="M56" s="96">
        <v>111.16</v>
      </c>
      <c r="N56" s="96">
        <v>210.13</v>
      </c>
      <c r="O56" s="32">
        <f t="shared" ref="O56:P56" si="306">O55</f>
        <v>100.48</v>
      </c>
      <c r="P56" s="168" t="str">
        <f t="shared" si="306"/>
        <v>2,29,610</v>
      </c>
      <c r="Q56" s="97" t="str">
        <f t="shared" si="47"/>
        <v>2</v>
      </c>
      <c r="R56" s="97" t="str">
        <f t="shared" si="48"/>
        <v>29,610</v>
      </c>
      <c r="S56" s="97">
        <f t="shared" si="49"/>
        <v>4.1558333333333336E-2</v>
      </c>
      <c r="T56" s="98">
        <f t="shared" si="50"/>
        <v>2417.8062963705634</v>
      </c>
      <c r="U56" s="99">
        <f t="shared" si="51"/>
        <v>-1.5027866242038268</v>
      </c>
      <c r="V56" s="38">
        <f t="shared" ref="V56:W56" si="307">V55</f>
        <v>21.3</v>
      </c>
      <c r="W56" s="124">
        <f t="shared" si="307"/>
        <v>1.0960000000000001</v>
      </c>
      <c r="X56" s="124">
        <f t="shared" si="20"/>
        <v>1.0880000000000001</v>
      </c>
      <c r="Y56" s="96">
        <v>215.53</v>
      </c>
      <c r="Z56" s="96">
        <v>225.48</v>
      </c>
      <c r="AA56" s="134">
        <f t="shared" ref="AA56:AB56" si="308">AA54</f>
        <v>10.01</v>
      </c>
      <c r="AB56" s="135" t="str">
        <f t="shared" si="308"/>
        <v>22,44,380</v>
      </c>
      <c r="AC56" s="97" t="str">
        <f t="shared" si="54"/>
        <v>22</v>
      </c>
      <c r="AD56" s="97" t="str">
        <f t="shared" si="55"/>
        <v>44,380</v>
      </c>
      <c r="AE56" s="97">
        <f t="shared" si="56"/>
        <v>0.37899444444444447</v>
      </c>
      <c r="AF56" s="98">
        <f t="shared" si="57"/>
        <v>26.411996657822598</v>
      </c>
      <c r="AG56" s="100">
        <f t="shared" si="58"/>
        <v>-0.59940059940071089</v>
      </c>
      <c r="AH56" s="132">
        <f>AH54</f>
        <v>21.5</v>
      </c>
      <c r="AI56" s="133">
        <f>AI54</f>
        <v>1.097</v>
      </c>
      <c r="AJ56" s="133">
        <f>AJ54</f>
        <v>1.089</v>
      </c>
      <c r="AK56" s="96">
        <f t="shared" si="59"/>
        <v>225.48</v>
      </c>
      <c r="AL56" s="96">
        <v>230.51</v>
      </c>
      <c r="AM56" s="136">
        <f t="shared" ref="AM56:AN56" si="309">AM54</f>
        <v>5.01</v>
      </c>
      <c r="AN56" s="131" t="str">
        <f t="shared" si="309"/>
        <v>18,16,100</v>
      </c>
      <c r="AO56" s="97" t="str">
        <f t="shared" si="61"/>
        <v>18</v>
      </c>
      <c r="AP56" s="97" t="str">
        <f t="shared" si="62"/>
        <v>16,100</v>
      </c>
      <c r="AQ56" s="97">
        <f t="shared" si="63"/>
        <v>0.3044722222222222</v>
      </c>
      <c r="AR56" s="98">
        <f t="shared" si="64"/>
        <v>16.454703038043974</v>
      </c>
      <c r="AS56" s="100">
        <f t="shared" si="65"/>
        <v>0.39920159680641415</v>
      </c>
      <c r="AT56" s="102" t="str">
        <f t="shared" si="66"/>
        <v>CONFORME</v>
      </c>
      <c r="AU56" s="8" t="b">
        <f t="shared" si="28"/>
        <v>1</v>
      </c>
      <c r="AV56" s="8" t="b">
        <f t="shared" si="29"/>
        <v>1</v>
      </c>
      <c r="AW56" s="8" t="b">
        <f t="shared" si="30"/>
        <v>1</v>
      </c>
      <c r="AX56" s="8" t="str">
        <f t="shared" si="31"/>
        <v>Qcorrecto</v>
      </c>
      <c r="AY56" s="26" t="str">
        <f t="shared" si="5"/>
        <v>aceptable</v>
      </c>
      <c r="AZ56" s="26" t="str">
        <f t="shared" si="6"/>
        <v>aceptable</v>
      </c>
      <c r="BA56" s="26" t="str">
        <f t="shared" si="32"/>
        <v>aceptable</v>
      </c>
      <c r="BB56" s="25" t="str">
        <f t="shared" si="33"/>
        <v>CONFORME</v>
      </c>
      <c r="BC56" s="5" t="str">
        <f t="shared" si="34"/>
        <v>CONFORME</v>
      </c>
      <c r="BD56" s="15">
        <f t="shared" si="7"/>
        <v>-1</v>
      </c>
      <c r="BE56" s="15">
        <f t="shared" si="8"/>
        <v>-1</v>
      </c>
      <c r="BF56" s="15">
        <f t="shared" si="9"/>
        <v>1</v>
      </c>
      <c r="BG56" s="15" t="str">
        <f t="shared" si="10"/>
        <v>-1-11</v>
      </c>
      <c r="BH56" s="15" t="str">
        <f t="shared" si="11"/>
        <v>SD</v>
      </c>
      <c r="BI56" s="15" t="str">
        <f t="shared" si="12"/>
        <v>SD</v>
      </c>
      <c r="BJ56" s="15" t="b">
        <f t="shared" si="13"/>
        <v>0</v>
      </c>
      <c r="BK56" s="15" t="str">
        <f t="shared" si="14"/>
        <v>SIGDIFERENTES</v>
      </c>
      <c r="BL56" s="26" t="str">
        <f t="shared" si="15"/>
        <v>CONFORME</v>
      </c>
    </row>
    <row r="57" spans="1:64" s="152" customFormat="1" ht="15" thickBot="1" x14ac:dyDescent="0.35">
      <c r="A57" s="159">
        <v>49</v>
      </c>
      <c r="B57" s="160">
        <f t="shared" ref="B57:D57" si="310">B56</f>
        <v>45920</v>
      </c>
      <c r="C57" s="160">
        <f t="shared" si="310"/>
        <v>45920</v>
      </c>
      <c r="D57" s="161">
        <f t="shared" si="310"/>
        <v>3</v>
      </c>
      <c r="E57" s="237">
        <f t="shared" si="301"/>
        <v>8</v>
      </c>
      <c r="F57" s="45"/>
      <c r="G57" s="207" t="s">
        <v>100</v>
      </c>
      <c r="H57" s="162">
        <f t="shared" ref="H57:L57" si="311">H56</f>
        <v>25.6</v>
      </c>
      <c r="I57" s="163">
        <f t="shared" si="311"/>
        <v>0</v>
      </c>
      <c r="J57" s="164">
        <f t="shared" si="311"/>
        <v>20.9</v>
      </c>
      <c r="K57" s="165">
        <f t="shared" si="311"/>
        <v>8.4730000000000008</v>
      </c>
      <c r="L57" s="165">
        <f t="shared" si="311"/>
        <v>0.52100000000000002</v>
      </c>
      <c r="M57" s="166">
        <v>110.2</v>
      </c>
      <c r="N57" s="166">
        <v>210</v>
      </c>
      <c r="O57" s="167">
        <f t="shared" ref="O57:P57" si="312">O56</f>
        <v>100.48</v>
      </c>
      <c r="P57" s="168" t="str">
        <f t="shared" si="312"/>
        <v>2,29,610</v>
      </c>
      <c r="Q57" s="169" t="str">
        <f t="shared" si="47"/>
        <v>2</v>
      </c>
      <c r="R57" s="169" t="str">
        <f t="shared" si="48"/>
        <v>29,610</v>
      </c>
      <c r="S57" s="169">
        <f t="shared" si="49"/>
        <v>4.1558333333333336E-2</v>
      </c>
      <c r="T57" s="170">
        <f t="shared" si="50"/>
        <v>2417.8062963705634</v>
      </c>
      <c r="U57" s="171">
        <f t="shared" si="51"/>
        <v>-0.67675159235669469</v>
      </c>
      <c r="V57" s="172">
        <f t="shared" ref="V57:W57" si="313">V56</f>
        <v>21.3</v>
      </c>
      <c r="W57" s="173">
        <f t="shared" si="313"/>
        <v>1.0960000000000001</v>
      </c>
      <c r="X57" s="173">
        <f t="shared" si="20"/>
        <v>1.0880000000000001</v>
      </c>
      <c r="Y57" s="166">
        <v>215.41</v>
      </c>
      <c r="Z57" s="166">
        <v>225.34</v>
      </c>
      <c r="AA57" s="174">
        <f t="shared" ref="AA57:AB57" si="314">AA56</f>
        <v>10.01</v>
      </c>
      <c r="AB57" s="175" t="str">
        <f t="shared" si="314"/>
        <v>22,44,380</v>
      </c>
      <c r="AC57" s="169" t="str">
        <f t="shared" si="54"/>
        <v>22</v>
      </c>
      <c r="AD57" s="169" t="str">
        <f t="shared" si="55"/>
        <v>44,380</v>
      </c>
      <c r="AE57" s="169">
        <f t="shared" si="56"/>
        <v>0.37899444444444447</v>
      </c>
      <c r="AF57" s="170">
        <f t="shared" si="57"/>
        <v>26.411996657822598</v>
      </c>
      <c r="AG57" s="176">
        <f t="shared" si="58"/>
        <v>-0.79920079920072895</v>
      </c>
      <c r="AH57" s="172">
        <f t="shared" ref="AH57:AI59" si="315">AH56</f>
        <v>21.5</v>
      </c>
      <c r="AI57" s="173">
        <f t="shared" si="315"/>
        <v>1.097</v>
      </c>
      <c r="AJ57" s="173">
        <f t="shared" si="24"/>
        <v>1.089</v>
      </c>
      <c r="AK57" s="166">
        <f t="shared" si="59"/>
        <v>225.34</v>
      </c>
      <c r="AL57" s="166">
        <v>230.35</v>
      </c>
      <c r="AM57" s="177">
        <f t="shared" ref="AM57:AN57" si="316">AM56</f>
        <v>5.01</v>
      </c>
      <c r="AN57" s="168" t="str">
        <f t="shared" si="316"/>
        <v>18,16,100</v>
      </c>
      <c r="AO57" s="169" t="str">
        <f t="shared" si="61"/>
        <v>18</v>
      </c>
      <c r="AP57" s="169" t="str">
        <f t="shared" si="62"/>
        <v>16,100</v>
      </c>
      <c r="AQ57" s="169">
        <f t="shared" si="63"/>
        <v>0.3044722222222222</v>
      </c>
      <c r="AR57" s="170">
        <f t="shared" si="64"/>
        <v>16.454703038043974</v>
      </c>
      <c r="AS57" s="176">
        <f t="shared" si="65"/>
        <v>-1.772811216966318E-13</v>
      </c>
      <c r="AT57" s="178" t="str">
        <f t="shared" si="66"/>
        <v>CONFORME</v>
      </c>
      <c r="AU57" s="147" t="b">
        <f t="shared" si="28"/>
        <v>1</v>
      </c>
      <c r="AV57" s="147" t="b">
        <f t="shared" si="29"/>
        <v>1</v>
      </c>
      <c r="AW57" s="147" t="b">
        <f t="shared" si="30"/>
        <v>1</v>
      </c>
      <c r="AX57" s="147" t="str">
        <f t="shared" si="31"/>
        <v>Qcorrecto</v>
      </c>
      <c r="AY57" s="148" t="str">
        <f t="shared" si="5"/>
        <v>aceptable</v>
      </c>
      <c r="AZ57" s="148" t="str">
        <f t="shared" si="6"/>
        <v>aceptable</v>
      </c>
      <c r="BA57" s="148" t="str">
        <f t="shared" si="32"/>
        <v>aceptable</v>
      </c>
      <c r="BB57" s="149" t="str">
        <f t="shared" si="33"/>
        <v>CONFORME</v>
      </c>
      <c r="BC57" s="150" t="str">
        <f t="shared" si="34"/>
        <v>CONFORME</v>
      </c>
      <c r="BD57" s="151">
        <f t="shared" si="7"/>
        <v>-1</v>
      </c>
      <c r="BE57" s="151">
        <f t="shared" si="8"/>
        <v>-1</v>
      </c>
      <c r="BF57" s="151">
        <f t="shared" si="9"/>
        <v>-1</v>
      </c>
      <c r="BG57" s="151" t="str">
        <f t="shared" si="10"/>
        <v>-1-1-1</v>
      </c>
      <c r="BH57" s="151" t="str">
        <f t="shared" si="11"/>
        <v>SD</v>
      </c>
      <c r="BI57" s="151" t="str">
        <f t="shared" si="12"/>
        <v>SI</v>
      </c>
      <c r="BJ57" s="151" t="b">
        <f t="shared" si="13"/>
        <v>1</v>
      </c>
      <c r="BK57" s="151" t="str">
        <f t="shared" si="14"/>
        <v>SIGIGUALES</v>
      </c>
      <c r="BL57" s="148" t="str">
        <f t="shared" si="15"/>
        <v>CONFORME</v>
      </c>
    </row>
    <row r="58" spans="1:64" ht="14.4" x14ac:dyDescent="0.3">
      <c r="A58" s="208">
        <v>50</v>
      </c>
      <c r="B58" s="209">
        <f t="shared" ref="B58:D58" si="317">B57</f>
        <v>45920</v>
      </c>
      <c r="C58" s="209">
        <f t="shared" si="317"/>
        <v>45920</v>
      </c>
      <c r="D58" s="210">
        <f t="shared" si="317"/>
        <v>3</v>
      </c>
      <c r="E58" s="238">
        <f t="shared" si="301"/>
        <v>8</v>
      </c>
      <c r="F58" s="42"/>
      <c r="G58" s="211"/>
      <c r="H58" s="212">
        <f t="shared" ref="H58:L58" si="318">H57</f>
        <v>25.6</v>
      </c>
      <c r="I58" s="213">
        <f t="shared" si="318"/>
        <v>0</v>
      </c>
      <c r="J58" s="214">
        <f t="shared" si="318"/>
        <v>20.9</v>
      </c>
      <c r="K58" s="215">
        <f t="shared" si="318"/>
        <v>8.4730000000000008</v>
      </c>
      <c r="L58" s="215">
        <f t="shared" si="318"/>
        <v>0.52100000000000002</v>
      </c>
      <c r="M58" s="216"/>
      <c r="N58" s="216"/>
      <c r="O58" s="217">
        <f t="shared" ref="O58:P58" si="319">O57</f>
        <v>100.48</v>
      </c>
      <c r="P58" s="218" t="str">
        <f t="shared" si="319"/>
        <v>2,29,610</v>
      </c>
      <c r="Q58" s="219" t="str">
        <f t="shared" si="47"/>
        <v>2</v>
      </c>
      <c r="R58" s="219" t="str">
        <f t="shared" si="48"/>
        <v>29,610</v>
      </c>
      <c r="S58" s="219">
        <f t="shared" si="49"/>
        <v>4.1558333333333336E-2</v>
      </c>
      <c r="T58" s="220">
        <f t="shared" si="50"/>
        <v>2417.8062963705634</v>
      </c>
      <c r="U58" s="221">
        <f t="shared" si="51"/>
        <v>-100</v>
      </c>
      <c r="V58" s="222">
        <f t="shared" ref="V58:W58" si="320">V57</f>
        <v>21.3</v>
      </c>
      <c r="W58" s="223">
        <f t="shared" si="320"/>
        <v>1.0960000000000001</v>
      </c>
      <c r="X58" s="223">
        <f t="shared" si="20"/>
        <v>1.0880000000000001</v>
      </c>
      <c r="Y58" s="216"/>
      <c r="Z58" s="216"/>
      <c r="AA58" s="239">
        <v>5.0179999999999998</v>
      </c>
      <c r="AB58" s="240" t="s">
        <v>50</v>
      </c>
      <c r="AC58" s="219" t="str">
        <f t="shared" si="54"/>
        <v>11</v>
      </c>
      <c r="AD58" s="219" t="str">
        <f t="shared" si="55"/>
        <v>12,670</v>
      </c>
      <c r="AE58" s="219">
        <f t="shared" si="56"/>
        <v>0.18685277777777776</v>
      </c>
      <c r="AF58" s="220">
        <f t="shared" si="57"/>
        <v>26.855367416415184</v>
      </c>
      <c r="AG58" s="224">
        <f t="shared" si="58"/>
        <v>-100</v>
      </c>
      <c r="AH58" s="222">
        <v>18.399999999999999</v>
      </c>
      <c r="AI58" s="223">
        <v>1.0980000000000001</v>
      </c>
      <c r="AJ58" s="223">
        <v>1.087</v>
      </c>
      <c r="AK58" s="216">
        <f t="shared" si="59"/>
        <v>0</v>
      </c>
      <c r="AL58" s="216"/>
      <c r="AM58" s="241">
        <v>2.0049999999999999</v>
      </c>
      <c r="AN58" s="242" t="s">
        <v>51</v>
      </c>
      <c r="AO58" s="219" t="str">
        <f t="shared" si="61"/>
        <v>7,</v>
      </c>
      <c r="AP58" s="219" t="str">
        <f t="shared" si="62"/>
        <v>19,050</v>
      </c>
      <c r="AQ58" s="219">
        <f t="shared" si="63"/>
        <v>0.12195833333333334</v>
      </c>
      <c r="AR58" s="220">
        <f t="shared" si="64"/>
        <v>16.44004099760847</v>
      </c>
      <c r="AS58" s="224">
        <f t="shared" si="65"/>
        <v>-100</v>
      </c>
      <c r="AT58" s="225" t="str">
        <f t="shared" si="66"/>
        <v>NO CONFORME</v>
      </c>
      <c r="AU58" s="8" t="b">
        <f t="shared" si="28"/>
        <v>1</v>
      </c>
      <c r="AV58" s="8" t="b">
        <f t="shared" si="29"/>
        <v>0</v>
      </c>
      <c r="AW58" s="8" t="b">
        <f t="shared" si="30"/>
        <v>1</v>
      </c>
      <c r="AX58" s="8" t="str">
        <f t="shared" si="31"/>
        <v>Qcorrecto</v>
      </c>
      <c r="AY58" s="26" t="str">
        <f t="shared" si="5"/>
        <v>aceptable</v>
      </c>
      <c r="AZ58" s="26" t="str">
        <f t="shared" si="6"/>
        <v>aceptable</v>
      </c>
      <c r="BA58" s="26" t="str">
        <f t="shared" si="32"/>
        <v>aceptable</v>
      </c>
      <c r="BB58" s="25" t="str">
        <f t="shared" si="33"/>
        <v>NO CONFORME</v>
      </c>
      <c r="BC58" s="5" t="str">
        <f t="shared" si="34"/>
        <v>NO CONFORME</v>
      </c>
      <c r="BD58" s="15">
        <f t="shared" si="7"/>
        <v>-1</v>
      </c>
      <c r="BE58" s="15">
        <f t="shared" si="8"/>
        <v>-1</v>
      </c>
      <c r="BF58" s="15">
        <f t="shared" si="9"/>
        <v>-1</v>
      </c>
      <c r="BG58" s="15" t="str">
        <f t="shared" si="10"/>
        <v>-1-1-1</v>
      </c>
      <c r="BH58" s="15" t="str">
        <f t="shared" si="11"/>
        <v>SD</v>
      </c>
      <c r="BI58" s="15" t="str">
        <f t="shared" si="12"/>
        <v>SI</v>
      </c>
      <c r="BJ58" s="15" t="b">
        <f t="shared" si="13"/>
        <v>1</v>
      </c>
      <c r="BK58" s="15" t="str">
        <f t="shared" si="14"/>
        <v>SIGIGUALES</v>
      </c>
      <c r="BL58" s="26" t="str">
        <f t="shared" si="15"/>
        <v>NO CONFORME</v>
      </c>
    </row>
    <row r="59" spans="1:64" ht="14.4" x14ac:dyDescent="0.3">
      <c r="A59" s="91">
        <v>51</v>
      </c>
      <c r="B59" s="28">
        <f t="shared" ref="B59:D59" si="321">B58</f>
        <v>45920</v>
      </c>
      <c r="C59" s="28">
        <f t="shared" si="321"/>
        <v>45920</v>
      </c>
      <c r="D59" s="12">
        <f t="shared" si="321"/>
        <v>3</v>
      </c>
      <c r="E59" s="10">
        <f t="shared" si="301"/>
        <v>8</v>
      </c>
      <c r="F59" s="13"/>
      <c r="G59" s="157"/>
      <c r="H59" s="70">
        <f t="shared" ref="H59:L59" si="322">H58</f>
        <v>25.6</v>
      </c>
      <c r="I59" s="36">
        <f t="shared" si="322"/>
        <v>0</v>
      </c>
      <c r="J59" s="35">
        <f t="shared" si="322"/>
        <v>20.9</v>
      </c>
      <c r="K59" s="122">
        <f t="shared" si="322"/>
        <v>8.4730000000000008</v>
      </c>
      <c r="L59" s="122">
        <f t="shared" si="322"/>
        <v>0.52100000000000002</v>
      </c>
      <c r="M59" s="41"/>
      <c r="N59" s="41"/>
      <c r="O59" s="32">
        <f t="shared" ref="O59:P59" si="323">O58</f>
        <v>100.48</v>
      </c>
      <c r="P59" s="168" t="str">
        <f t="shared" si="323"/>
        <v>2,29,610</v>
      </c>
      <c r="Q59" s="11" t="str">
        <f t="shared" si="47"/>
        <v>2</v>
      </c>
      <c r="R59" s="11" t="str">
        <f t="shared" si="48"/>
        <v>29,610</v>
      </c>
      <c r="S59" s="11">
        <f t="shared" si="49"/>
        <v>4.1558333333333336E-2</v>
      </c>
      <c r="T59" s="14">
        <f t="shared" si="50"/>
        <v>2417.8062963705634</v>
      </c>
      <c r="U59" s="37">
        <f t="shared" si="51"/>
        <v>-100</v>
      </c>
      <c r="V59" s="38">
        <f t="shared" ref="V59:W59" si="324">V58</f>
        <v>21.3</v>
      </c>
      <c r="W59" s="124">
        <f t="shared" si="324"/>
        <v>1.0960000000000001</v>
      </c>
      <c r="X59" s="124">
        <f t="shared" si="20"/>
        <v>1.0880000000000001</v>
      </c>
      <c r="Y59" s="41"/>
      <c r="Z59" s="41"/>
      <c r="AA59" s="90">
        <f t="shared" ref="AA59:AB59" si="325">AA58</f>
        <v>5.0179999999999998</v>
      </c>
      <c r="AB59" s="73" t="str">
        <f t="shared" si="325"/>
        <v>11,12,670</v>
      </c>
      <c r="AC59" s="11" t="str">
        <f t="shared" si="54"/>
        <v>11</v>
      </c>
      <c r="AD59" s="11" t="str">
        <f t="shared" si="55"/>
        <v>12,670</v>
      </c>
      <c r="AE59" s="11">
        <f t="shared" si="56"/>
        <v>0.18685277777777776</v>
      </c>
      <c r="AF59" s="14">
        <f t="shared" si="57"/>
        <v>26.855367416415184</v>
      </c>
      <c r="AG59" s="39">
        <f t="shared" si="58"/>
        <v>-100</v>
      </c>
      <c r="AH59" s="38">
        <f t="shared" si="315"/>
        <v>18.399999999999999</v>
      </c>
      <c r="AI59" s="124">
        <f t="shared" si="315"/>
        <v>1.0980000000000001</v>
      </c>
      <c r="AJ59" s="124">
        <f t="shared" si="24"/>
        <v>1.087</v>
      </c>
      <c r="AK59" s="41">
        <f t="shared" si="59"/>
        <v>0</v>
      </c>
      <c r="AL59" s="41"/>
      <c r="AM59" s="34">
        <f t="shared" ref="AM59:AN59" si="326">AM58</f>
        <v>2.0049999999999999</v>
      </c>
      <c r="AN59" s="33" t="str">
        <f t="shared" si="326"/>
        <v>7,19,050</v>
      </c>
      <c r="AO59" s="11" t="str">
        <f t="shared" si="61"/>
        <v>7,</v>
      </c>
      <c r="AP59" s="11" t="str">
        <f t="shared" si="62"/>
        <v>19,050</v>
      </c>
      <c r="AQ59" s="11">
        <f t="shared" si="63"/>
        <v>0.12195833333333334</v>
      </c>
      <c r="AR59" s="14">
        <f t="shared" si="64"/>
        <v>16.44004099760847</v>
      </c>
      <c r="AS59" s="39">
        <f t="shared" si="65"/>
        <v>-100</v>
      </c>
      <c r="AT59" s="40" t="str">
        <f t="shared" si="66"/>
        <v>NO CONFORME</v>
      </c>
      <c r="AU59" s="8" t="b">
        <f t="shared" si="28"/>
        <v>1</v>
      </c>
      <c r="AV59" s="8" t="b">
        <f t="shared" si="29"/>
        <v>0</v>
      </c>
      <c r="AW59" s="8" t="b">
        <f t="shared" si="30"/>
        <v>1</v>
      </c>
      <c r="AX59" s="8" t="str">
        <f t="shared" si="31"/>
        <v>Qcorrecto</v>
      </c>
      <c r="AY59" s="22" t="str">
        <f t="shared" si="5"/>
        <v>aceptable</v>
      </c>
      <c r="AZ59" s="22" t="str">
        <f t="shared" si="6"/>
        <v>aceptable</v>
      </c>
      <c r="BA59" s="22" t="str">
        <f t="shared" si="32"/>
        <v>aceptable</v>
      </c>
      <c r="BB59" s="25" t="str">
        <f t="shared" si="33"/>
        <v>NO CONFORME</v>
      </c>
      <c r="BC59" s="5" t="str">
        <f t="shared" si="34"/>
        <v>NO CONFORME</v>
      </c>
      <c r="BD59" s="15">
        <f t="shared" si="7"/>
        <v>-1</v>
      </c>
      <c r="BE59" s="15">
        <f t="shared" si="8"/>
        <v>-1</v>
      </c>
      <c r="BF59" s="15">
        <f t="shared" si="9"/>
        <v>-1</v>
      </c>
      <c r="BG59" s="15" t="str">
        <f t="shared" si="10"/>
        <v>-1-1-1</v>
      </c>
      <c r="BH59" s="15" t="str">
        <f t="shared" si="11"/>
        <v>SD</v>
      </c>
      <c r="BI59" s="15" t="str">
        <f t="shared" si="12"/>
        <v>SI</v>
      </c>
      <c r="BJ59" s="15" t="b">
        <f t="shared" si="13"/>
        <v>1</v>
      </c>
      <c r="BK59" s="15" t="str">
        <f t="shared" si="14"/>
        <v>SIGIGUALES</v>
      </c>
      <c r="BL59" s="22" t="str">
        <f t="shared" si="15"/>
        <v>NO CONFORME</v>
      </c>
    </row>
    <row r="60" spans="1:64" ht="14.4" x14ac:dyDescent="0.3">
      <c r="A60" s="91">
        <v>52</v>
      </c>
      <c r="B60" s="28">
        <f t="shared" ref="B60:D60" si="327">B59</f>
        <v>45920</v>
      </c>
      <c r="C60" s="28">
        <f t="shared" si="327"/>
        <v>45920</v>
      </c>
      <c r="D60" s="12">
        <f t="shared" si="327"/>
        <v>3</v>
      </c>
      <c r="E60" s="10">
        <f t="shared" si="301"/>
        <v>8</v>
      </c>
      <c r="F60" s="13"/>
      <c r="G60" s="157"/>
      <c r="H60" s="70">
        <f t="shared" ref="H60:L60" si="328">H59</f>
        <v>25.6</v>
      </c>
      <c r="I60" s="36">
        <f t="shared" si="328"/>
        <v>0</v>
      </c>
      <c r="J60" s="35">
        <f t="shared" si="328"/>
        <v>20.9</v>
      </c>
      <c r="K60" s="122">
        <f t="shared" si="328"/>
        <v>8.4730000000000008</v>
      </c>
      <c r="L60" s="122">
        <f t="shared" si="328"/>
        <v>0.52100000000000002</v>
      </c>
      <c r="M60" s="41"/>
      <c r="N60" s="41"/>
      <c r="O60" s="32">
        <f t="shared" ref="O60:P60" si="329">O59</f>
        <v>100.48</v>
      </c>
      <c r="P60" s="168" t="str">
        <f t="shared" si="329"/>
        <v>2,29,610</v>
      </c>
      <c r="Q60" s="11" t="str">
        <f t="shared" si="47"/>
        <v>2</v>
      </c>
      <c r="R60" s="11" t="str">
        <f t="shared" si="48"/>
        <v>29,610</v>
      </c>
      <c r="S60" s="11">
        <f t="shared" si="49"/>
        <v>4.1558333333333336E-2</v>
      </c>
      <c r="T60" s="14">
        <f t="shared" si="50"/>
        <v>2417.8062963705634</v>
      </c>
      <c r="U60" s="37">
        <f t="shared" si="51"/>
        <v>-100</v>
      </c>
      <c r="V60" s="38">
        <f t="shared" ref="V60:W60" si="330">V59</f>
        <v>21.3</v>
      </c>
      <c r="W60" s="124">
        <f t="shared" si="330"/>
        <v>1.0960000000000001</v>
      </c>
      <c r="X60" s="124">
        <f t="shared" si="20"/>
        <v>1.0880000000000001</v>
      </c>
      <c r="Y60" s="41"/>
      <c r="Z60" s="41"/>
      <c r="AA60" s="90">
        <f t="shared" ref="AA60:AB60" si="331">AA59</f>
        <v>5.0179999999999998</v>
      </c>
      <c r="AB60" s="73" t="str">
        <f t="shared" si="331"/>
        <v>11,12,670</v>
      </c>
      <c r="AC60" s="11" t="str">
        <f t="shared" si="54"/>
        <v>11</v>
      </c>
      <c r="AD60" s="11" t="str">
        <f t="shared" si="55"/>
        <v>12,670</v>
      </c>
      <c r="AE60" s="11">
        <f t="shared" si="56"/>
        <v>0.18685277777777776</v>
      </c>
      <c r="AF60" s="14">
        <f t="shared" si="57"/>
        <v>26.855367416415184</v>
      </c>
      <c r="AG60" s="39">
        <f t="shared" si="58"/>
        <v>-100</v>
      </c>
      <c r="AH60" s="38">
        <f t="shared" ref="AH60:AJ75" si="332">AH59</f>
        <v>18.399999999999999</v>
      </c>
      <c r="AI60" s="124">
        <f t="shared" si="332"/>
        <v>1.0980000000000001</v>
      </c>
      <c r="AJ60" s="124">
        <f t="shared" si="24"/>
        <v>1.087</v>
      </c>
      <c r="AK60" s="41">
        <f t="shared" si="59"/>
        <v>0</v>
      </c>
      <c r="AL60" s="41"/>
      <c r="AM60" s="34">
        <f t="shared" ref="AM60:AN60" si="333">AM59</f>
        <v>2.0049999999999999</v>
      </c>
      <c r="AN60" s="33" t="str">
        <f t="shared" si="333"/>
        <v>7,19,050</v>
      </c>
      <c r="AO60" s="11" t="str">
        <f t="shared" si="61"/>
        <v>7,</v>
      </c>
      <c r="AP60" s="11" t="str">
        <f t="shared" si="62"/>
        <v>19,050</v>
      </c>
      <c r="AQ60" s="11">
        <f t="shared" si="63"/>
        <v>0.12195833333333334</v>
      </c>
      <c r="AR60" s="14">
        <f t="shared" si="64"/>
        <v>16.44004099760847</v>
      </c>
      <c r="AS60" s="39">
        <f t="shared" si="65"/>
        <v>-100</v>
      </c>
      <c r="AT60" s="40" t="str">
        <f t="shared" si="66"/>
        <v>NO CONFORME</v>
      </c>
      <c r="AU60" s="8" t="b">
        <f t="shared" si="28"/>
        <v>1</v>
      </c>
      <c r="AV60" s="8" t="b">
        <f t="shared" si="29"/>
        <v>0</v>
      </c>
      <c r="AW60" s="8" t="b">
        <f t="shared" si="30"/>
        <v>1</v>
      </c>
      <c r="AX60" s="8" t="str">
        <f t="shared" si="31"/>
        <v>Qcorrecto</v>
      </c>
      <c r="AY60" s="22" t="str">
        <f t="shared" si="5"/>
        <v>aceptable</v>
      </c>
      <c r="AZ60" s="22" t="str">
        <f t="shared" si="6"/>
        <v>aceptable</v>
      </c>
      <c r="BA60" s="22" t="str">
        <f t="shared" si="32"/>
        <v>aceptable</v>
      </c>
      <c r="BB60" s="25" t="str">
        <f t="shared" si="33"/>
        <v>NO CONFORME</v>
      </c>
      <c r="BC60" s="5" t="str">
        <f t="shared" si="34"/>
        <v>NO CONFORME</v>
      </c>
      <c r="BD60" s="15">
        <f t="shared" si="7"/>
        <v>-1</v>
      </c>
      <c r="BE60" s="15">
        <f t="shared" si="8"/>
        <v>-1</v>
      </c>
      <c r="BF60" s="15">
        <f t="shared" si="9"/>
        <v>-1</v>
      </c>
      <c r="BG60" s="15" t="str">
        <f t="shared" si="10"/>
        <v>-1-1-1</v>
      </c>
      <c r="BH60" s="15" t="str">
        <f t="shared" si="11"/>
        <v>SD</v>
      </c>
      <c r="BI60" s="15" t="str">
        <f t="shared" si="12"/>
        <v>SI</v>
      </c>
      <c r="BJ60" s="15" t="b">
        <f t="shared" si="13"/>
        <v>1</v>
      </c>
      <c r="BK60" s="15" t="str">
        <f t="shared" si="14"/>
        <v>SIGIGUALES</v>
      </c>
      <c r="BL60" s="22" t="str">
        <f t="shared" si="15"/>
        <v>NO CONFORME</v>
      </c>
    </row>
    <row r="61" spans="1:64" ht="14.4" x14ac:dyDescent="0.3">
      <c r="A61" s="91">
        <v>53</v>
      </c>
      <c r="B61" s="28">
        <f t="shared" ref="B61:D61" si="334">B60</f>
        <v>45920</v>
      </c>
      <c r="C61" s="28">
        <f t="shared" si="334"/>
        <v>45920</v>
      </c>
      <c r="D61" s="12">
        <f t="shared" si="334"/>
        <v>3</v>
      </c>
      <c r="E61" s="10">
        <f t="shared" si="301"/>
        <v>8</v>
      </c>
      <c r="F61" s="13"/>
      <c r="G61" s="157"/>
      <c r="H61" s="70">
        <f t="shared" ref="H61:L61" si="335">H60</f>
        <v>25.6</v>
      </c>
      <c r="I61" s="36">
        <f t="shared" si="335"/>
        <v>0</v>
      </c>
      <c r="J61" s="35">
        <f t="shared" si="335"/>
        <v>20.9</v>
      </c>
      <c r="K61" s="122">
        <f t="shared" si="335"/>
        <v>8.4730000000000008</v>
      </c>
      <c r="L61" s="122">
        <f t="shared" si="335"/>
        <v>0.52100000000000002</v>
      </c>
      <c r="M61" s="41"/>
      <c r="N61" s="41"/>
      <c r="O61" s="32">
        <f t="shared" ref="O61:P61" si="336">O60</f>
        <v>100.48</v>
      </c>
      <c r="P61" s="168" t="str">
        <f t="shared" si="336"/>
        <v>2,29,610</v>
      </c>
      <c r="Q61" s="11" t="str">
        <f t="shared" si="47"/>
        <v>2</v>
      </c>
      <c r="R61" s="11" t="str">
        <f t="shared" si="48"/>
        <v>29,610</v>
      </c>
      <c r="S61" s="11">
        <f t="shared" si="49"/>
        <v>4.1558333333333336E-2</v>
      </c>
      <c r="T61" s="14">
        <f t="shared" si="50"/>
        <v>2417.8062963705634</v>
      </c>
      <c r="U61" s="37">
        <f t="shared" si="51"/>
        <v>-100</v>
      </c>
      <c r="V61" s="38">
        <f t="shared" ref="V61:W61" si="337">V60</f>
        <v>21.3</v>
      </c>
      <c r="W61" s="124">
        <f t="shared" si="337"/>
        <v>1.0960000000000001</v>
      </c>
      <c r="X61" s="124">
        <f t="shared" si="20"/>
        <v>1.0880000000000001</v>
      </c>
      <c r="Y61" s="41"/>
      <c r="Z61" s="41"/>
      <c r="AA61" s="90">
        <f t="shared" ref="AA61:AB61" si="338">AA60</f>
        <v>5.0179999999999998</v>
      </c>
      <c r="AB61" s="73" t="str">
        <f t="shared" si="338"/>
        <v>11,12,670</v>
      </c>
      <c r="AC61" s="11" t="str">
        <f t="shared" si="54"/>
        <v>11</v>
      </c>
      <c r="AD61" s="11" t="str">
        <f t="shared" si="55"/>
        <v>12,670</v>
      </c>
      <c r="AE61" s="11">
        <f t="shared" si="56"/>
        <v>0.18685277777777776</v>
      </c>
      <c r="AF61" s="14">
        <f t="shared" si="57"/>
        <v>26.855367416415184</v>
      </c>
      <c r="AG61" s="39">
        <f t="shared" si="58"/>
        <v>-100</v>
      </c>
      <c r="AH61" s="38">
        <f t="shared" si="332"/>
        <v>18.399999999999999</v>
      </c>
      <c r="AI61" s="124">
        <f t="shared" si="332"/>
        <v>1.0980000000000001</v>
      </c>
      <c r="AJ61" s="124">
        <f t="shared" si="24"/>
        <v>1.087</v>
      </c>
      <c r="AK61" s="41">
        <f t="shared" si="59"/>
        <v>0</v>
      </c>
      <c r="AL61" s="41"/>
      <c r="AM61" s="34">
        <f t="shared" ref="AM61:AN61" si="339">AM60</f>
        <v>2.0049999999999999</v>
      </c>
      <c r="AN61" s="33" t="str">
        <f t="shared" si="339"/>
        <v>7,19,050</v>
      </c>
      <c r="AO61" s="11" t="str">
        <f t="shared" si="61"/>
        <v>7,</v>
      </c>
      <c r="AP61" s="11" t="str">
        <f t="shared" si="62"/>
        <v>19,050</v>
      </c>
      <c r="AQ61" s="11">
        <f t="shared" si="63"/>
        <v>0.12195833333333334</v>
      </c>
      <c r="AR61" s="14">
        <f t="shared" si="64"/>
        <v>16.44004099760847</v>
      </c>
      <c r="AS61" s="39">
        <f t="shared" si="65"/>
        <v>-100</v>
      </c>
      <c r="AT61" s="40" t="str">
        <f t="shared" si="66"/>
        <v>NO CONFORME</v>
      </c>
      <c r="AU61" s="8" t="b">
        <f t="shared" si="28"/>
        <v>1</v>
      </c>
      <c r="AV61" s="8" t="b">
        <f t="shared" si="29"/>
        <v>0</v>
      </c>
      <c r="AW61" s="8" t="b">
        <f t="shared" si="30"/>
        <v>1</v>
      </c>
      <c r="AX61" s="8" t="str">
        <f t="shared" si="31"/>
        <v>Qcorrecto</v>
      </c>
      <c r="AY61" s="22" t="str">
        <f t="shared" si="5"/>
        <v>aceptable</v>
      </c>
      <c r="AZ61" s="22" t="str">
        <f t="shared" si="6"/>
        <v>aceptable</v>
      </c>
      <c r="BA61" s="22" t="str">
        <f t="shared" si="32"/>
        <v>aceptable</v>
      </c>
      <c r="BB61" s="25" t="str">
        <f t="shared" si="33"/>
        <v>NO CONFORME</v>
      </c>
      <c r="BC61" s="5" t="str">
        <f t="shared" si="34"/>
        <v>NO CONFORME</v>
      </c>
      <c r="BD61" s="15">
        <f t="shared" si="7"/>
        <v>-1</v>
      </c>
      <c r="BE61" s="15">
        <f t="shared" si="8"/>
        <v>-1</v>
      </c>
      <c r="BF61" s="15">
        <f t="shared" si="9"/>
        <v>-1</v>
      </c>
      <c r="BG61" s="15" t="str">
        <f t="shared" si="10"/>
        <v>-1-1-1</v>
      </c>
      <c r="BH61" s="15" t="str">
        <f t="shared" si="11"/>
        <v>SD</v>
      </c>
      <c r="BI61" s="15" t="str">
        <f t="shared" si="12"/>
        <v>SI</v>
      </c>
      <c r="BJ61" s="15" t="b">
        <f t="shared" si="13"/>
        <v>1</v>
      </c>
      <c r="BK61" s="15" t="str">
        <f t="shared" si="14"/>
        <v>SIGIGUALES</v>
      </c>
      <c r="BL61" s="22" t="str">
        <f t="shared" si="15"/>
        <v>NO CONFORME</v>
      </c>
    </row>
    <row r="62" spans="1:64" ht="14.4" x14ac:dyDescent="0.3">
      <c r="A62" s="91">
        <v>54</v>
      </c>
      <c r="B62" s="28">
        <f t="shared" ref="B62:D62" si="340">B61</f>
        <v>45920</v>
      </c>
      <c r="C62" s="28">
        <f t="shared" si="340"/>
        <v>45920</v>
      </c>
      <c r="D62" s="12">
        <f t="shared" si="340"/>
        <v>3</v>
      </c>
      <c r="E62" s="10">
        <f t="shared" si="301"/>
        <v>8</v>
      </c>
      <c r="F62" s="13"/>
      <c r="G62" s="157"/>
      <c r="H62" s="70">
        <f t="shared" ref="H62:L62" si="341">H61</f>
        <v>25.6</v>
      </c>
      <c r="I62" s="36">
        <f t="shared" si="341"/>
        <v>0</v>
      </c>
      <c r="J62" s="35">
        <f t="shared" si="341"/>
        <v>20.9</v>
      </c>
      <c r="K62" s="122">
        <f t="shared" si="341"/>
        <v>8.4730000000000008</v>
      </c>
      <c r="L62" s="122">
        <f t="shared" si="341"/>
        <v>0.52100000000000002</v>
      </c>
      <c r="M62" s="41"/>
      <c r="N62" s="41"/>
      <c r="O62" s="32">
        <f t="shared" ref="O62:P62" si="342">O61</f>
        <v>100.48</v>
      </c>
      <c r="P62" s="168" t="str">
        <f t="shared" si="342"/>
        <v>2,29,610</v>
      </c>
      <c r="Q62" s="11" t="str">
        <f t="shared" si="47"/>
        <v>2</v>
      </c>
      <c r="R62" s="11" t="str">
        <f t="shared" si="48"/>
        <v>29,610</v>
      </c>
      <c r="S62" s="11">
        <f t="shared" si="49"/>
        <v>4.1558333333333336E-2</v>
      </c>
      <c r="T62" s="14">
        <f t="shared" si="50"/>
        <v>2417.8062963705634</v>
      </c>
      <c r="U62" s="37">
        <f t="shared" si="51"/>
        <v>-100</v>
      </c>
      <c r="V62" s="38">
        <f t="shared" ref="V62:W62" si="343">V61</f>
        <v>21.3</v>
      </c>
      <c r="W62" s="124">
        <f t="shared" si="343"/>
        <v>1.0960000000000001</v>
      </c>
      <c r="X62" s="124">
        <f t="shared" si="20"/>
        <v>1.0880000000000001</v>
      </c>
      <c r="Y62" s="41"/>
      <c r="Z62" s="41"/>
      <c r="AA62" s="90">
        <f t="shared" ref="AA62:AB62" si="344">AA61</f>
        <v>5.0179999999999998</v>
      </c>
      <c r="AB62" s="73" t="str">
        <f t="shared" si="344"/>
        <v>11,12,670</v>
      </c>
      <c r="AC62" s="11" t="str">
        <f t="shared" si="54"/>
        <v>11</v>
      </c>
      <c r="AD62" s="11" t="str">
        <f t="shared" si="55"/>
        <v>12,670</v>
      </c>
      <c r="AE62" s="11">
        <f t="shared" si="56"/>
        <v>0.18685277777777776</v>
      </c>
      <c r="AF62" s="14">
        <f t="shared" si="57"/>
        <v>26.855367416415184</v>
      </c>
      <c r="AG62" s="39">
        <f t="shared" si="58"/>
        <v>-100</v>
      </c>
      <c r="AH62" s="38">
        <f t="shared" si="332"/>
        <v>18.399999999999999</v>
      </c>
      <c r="AI62" s="124">
        <f t="shared" si="332"/>
        <v>1.0980000000000001</v>
      </c>
      <c r="AJ62" s="124">
        <f t="shared" si="24"/>
        <v>1.087</v>
      </c>
      <c r="AK62" s="41">
        <f t="shared" si="59"/>
        <v>0</v>
      </c>
      <c r="AL62" s="41"/>
      <c r="AM62" s="34">
        <f t="shared" ref="AM62:AN62" si="345">AM61</f>
        <v>2.0049999999999999</v>
      </c>
      <c r="AN62" s="33" t="str">
        <f t="shared" si="345"/>
        <v>7,19,050</v>
      </c>
      <c r="AO62" s="11" t="str">
        <f t="shared" si="61"/>
        <v>7,</v>
      </c>
      <c r="AP62" s="11" t="str">
        <f t="shared" si="62"/>
        <v>19,050</v>
      </c>
      <c r="AQ62" s="11">
        <f t="shared" si="63"/>
        <v>0.12195833333333334</v>
      </c>
      <c r="AR62" s="14">
        <f t="shared" si="64"/>
        <v>16.44004099760847</v>
      </c>
      <c r="AS62" s="39">
        <f t="shared" si="65"/>
        <v>-100</v>
      </c>
      <c r="AT62" s="40" t="str">
        <f t="shared" si="66"/>
        <v>NO CONFORME</v>
      </c>
      <c r="AU62" s="8" t="b">
        <f t="shared" si="28"/>
        <v>1</v>
      </c>
      <c r="AV62" s="8" t="b">
        <f t="shared" si="29"/>
        <v>0</v>
      </c>
      <c r="AW62" s="8" t="b">
        <f t="shared" si="30"/>
        <v>1</v>
      </c>
      <c r="AX62" s="8" t="str">
        <f t="shared" si="31"/>
        <v>Qcorrecto</v>
      </c>
      <c r="AY62" s="22" t="str">
        <f t="shared" si="5"/>
        <v>aceptable</v>
      </c>
      <c r="AZ62" s="22" t="str">
        <f t="shared" si="6"/>
        <v>aceptable</v>
      </c>
      <c r="BA62" s="22" t="str">
        <f t="shared" si="32"/>
        <v>aceptable</v>
      </c>
      <c r="BB62" s="25" t="str">
        <f t="shared" si="33"/>
        <v>NO CONFORME</v>
      </c>
      <c r="BC62" s="5" t="str">
        <f t="shared" si="34"/>
        <v>NO CONFORME</v>
      </c>
      <c r="BD62" s="15">
        <f t="shared" si="7"/>
        <v>-1</v>
      </c>
      <c r="BE62" s="15">
        <f t="shared" si="8"/>
        <v>-1</v>
      </c>
      <c r="BF62" s="15">
        <f t="shared" si="9"/>
        <v>-1</v>
      </c>
      <c r="BG62" s="15" t="str">
        <f t="shared" si="10"/>
        <v>-1-1-1</v>
      </c>
      <c r="BH62" s="15" t="str">
        <f t="shared" si="11"/>
        <v>SD</v>
      </c>
      <c r="BI62" s="15" t="str">
        <f t="shared" si="12"/>
        <v>SI</v>
      </c>
      <c r="BJ62" s="15" t="b">
        <f t="shared" si="13"/>
        <v>1</v>
      </c>
      <c r="BK62" s="15" t="str">
        <f t="shared" si="14"/>
        <v>SIGIGUALES</v>
      </c>
      <c r="BL62" s="22" t="str">
        <f t="shared" si="15"/>
        <v>NO CONFORME</v>
      </c>
    </row>
    <row r="63" spans="1:64" ht="14.4" x14ac:dyDescent="0.3">
      <c r="A63" s="91">
        <v>55</v>
      </c>
      <c r="B63" s="28">
        <f t="shared" ref="B63:D63" si="346">B62</f>
        <v>45920</v>
      </c>
      <c r="C63" s="28">
        <f t="shared" si="346"/>
        <v>45920</v>
      </c>
      <c r="D63" s="12">
        <f t="shared" si="346"/>
        <v>3</v>
      </c>
      <c r="E63" s="10">
        <f t="shared" si="301"/>
        <v>8</v>
      </c>
      <c r="F63" s="13"/>
      <c r="G63" s="157"/>
      <c r="H63" s="70">
        <f t="shared" ref="H63:L63" si="347">H62</f>
        <v>25.6</v>
      </c>
      <c r="I63" s="36">
        <f t="shared" si="347"/>
        <v>0</v>
      </c>
      <c r="J63" s="35">
        <f t="shared" si="347"/>
        <v>20.9</v>
      </c>
      <c r="K63" s="122">
        <f t="shared" si="347"/>
        <v>8.4730000000000008</v>
      </c>
      <c r="L63" s="122">
        <f t="shared" si="347"/>
        <v>0.52100000000000002</v>
      </c>
      <c r="M63" s="41"/>
      <c r="N63" s="41"/>
      <c r="O63" s="32">
        <f t="shared" ref="O63:P63" si="348">O62</f>
        <v>100.48</v>
      </c>
      <c r="P63" s="33" t="str">
        <f t="shared" si="348"/>
        <v>2,29,610</v>
      </c>
      <c r="Q63" s="11" t="str">
        <f t="shared" si="47"/>
        <v>2</v>
      </c>
      <c r="R63" s="11" t="str">
        <f t="shared" si="48"/>
        <v>29,610</v>
      </c>
      <c r="S63" s="11">
        <f t="shared" si="49"/>
        <v>4.1558333333333336E-2</v>
      </c>
      <c r="T63" s="14">
        <f t="shared" si="50"/>
        <v>2417.8062963705634</v>
      </c>
      <c r="U63" s="37">
        <f t="shared" si="51"/>
        <v>-100</v>
      </c>
      <c r="V63" s="38">
        <f t="shared" ref="V63:W63" si="349">V62</f>
        <v>21.3</v>
      </c>
      <c r="W63" s="124">
        <f t="shared" si="349"/>
        <v>1.0960000000000001</v>
      </c>
      <c r="X63" s="124">
        <f t="shared" si="20"/>
        <v>1.0880000000000001</v>
      </c>
      <c r="Y63" s="41"/>
      <c r="Z63" s="41"/>
      <c r="AA63" s="90">
        <f t="shared" ref="AA63:AB63" si="350">AA62</f>
        <v>5.0179999999999998</v>
      </c>
      <c r="AB63" s="73" t="str">
        <f t="shared" si="350"/>
        <v>11,12,670</v>
      </c>
      <c r="AC63" s="11" t="str">
        <f t="shared" si="54"/>
        <v>11</v>
      </c>
      <c r="AD63" s="11" t="str">
        <f t="shared" si="55"/>
        <v>12,670</v>
      </c>
      <c r="AE63" s="11">
        <f t="shared" si="56"/>
        <v>0.18685277777777776</v>
      </c>
      <c r="AF63" s="14">
        <f t="shared" si="57"/>
        <v>26.855367416415184</v>
      </c>
      <c r="AG63" s="39">
        <f t="shared" si="58"/>
        <v>-100</v>
      </c>
      <c r="AH63" s="38">
        <f t="shared" si="332"/>
        <v>18.399999999999999</v>
      </c>
      <c r="AI63" s="124">
        <f t="shared" si="332"/>
        <v>1.0980000000000001</v>
      </c>
      <c r="AJ63" s="124">
        <f t="shared" si="24"/>
        <v>1.087</v>
      </c>
      <c r="AK63" s="41">
        <f t="shared" si="59"/>
        <v>0</v>
      </c>
      <c r="AL63" s="41"/>
      <c r="AM63" s="34">
        <f t="shared" ref="AM63:AN63" si="351">AM62</f>
        <v>2.0049999999999999</v>
      </c>
      <c r="AN63" s="33" t="str">
        <f t="shared" si="351"/>
        <v>7,19,050</v>
      </c>
      <c r="AO63" s="11" t="str">
        <f t="shared" si="61"/>
        <v>7,</v>
      </c>
      <c r="AP63" s="11" t="str">
        <f t="shared" si="62"/>
        <v>19,050</v>
      </c>
      <c r="AQ63" s="11">
        <f t="shared" si="63"/>
        <v>0.12195833333333334</v>
      </c>
      <c r="AR63" s="14">
        <f t="shared" si="64"/>
        <v>16.44004099760847</v>
      </c>
      <c r="AS63" s="39">
        <f t="shared" si="65"/>
        <v>-100</v>
      </c>
      <c r="AT63" s="40" t="str">
        <f t="shared" si="66"/>
        <v>NO CONFORME</v>
      </c>
      <c r="AU63" s="8" t="b">
        <f t="shared" si="28"/>
        <v>1</v>
      </c>
      <c r="AV63" s="8" t="b">
        <f t="shared" si="29"/>
        <v>0</v>
      </c>
      <c r="AW63" s="8" t="b">
        <f t="shared" si="30"/>
        <v>1</v>
      </c>
      <c r="AX63" s="8" t="str">
        <f t="shared" si="31"/>
        <v>Qcorrecto</v>
      </c>
      <c r="AY63" s="22" t="str">
        <f t="shared" si="5"/>
        <v>aceptable</v>
      </c>
      <c r="AZ63" s="22" t="str">
        <f t="shared" si="6"/>
        <v>aceptable</v>
      </c>
      <c r="BA63" s="22" t="str">
        <f t="shared" si="32"/>
        <v>aceptable</v>
      </c>
      <c r="BB63" s="25" t="str">
        <f t="shared" si="33"/>
        <v>NO CONFORME</v>
      </c>
      <c r="BC63" s="5" t="str">
        <f t="shared" si="34"/>
        <v>NO CONFORME</v>
      </c>
      <c r="BD63" s="15">
        <f t="shared" si="7"/>
        <v>-1</v>
      </c>
      <c r="BE63" s="15">
        <f t="shared" si="8"/>
        <v>-1</v>
      </c>
      <c r="BF63" s="15">
        <f t="shared" si="9"/>
        <v>-1</v>
      </c>
      <c r="BG63" s="15" t="str">
        <f t="shared" si="10"/>
        <v>-1-1-1</v>
      </c>
      <c r="BH63" s="15" t="str">
        <f t="shared" si="11"/>
        <v>SD</v>
      </c>
      <c r="BI63" s="15" t="str">
        <f t="shared" si="12"/>
        <v>SI</v>
      </c>
      <c r="BJ63" s="15" t="b">
        <f t="shared" si="13"/>
        <v>1</v>
      </c>
      <c r="BK63" s="15" t="str">
        <f t="shared" si="14"/>
        <v>SIGIGUALES</v>
      </c>
      <c r="BL63" s="22" t="str">
        <f t="shared" si="15"/>
        <v>NO CONFORME</v>
      </c>
    </row>
    <row r="64" spans="1:64" ht="14.4" x14ac:dyDescent="0.3">
      <c r="A64" s="91">
        <v>56</v>
      </c>
      <c r="B64" s="28">
        <f t="shared" ref="B64:D64" si="352">B63</f>
        <v>45920</v>
      </c>
      <c r="C64" s="28">
        <f t="shared" si="352"/>
        <v>45920</v>
      </c>
      <c r="D64" s="12">
        <f t="shared" si="352"/>
        <v>3</v>
      </c>
      <c r="E64" s="10">
        <f t="shared" si="301"/>
        <v>8</v>
      </c>
      <c r="F64" s="13"/>
      <c r="G64" s="157"/>
      <c r="H64" s="70">
        <f t="shared" ref="H64:L64" si="353">H63</f>
        <v>25.6</v>
      </c>
      <c r="I64" s="36">
        <f t="shared" si="353"/>
        <v>0</v>
      </c>
      <c r="J64" s="35">
        <f t="shared" si="353"/>
        <v>20.9</v>
      </c>
      <c r="K64" s="122">
        <f t="shared" si="353"/>
        <v>8.4730000000000008</v>
      </c>
      <c r="L64" s="122">
        <f t="shared" si="353"/>
        <v>0.52100000000000002</v>
      </c>
      <c r="M64" s="41"/>
      <c r="N64" s="41"/>
      <c r="O64" s="32">
        <f t="shared" ref="O64:P64" si="354">O63</f>
        <v>100.48</v>
      </c>
      <c r="P64" s="168" t="str">
        <f t="shared" si="354"/>
        <v>2,29,610</v>
      </c>
      <c r="Q64" s="11" t="str">
        <f t="shared" si="47"/>
        <v>2</v>
      </c>
      <c r="R64" s="11" t="str">
        <f t="shared" si="48"/>
        <v>29,610</v>
      </c>
      <c r="S64" s="11">
        <f t="shared" si="49"/>
        <v>4.1558333333333336E-2</v>
      </c>
      <c r="T64" s="14">
        <f t="shared" si="50"/>
        <v>2417.8062963705634</v>
      </c>
      <c r="U64" s="37">
        <f t="shared" si="51"/>
        <v>-100</v>
      </c>
      <c r="V64" s="38">
        <f t="shared" ref="V64:W64" si="355">V63</f>
        <v>21.3</v>
      </c>
      <c r="W64" s="124">
        <f t="shared" si="355"/>
        <v>1.0960000000000001</v>
      </c>
      <c r="X64" s="124">
        <f t="shared" si="20"/>
        <v>1.0880000000000001</v>
      </c>
      <c r="Y64" s="41"/>
      <c r="Z64" s="41"/>
      <c r="AA64" s="90">
        <f t="shared" ref="AA64:AB64" si="356">AA63</f>
        <v>5.0179999999999998</v>
      </c>
      <c r="AB64" s="73" t="str">
        <f t="shared" si="356"/>
        <v>11,12,670</v>
      </c>
      <c r="AC64" s="11" t="str">
        <f t="shared" si="54"/>
        <v>11</v>
      </c>
      <c r="AD64" s="11" t="str">
        <f t="shared" si="55"/>
        <v>12,670</v>
      </c>
      <c r="AE64" s="11">
        <f t="shared" si="56"/>
        <v>0.18685277777777776</v>
      </c>
      <c r="AF64" s="14">
        <f t="shared" si="57"/>
        <v>26.855367416415184</v>
      </c>
      <c r="AG64" s="39">
        <f t="shared" si="58"/>
        <v>-100</v>
      </c>
      <c r="AH64" s="38">
        <f t="shared" si="332"/>
        <v>18.399999999999999</v>
      </c>
      <c r="AI64" s="124">
        <f t="shared" si="332"/>
        <v>1.0980000000000001</v>
      </c>
      <c r="AJ64" s="124">
        <f t="shared" si="24"/>
        <v>1.087</v>
      </c>
      <c r="AK64" s="41">
        <f t="shared" si="59"/>
        <v>0</v>
      </c>
      <c r="AL64" s="41"/>
      <c r="AM64" s="34">
        <f t="shared" ref="AM64:AN64" si="357">AM63</f>
        <v>2.0049999999999999</v>
      </c>
      <c r="AN64" s="33" t="str">
        <f t="shared" si="357"/>
        <v>7,19,050</v>
      </c>
      <c r="AO64" s="11" t="str">
        <f t="shared" si="61"/>
        <v>7,</v>
      </c>
      <c r="AP64" s="11" t="str">
        <f t="shared" si="62"/>
        <v>19,050</v>
      </c>
      <c r="AQ64" s="11">
        <f t="shared" si="63"/>
        <v>0.12195833333333334</v>
      </c>
      <c r="AR64" s="14">
        <f t="shared" si="64"/>
        <v>16.44004099760847</v>
      </c>
      <c r="AS64" s="39">
        <f t="shared" si="65"/>
        <v>-100</v>
      </c>
      <c r="AT64" s="40" t="str">
        <f t="shared" si="66"/>
        <v>NO CONFORME</v>
      </c>
      <c r="AU64" s="8" t="b">
        <f t="shared" si="28"/>
        <v>1</v>
      </c>
      <c r="AV64" s="8" t="b">
        <f t="shared" si="29"/>
        <v>0</v>
      </c>
      <c r="AW64" s="8" t="b">
        <f t="shared" si="30"/>
        <v>1</v>
      </c>
      <c r="AX64" s="8" t="str">
        <f t="shared" si="31"/>
        <v>Qcorrecto</v>
      </c>
      <c r="AY64" s="22" t="str">
        <f t="shared" si="5"/>
        <v>aceptable</v>
      </c>
      <c r="AZ64" s="22" t="str">
        <f t="shared" si="6"/>
        <v>aceptable</v>
      </c>
      <c r="BA64" s="22" t="str">
        <f t="shared" si="32"/>
        <v>aceptable</v>
      </c>
      <c r="BB64" s="25" t="str">
        <f t="shared" si="33"/>
        <v>NO CONFORME</v>
      </c>
      <c r="BC64" s="5" t="str">
        <f t="shared" si="34"/>
        <v>NO CONFORME</v>
      </c>
      <c r="BD64" s="15">
        <f t="shared" si="7"/>
        <v>-1</v>
      </c>
      <c r="BE64" s="15">
        <f t="shared" si="8"/>
        <v>-1</v>
      </c>
      <c r="BF64" s="15">
        <f t="shared" si="9"/>
        <v>-1</v>
      </c>
      <c r="BG64" s="15" t="str">
        <f t="shared" si="10"/>
        <v>-1-1-1</v>
      </c>
      <c r="BH64" s="15" t="str">
        <f t="shared" si="11"/>
        <v>SD</v>
      </c>
      <c r="BI64" s="15" t="str">
        <f t="shared" si="12"/>
        <v>SI</v>
      </c>
      <c r="BJ64" s="15" t="b">
        <f t="shared" si="13"/>
        <v>1</v>
      </c>
      <c r="BK64" s="15" t="str">
        <f t="shared" si="14"/>
        <v>SIGIGUALES</v>
      </c>
      <c r="BL64" s="22" t="str">
        <f t="shared" si="15"/>
        <v>NO CONFORME</v>
      </c>
    </row>
    <row r="65" spans="1:64" ht="14.4" x14ac:dyDescent="0.3">
      <c r="A65" s="91">
        <v>57</v>
      </c>
      <c r="B65" s="28">
        <f t="shared" ref="B65:D65" si="358">B64</f>
        <v>45920</v>
      </c>
      <c r="C65" s="28">
        <f t="shared" si="358"/>
        <v>45920</v>
      </c>
      <c r="D65" s="12">
        <f t="shared" si="358"/>
        <v>3</v>
      </c>
      <c r="E65" s="10">
        <f t="shared" si="301"/>
        <v>8</v>
      </c>
      <c r="F65" s="13"/>
      <c r="G65" s="157"/>
      <c r="H65" s="70">
        <f t="shared" ref="H65:L65" si="359">H64</f>
        <v>25.6</v>
      </c>
      <c r="I65" s="36">
        <f t="shared" si="359"/>
        <v>0</v>
      </c>
      <c r="J65" s="35">
        <f t="shared" si="359"/>
        <v>20.9</v>
      </c>
      <c r="K65" s="122">
        <f t="shared" si="359"/>
        <v>8.4730000000000008</v>
      </c>
      <c r="L65" s="122">
        <f t="shared" si="359"/>
        <v>0.52100000000000002</v>
      </c>
      <c r="M65" s="41"/>
      <c r="N65" s="41"/>
      <c r="O65" s="32">
        <f t="shared" ref="O65:P65" si="360">O64</f>
        <v>100.48</v>
      </c>
      <c r="P65" s="168" t="str">
        <f t="shared" si="360"/>
        <v>2,29,610</v>
      </c>
      <c r="Q65" s="11" t="str">
        <f t="shared" si="47"/>
        <v>2</v>
      </c>
      <c r="R65" s="11" t="str">
        <f t="shared" si="48"/>
        <v>29,610</v>
      </c>
      <c r="S65" s="11">
        <f t="shared" si="49"/>
        <v>4.1558333333333336E-2</v>
      </c>
      <c r="T65" s="14">
        <f t="shared" si="50"/>
        <v>2417.8062963705634</v>
      </c>
      <c r="U65" s="37">
        <f t="shared" si="51"/>
        <v>-100</v>
      </c>
      <c r="V65" s="38">
        <f t="shared" ref="V65:W65" si="361">V64</f>
        <v>21.3</v>
      </c>
      <c r="W65" s="124">
        <f t="shared" si="361"/>
        <v>1.0960000000000001</v>
      </c>
      <c r="X65" s="124">
        <f t="shared" si="20"/>
        <v>1.0880000000000001</v>
      </c>
      <c r="Y65" s="41"/>
      <c r="Z65" s="41"/>
      <c r="AA65" s="90">
        <f t="shared" ref="AA65:AB65" si="362">AA64</f>
        <v>5.0179999999999998</v>
      </c>
      <c r="AB65" s="73" t="str">
        <f t="shared" si="362"/>
        <v>11,12,670</v>
      </c>
      <c r="AC65" s="11" t="str">
        <f t="shared" si="54"/>
        <v>11</v>
      </c>
      <c r="AD65" s="11" t="str">
        <f t="shared" si="55"/>
        <v>12,670</v>
      </c>
      <c r="AE65" s="11">
        <f t="shared" si="56"/>
        <v>0.18685277777777776</v>
      </c>
      <c r="AF65" s="14">
        <f t="shared" si="57"/>
        <v>26.855367416415184</v>
      </c>
      <c r="AG65" s="39">
        <f t="shared" si="58"/>
        <v>-100</v>
      </c>
      <c r="AH65" s="38">
        <f t="shared" si="332"/>
        <v>18.399999999999999</v>
      </c>
      <c r="AI65" s="124">
        <f t="shared" si="332"/>
        <v>1.0980000000000001</v>
      </c>
      <c r="AJ65" s="124">
        <f t="shared" si="24"/>
        <v>1.087</v>
      </c>
      <c r="AK65" s="41">
        <f t="shared" si="59"/>
        <v>0</v>
      </c>
      <c r="AL65" s="41"/>
      <c r="AM65" s="34">
        <f t="shared" ref="AM65:AN65" si="363">AM64</f>
        <v>2.0049999999999999</v>
      </c>
      <c r="AN65" s="33" t="str">
        <f t="shared" si="363"/>
        <v>7,19,050</v>
      </c>
      <c r="AO65" s="11" t="str">
        <f t="shared" si="61"/>
        <v>7,</v>
      </c>
      <c r="AP65" s="11" t="str">
        <f t="shared" si="62"/>
        <v>19,050</v>
      </c>
      <c r="AQ65" s="11">
        <f t="shared" si="63"/>
        <v>0.12195833333333334</v>
      </c>
      <c r="AR65" s="14">
        <f t="shared" si="64"/>
        <v>16.44004099760847</v>
      </c>
      <c r="AS65" s="39">
        <f t="shared" si="65"/>
        <v>-100</v>
      </c>
      <c r="AT65" s="40" t="str">
        <f t="shared" si="66"/>
        <v>NO CONFORME</v>
      </c>
      <c r="AU65" s="8" t="b">
        <f t="shared" si="28"/>
        <v>1</v>
      </c>
      <c r="AV65" s="8" t="b">
        <f t="shared" si="29"/>
        <v>0</v>
      </c>
      <c r="AW65" s="8" t="b">
        <f t="shared" si="30"/>
        <v>1</v>
      </c>
      <c r="AX65" s="8" t="str">
        <f t="shared" si="31"/>
        <v>Qcorrecto</v>
      </c>
      <c r="AY65" s="22" t="str">
        <f t="shared" si="5"/>
        <v>aceptable</v>
      </c>
      <c r="AZ65" s="22" t="str">
        <f t="shared" si="6"/>
        <v>aceptable</v>
      </c>
      <c r="BA65" s="22" t="str">
        <f t="shared" si="32"/>
        <v>aceptable</v>
      </c>
      <c r="BB65" s="25" t="str">
        <f t="shared" si="33"/>
        <v>NO CONFORME</v>
      </c>
      <c r="BC65" s="5" t="str">
        <f t="shared" si="34"/>
        <v>NO CONFORME</v>
      </c>
      <c r="BD65" s="15">
        <f t="shared" si="7"/>
        <v>-1</v>
      </c>
      <c r="BE65" s="15">
        <f t="shared" si="8"/>
        <v>-1</v>
      </c>
      <c r="BF65" s="15">
        <f t="shared" si="9"/>
        <v>-1</v>
      </c>
      <c r="BG65" s="15" t="str">
        <f t="shared" si="10"/>
        <v>-1-1-1</v>
      </c>
      <c r="BH65" s="15" t="str">
        <f t="shared" si="11"/>
        <v>SD</v>
      </c>
      <c r="BI65" s="15" t="str">
        <f t="shared" si="12"/>
        <v>SI</v>
      </c>
      <c r="BJ65" s="15" t="b">
        <f t="shared" si="13"/>
        <v>1</v>
      </c>
      <c r="BK65" s="15" t="str">
        <f t="shared" si="14"/>
        <v>SIGIGUALES</v>
      </c>
      <c r="BL65" s="22" t="str">
        <f t="shared" si="15"/>
        <v>NO CONFORME</v>
      </c>
    </row>
    <row r="66" spans="1:64" ht="14.4" x14ac:dyDescent="0.3">
      <c r="A66" s="91">
        <v>58</v>
      </c>
      <c r="B66" s="28">
        <f t="shared" ref="B66:D66" si="364">B65</f>
        <v>45920</v>
      </c>
      <c r="C66" s="28">
        <f t="shared" si="364"/>
        <v>45920</v>
      </c>
      <c r="D66" s="12">
        <f t="shared" si="364"/>
        <v>3</v>
      </c>
      <c r="E66" s="10">
        <f t="shared" si="301"/>
        <v>8</v>
      </c>
      <c r="F66" s="13"/>
      <c r="G66" s="157"/>
      <c r="H66" s="70">
        <f t="shared" ref="H66:L66" si="365">H65</f>
        <v>25.6</v>
      </c>
      <c r="I66" s="36">
        <f t="shared" si="365"/>
        <v>0</v>
      </c>
      <c r="J66" s="35">
        <f t="shared" si="365"/>
        <v>20.9</v>
      </c>
      <c r="K66" s="122">
        <f t="shared" si="365"/>
        <v>8.4730000000000008</v>
      </c>
      <c r="L66" s="122">
        <f t="shared" si="365"/>
        <v>0.52100000000000002</v>
      </c>
      <c r="M66" s="41"/>
      <c r="N66" s="41"/>
      <c r="O66" s="32">
        <f t="shared" ref="O66:P66" si="366">O65</f>
        <v>100.48</v>
      </c>
      <c r="P66" s="168" t="str">
        <f t="shared" si="366"/>
        <v>2,29,610</v>
      </c>
      <c r="Q66" s="11" t="str">
        <f t="shared" si="47"/>
        <v>2</v>
      </c>
      <c r="R66" s="11" t="str">
        <f t="shared" si="48"/>
        <v>29,610</v>
      </c>
      <c r="S66" s="11">
        <f t="shared" si="49"/>
        <v>4.1558333333333336E-2</v>
      </c>
      <c r="T66" s="14">
        <f t="shared" si="50"/>
        <v>2417.8062963705634</v>
      </c>
      <c r="U66" s="37">
        <f t="shared" si="51"/>
        <v>-100</v>
      </c>
      <c r="V66" s="38">
        <f t="shared" ref="V66:W66" si="367">V65</f>
        <v>21.3</v>
      </c>
      <c r="W66" s="124">
        <f t="shared" si="367"/>
        <v>1.0960000000000001</v>
      </c>
      <c r="X66" s="124">
        <f t="shared" si="20"/>
        <v>1.0880000000000001</v>
      </c>
      <c r="Y66" s="41"/>
      <c r="Z66" s="41"/>
      <c r="AA66" s="90">
        <f t="shared" ref="AA66:AB66" si="368">AA65</f>
        <v>5.0179999999999998</v>
      </c>
      <c r="AB66" s="73" t="str">
        <f t="shared" si="368"/>
        <v>11,12,670</v>
      </c>
      <c r="AC66" s="11" t="str">
        <f t="shared" si="54"/>
        <v>11</v>
      </c>
      <c r="AD66" s="11" t="str">
        <f t="shared" si="55"/>
        <v>12,670</v>
      </c>
      <c r="AE66" s="11">
        <f t="shared" si="56"/>
        <v>0.18685277777777776</v>
      </c>
      <c r="AF66" s="14">
        <f t="shared" si="57"/>
        <v>26.855367416415184</v>
      </c>
      <c r="AG66" s="39">
        <f t="shared" si="58"/>
        <v>-100</v>
      </c>
      <c r="AH66" s="38">
        <f t="shared" si="332"/>
        <v>18.399999999999999</v>
      </c>
      <c r="AI66" s="124">
        <f t="shared" si="332"/>
        <v>1.0980000000000001</v>
      </c>
      <c r="AJ66" s="124">
        <f t="shared" si="24"/>
        <v>1.087</v>
      </c>
      <c r="AK66" s="41">
        <f t="shared" si="59"/>
        <v>0</v>
      </c>
      <c r="AL66" s="41"/>
      <c r="AM66" s="34">
        <f t="shared" ref="AM66:AN66" si="369">AM65</f>
        <v>2.0049999999999999</v>
      </c>
      <c r="AN66" s="33" t="str">
        <f t="shared" si="369"/>
        <v>7,19,050</v>
      </c>
      <c r="AO66" s="11" t="str">
        <f t="shared" si="61"/>
        <v>7,</v>
      </c>
      <c r="AP66" s="11" t="str">
        <f t="shared" si="62"/>
        <v>19,050</v>
      </c>
      <c r="AQ66" s="11">
        <f t="shared" si="63"/>
        <v>0.12195833333333334</v>
      </c>
      <c r="AR66" s="14">
        <f t="shared" si="64"/>
        <v>16.44004099760847</v>
      </c>
      <c r="AS66" s="39">
        <f t="shared" si="65"/>
        <v>-100</v>
      </c>
      <c r="AT66" s="40" t="str">
        <f t="shared" si="66"/>
        <v>NO CONFORME</v>
      </c>
      <c r="AU66" s="8" t="b">
        <f t="shared" si="28"/>
        <v>1</v>
      </c>
      <c r="AV66" s="8" t="b">
        <f t="shared" si="29"/>
        <v>0</v>
      </c>
      <c r="AW66" s="8" t="b">
        <f t="shared" si="30"/>
        <v>1</v>
      </c>
      <c r="AX66" s="8" t="str">
        <f t="shared" si="31"/>
        <v>Qcorrecto</v>
      </c>
      <c r="AY66" s="22" t="str">
        <f t="shared" si="5"/>
        <v>aceptable</v>
      </c>
      <c r="AZ66" s="22" t="str">
        <f t="shared" si="6"/>
        <v>aceptable</v>
      </c>
      <c r="BA66" s="22" t="str">
        <f t="shared" si="32"/>
        <v>aceptable</v>
      </c>
      <c r="BB66" s="25" t="str">
        <f t="shared" si="33"/>
        <v>NO CONFORME</v>
      </c>
      <c r="BC66" s="5" t="str">
        <f t="shared" si="34"/>
        <v>NO CONFORME</v>
      </c>
      <c r="BD66" s="15">
        <f t="shared" si="7"/>
        <v>-1</v>
      </c>
      <c r="BE66" s="15">
        <f t="shared" si="8"/>
        <v>-1</v>
      </c>
      <c r="BF66" s="15">
        <f t="shared" si="9"/>
        <v>-1</v>
      </c>
      <c r="BG66" s="15" t="str">
        <f t="shared" si="10"/>
        <v>-1-1-1</v>
      </c>
      <c r="BH66" s="15" t="str">
        <f t="shared" si="11"/>
        <v>SD</v>
      </c>
      <c r="BI66" s="15" t="str">
        <f t="shared" si="12"/>
        <v>SI</v>
      </c>
      <c r="BJ66" s="15" t="b">
        <f t="shared" si="13"/>
        <v>1</v>
      </c>
      <c r="BK66" s="15" t="str">
        <f t="shared" si="14"/>
        <v>SIGIGUALES</v>
      </c>
      <c r="BL66" s="22" t="str">
        <f t="shared" si="15"/>
        <v>NO CONFORME</v>
      </c>
    </row>
    <row r="67" spans="1:64" ht="14.4" x14ac:dyDescent="0.3">
      <c r="A67" s="91">
        <v>59</v>
      </c>
      <c r="B67" s="28">
        <f t="shared" ref="B67:D67" si="370">B66</f>
        <v>45920</v>
      </c>
      <c r="C67" s="28">
        <f t="shared" si="370"/>
        <v>45920</v>
      </c>
      <c r="D67" s="12">
        <f t="shared" si="370"/>
        <v>3</v>
      </c>
      <c r="E67" s="10">
        <f t="shared" si="301"/>
        <v>8</v>
      </c>
      <c r="F67" s="13"/>
      <c r="G67" s="157"/>
      <c r="H67" s="70">
        <f t="shared" ref="H67:L67" si="371">H66</f>
        <v>25.6</v>
      </c>
      <c r="I67" s="36">
        <f t="shared" si="371"/>
        <v>0</v>
      </c>
      <c r="J67" s="35">
        <f t="shared" si="371"/>
        <v>20.9</v>
      </c>
      <c r="K67" s="122">
        <f t="shared" si="371"/>
        <v>8.4730000000000008</v>
      </c>
      <c r="L67" s="122">
        <f t="shared" si="371"/>
        <v>0.52100000000000002</v>
      </c>
      <c r="M67" s="41"/>
      <c r="N67" s="41"/>
      <c r="O67" s="32">
        <f t="shared" ref="O67:P67" si="372">O66</f>
        <v>100.48</v>
      </c>
      <c r="P67" s="168" t="str">
        <f t="shared" si="372"/>
        <v>2,29,610</v>
      </c>
      <c r="Q67" s="11" t="str">
        <f t="shared" si="47"/>
        <v>2</v>
      </c>
      <c r="R67" s="11" t="str">
        <f t="shared" si="48"/>
        <v>29,610</v>
      </c>
      <c r="S67" s="11">
        <f t="shared" si="49"/>
        <v>4.1558333333333336E-2</v>
      </c>
      <c r="T67" s="14">
        <f t="shared" si="50"/>
        <v>2417.8062963705634</v>
      </c>
      <c r="U67" s="37">
        <f t="shared" si="51"/>
        <v>-100</v>
      </c>
      <c r="V67" s="38">
        <f t="shared" ref="V67:W67" si="373">V66</f>
        <v>21.3</v>
      </c>
      <c r="W67" s="124">
        <f t="shared" si="373"/>
        <v>1.0960000000000001</v>
      </c>
      <c r="X67" s="124">
        <f t="shared" si="20"/>
        <v>1.0880000000000001</v>
      </c>
      <c r="Y67" s="41"/>
      <c r="Z67" s="41"/>
      <c r="AA67" s="90">
        <f t="shared" ref="AA67:AB67" si="374">AA66</f>
        <v>5.0179999999999998</v>
      </c>
      <c r="AB67" s="73" t="str">
        <f t="shared" si="374"/>
        <v>11,12,670</v>
      </c>
      <c r="AC67" s="11" t="str">
        <f t="shared" si="54"/>
        <v>11</v>
      </c>
      <c r="AD67" s="11" t="str">
        <f t="shared" si="55"/>
        <v>12,670</v>
      </c>
      <c r="AE67" s="11">
        <f t="shared" si="56"/>
        <v>0.18685277777777776</v>
      </c>
      <c r="AF67" s="14">
        <f t="shared" si="57"/>
        <v>26.855367416415184</v>
      </c>
      <c r="AG67" s="39">
        <f t="shared" si="58"/>
        <v>-100</v>
      </c>
      <c r="AH67" s="38">
        <f t="shared" si="332"/>
        <v>18.399999999999999</v>
      </c>
      <c r="AI67" s="124">
        <f t="shared" si="332"/>
        <v>1.0980000000000001</v>
      </c>
      <c r="AJ67" s="124">
        <f t="shared" si="24"/>
        <v>1.087</v>
      </c>
      <c r="AK67" s="41">
        <f t="shared" si="59"/>
        <v>0</v>
      </c>
      <c r="AL67" s="41"/>
      <c r="AM67" s="34">
        <f t="shared" ref="AM67:AN67" si="375">AM66</f>
        <v>2.0049999999999999</v>
      </c>
      <c r="AN67" s="33" t="str">
        <f t="shared" si="375"/>
        <v>7,19,050</v>
      </c>
      <c r="AO67" s="11" t="str">
        <f t="shared" si="61"/>
        <v>7,</v>
      </c>
      <c r="AP67" s="11" t="str">
        <f t="shared" si="62"/>
        <v>19,050</v>
      </c>
      <c r="AQ67" s="11">
        <f t="shared" si="63"/>
        <v>0.12195833333333334</v>
      </c>
      <c r="AR67" s="14">
        <f t="shared" si="64"/>
        <v>16.44004099760847</v>
      </c>
      <c r="AS67" s="39">
        <f t="shared" si="65"/>
        <v>-100</v>
      </c>
      <c r="AT67" s="40" t="str">
        <f t="shared" si="66"/>
        <v>NO CONFORME</v>
      </c>
      <c r="AU67" s="8" t="b">
        <f t="shared" si="28"/>
        <v>1</v>
      </c>
      <c r="AV67" s="8" t="b">
        <f t="shared" si="29"/>
        <v>0</v>
      </c>
      <c r="AW67" s="8" t="b">
        <f t="shared" si="30"/>
        <v>1</v>
      </c>
      <c r="AX67" s="8" t="str">
        <f t="shared" si="31"/>
        <v>Qcorrecto</v>
      </c>
      <c r="AY67" s="22" t="str">
        <f t="shared" si="5"/>
        <v>aceptable</v>
      </c>
      <c r="AZ67" s="22" t="str">
        <f t="shared" si="6"/>
        <v>aceptable</v>
      </c>
      <c r="BA67" s="22" t="str">
        <f t="shared" si="32"/>
        <v>aceptable</v>
      </c>
      <c r="BB67" s="25" t="str">
        <f t="shared" si="33"/>
        <v>NO CONFORME</v>
      </c>
      <c r="BC67" s="5" t="str">
        <f t="shared" si="34"/>
        <v>NO CONFORME</v>
      </c>
      <c r="BD67" s="15">
        <f t="shared" si="7"/>
        <v>-1</v>
      </c>
      <c r="BE67" s="15">
        <f t="shared" si="8"/>
        <v>-1</v>
      </c>
      <c r="BF67" s="15">
        <f t="shared" si="9"/>
        <v>-1</v>
      </c>
      <c r="BG67" s="15" t="str">
        <f t="shared" si="10"/>
        <v>-1-1-1</v>
      </c>
      <c r="BH67" s="15" t="str">
        <f t="shared" si="11"/>
        <v>SD</v>
      </c>
      <c r="BI67" s="15" t="str">
        <f t="shared" si="12"/>
        <v>SI</v>
      </c>
      <c r="BJ67" s="15" t="b">
        <f t="shared" si="13"/>
        <v>1</v>
      </c>
      <c r="BK67" s="15" t="str">
        <f t="shared" si="14"/>
        <v>SIGIGUALES</v>
      </c>
      <c r="BL67" s="22" t="str">
        <f t="shared" si="15"/>
        <v>NO CONFORME</v>
      </c>
    </row>
    <row r="68" spans="1:64" ht="14.4" x14ac:dyDescent="0.3">
      <c r="A68" s="159">
        <v>60</v>
      </c>
      <c r="B68" s="160">
        <f t="shared" ref="B68:D68" si="376">B67</f>
        <v>45920</v>
      </c>
      <c r="C68" s="160">
        <f t="shared" si="376"/>
        <v>45920</v>
      </c>
      <c r="D68" s="161">
        <f t="shared" si="376"/>
        <v>3</v>
      </c>
      <c r="E68" s="10">
        <f t="shared" si="301"/>
        <v>8</v>
      </c>
      <c r="F68" s="45"/>
      <c r="G68" s="157"/>
      <c r="H68" s="162">
        <f t="shared" ref="H68:L68" si="377">H67</f>
        <v>25.6</v>
      </c>
      <c r="I68" s="163">
        <f t="shared" si="377"/>
        <v>0</v>
      </c>
      <c r="J68" s="35">
        <f t="shared" si="377"/>
        <v>20.9</v>
      </c>
      <c r="K68" s="122">
        <f t="shared" si="377"/>
        <v>8.4730000000000008</v>
      </c>
      <c r="L68" s="122">
        <f t="shared" si="377"/>
        <v>0.52100000000000002</v>
      </c>
      <c r="M68" s="166"/>
      <c r="N68" s="166"/>
      <c r="O68" s="32">
        <f t="shared" ref="O68:P68" si="378">O67</f>
        <v>100.48</v>
      </c>
      <c r="P68" s="168" t="str">
        <f t="shared" si="378"/>
        <v>2,29,610</v>
      </c>
      <c r="Q68" s="169" t="str">
        <f t="shared" si="47"/>
        <v>2</v>
      </c>
      <c r="R68" s="169" t="str">
        <f t="shared" si="48"/>
        <v>29,610</v>
      </c>
      <c r="S68" s="169">
        <f t="shared" si="49"/>
        <v>4.1558333333333336E-2</v>
      </c>
      <c r="T68" s="170">
        <f t="shared" si="50"/>
        <v>2417.8062963705634</v>
      </c>
      <c r="U68" s="171">
        <f t="shared" si="51"/>
        <v>-100</v>
      </c>
      <c r="V68" s="38">
        <f t="shared" ref="V68:W68" si="379">V67</f>
        <v>21.3</v>
      </c>
      <c r="W68" s="124">
        <f t="shared" si="379"/>
        <v>1.0960000000000001</v>
      </c>
      <c r="X68" s="124">
        <f t="shared" si="20"/>
        <v>1.0880000000000001</v>
      </c>
      <c r="Y68" s="166"/>
      <c r="Z68" s="166"/>
      <c r="AA68" s="174">
        <f t="shared" ref="AA68:AB68" si="380">AA67</f>
        <v>5.0179999999999998</v>
      </c>
      <c r="AB68" s="175" t="str">
        <f t="shared" si="380"/>
        <v>11,12,670</v>
      </c>
      <c r="AC68" s="169" t="str">
        <f t="shared" si="54"/>
        <v>11</v>
      </c>
      <c r="AD68" s="169" t="str">
        <f t="shared" si="55"/>
        <v>12,670</v>
      </c>
      <c r="AE68" s="169">
        <f t="shared" si="56"/>
        <v>0.18685277777777776</v>
      </c>
      <c r="AF68" s="170">
        <f t="shared" si="57"/>
        <v>26.855367416415184</v>
      </c>
      <c r="AG68" s="176">
        <f t="shared" si="58"/>
        <v>-100</v>
      </c>
      <c r="AH68" s="172">
        <f t="shared" si="332"/>
        <v>18.399999999999999</v>
      </c>
      <c r="AI68" s="173">
        <f t="shared" si="332"/>
        <v>1.0980000000000001</v>
      </c>
      <c r="AJ68" s="173">
        <f t="shared" si="24"/>
        <v>1.087</v>
      </c>
      <c r="AK68" s="166">
        <f t="shared" si="59"/>
        <v>0</v>
      </c>
      <c r="AL68" s="166"/>
      <c r="AM68" s="177">
        <f t="shared" ref="AM68:AN68" si="381">AM67</f>
        <v>2.0049999999999999</v>
      </c>
      <c r="AN68" s="168" t="str">
        <f t="shared" si="381"/>
        <v>7,19,050</v>
      </c>
      <c r="AO68" s="169" t="str">
        <f t="shared" si="61"/>
        <v>7,</v>
      </c>
      <c r="AP68" s="169" t="str">
        <f t="shared" si="62"/>
        <v>19,050</v>
      </c>
      <c r="AQ68" s="169">
        <f t="shared" si="63"/>
        <v>0.12195833333333334</v>
      </c>
      <c r="AR68" s="170">
        <f t="shared" si="64"/>
        <v>16.44004099760847</v>
      </c>
      <c r="AS68" s="176">
        <f t="shared" si="65"/>
        <v>-100</v>
      </c>
      <c r="AT68" s="178" t="str">
        <f t="shared" si="66"/>
        <v>NO CONFORME</v>
      </c>
      <c r="AU68" s="8" t="b">
        <f t="shared" si="28"/>
        <v>1</v>
      </c>
      <c r="AV68" s="8" t="b">
        <f t="shared" si="29"/>
        <v>0</v>
      </c>
      <c r="AW68" s="8" t="b">
        <f t="shared" si="30"/>
        <v>1</v>
      </c>
      <c r="AX68" s="8" t="str">
        <f t="shared" si="31"/>
        <v>Qcorrecto</v>
      </c>
      <c r="AY68" s="179" t="str">
        <f t="shared" si="5"/>
        <v>aceptable</v>
      </c>
      <c r="AZ68" s="179" t="str">
        <f t="shared" si="6"/>
        <v>aceptable</v>
      </c>
      <c r="BA68" s="179" t="str">
        <f t="shared" si="32"/>
        <v>aceptable</v>
      </c>
      <c r="BB68" s="180" t="str">
        <f t="shared" si="33"/>
        <v>NO CONFORME</v>
      </c>
      <c r="BC68" s="181" t="str">
        <f t="shared" si="34"/>
        <v>NO CONFORME</v>
      </c>
      <c r="BD68" s="15">
        <f t="shared" si="7"/>
        <v>-1</v>
      </c>
      <c r="BE68" s="15">
        <f t="shared" si="8"/>
        <v>-1</v>
      </c>
      <c r="BF68" s="15">
        <f t="shared" si="9"/>
        <v>-1</v>
      </c>
      <c r="BG68" s="15" t="str">
        <f t="shared" si="10"/>
        <v>-1-1-1</v>
      </c>
      <c r="BH68" s="15" t="str">
        <f t="shared" si="11"/>
        <v>SD</v>
      </c>
      <c r="BI68" s="15" t="str">
        <f t="shared" si="12"/>
        <v>SI</v>
      </c>
      <c r="BJ68" s="15" t="b">
        <f t="shared" si="13"/>
        <v>1</v>
      </c>
      <c r="BK68" s="15" t="str">
        <f t="shared" si="14"/>
        <v>SIGIGUALES</v>
      </c>
      <c r="BL68" s="179" t="str">
        <f t="shared" si="15"/>
        <v>NO CONFORME</v>
      </c>
    </row>
    <row r="69" spans="1:64" s="187" customFormat="1" ht="14.4" x14ac:dyDescent="0.3">
      <c r="A69" s="10">
        <v>61</v>
      </c>
      <c r="B69" s="28">
        <f t="shared" ref="B69:D69" si="382">B68</f>
        <v>45920</v>
      </c>
      <c r="C69" s="28">
        <f t="shared" si="382"/>
        <v>45920</v>
      </c>
      <c r="D69" s="12">
        <f t="shared" si="382"/>
        <v>3</v>
      </c>
      <c r="E69" s="10">
        <f t="shared" si="301"/>
        <v>8</v>
      </c>
      <c r="F69" s="13"/>
      <c r="G69" s="157"/>
      <c r="H69" s="70">
        <f t="shared" ref="H69:L69" si="383">H68</f>
        <v>25.6</v>
      </c>
      <c r="I69" s="36">
        <f t="shared" si="383"/>
        <v>0</v>
      </c>
      <c r="J69" s="35">
        <f t="shared" si="383"/>
        <v>20.9</v>
      </c>
      <c r="K69" s="122">
        <f t="shared" si="383"/>
        <v>8.4730000000000008</v>
      </c>
      <c r="L69" s="122">
        <f t="shared" si="383"/>
        <v>0.52100000000000002</v>
      </c>
      <c r="M69" s="41"/>
      <c r="N69" s="41"/>
      <c r="O69" s="32">
        <f t="shared" ref="O69:P69" si="384">O68</f>
        <v>100.48</v>
      </c>
      <c r="P69" s="168" t="str">
        <f t="shared" si="384"/>
        <v>2,29,610</v>
      </c>
      <c r="Q69" s="11" t="str">
        <f t="shared" si="47"/>
        <v>2</v>
      </c>
      <c r="R69" s="11" t="str">
        <f t="shared" si="48"/>
        <v>29,610</v>
      </c>
      <c r="S69" s="11">
        <f t="shared" si="49"/>
        <v>4.1558333333333336E-2</v>
      </c>
      <c r="T69" s="14">
        <f t="shared" si="50"/>
        <v>2417.8062963705634</v>
      </c>
      <c r="U69" s="37">
        <f t="shared" si="51"/>
        <v>-100</v>
      </c>
      <c r="V69" s="38">
        <f t="shared" ref="V69:W69" si="385">V68</f>
        <v>21.3</v>
      </c>
      <c r="W69" s="124">
        <f t="shared" si="385"/>
        <v>1.0960000000000001</v>
      </c>
      <c r="X69" s="124">
        <f t="shared" si="20"/>
        <v>1.0880000000000001</v>
      </c>
      <c r="Y69" s="41"/>
      <c r="Z69" s="41"/>
      <c r="AA69" s="90">
        <f t="shared" ref="AA69:AB69" si="386">AA68</f>
        <v>5.0179999999999998</v>
      </c>
      <c r="AB69" s="73" t="str">
        <f t="shared" si="386"/>
        <v>11,12,670</v>
      </c>
      <c r="AC69" s="11" t="str">
        <f t="shared" si="54"/>
        <v>11</v>
      </c>
      <c r="AD69" s="11" t="str">
        <f t="shared" si="55"/>
        <v>12,670</v>
      </c>
      <c r="AE69" s="11">
        <f t="shared" si="56"/>
        <v>0.18685277777777776</v>
      </c>
      <c r="AF69" s="14">
        <f t="shared" si="57"/>
        <v>26.855367416415184</v>
      </c>
      <c r="AG69" s="39">
        <f t="shared" si="58"/>
        <v>-100</v>
      </c>
      <c r="AH69" s="38">
        <f t="shared" si="332"/>
        <v>18.399999999999999</v>
      </c>
      <c r="AI69" s="124">
        <f t="shared" si="332"/>
        <v>1.0980000000000001</v>
      </c>
      <c r="AJ69" s="124">
        <f t="shared" si="24"/>
        <v>1.087</v>
      </c>
      <c r="AK69" s="41">
        <f t="shared" si="59"/>
        <v>0</v>
      </c>
      <c r="AL69" s="41"/>
      <c r="AM69" s="34">
        <f t="shared" ref="AM69:AN69" si="387">AM68</f>
        <v>2.0049999999999999</v>
      </c>
      <c r="AN69" s="33" t="str">
        <f t="shared" si="387"/>
        <v>7,19,050</v>
      </c>
      <c r="AO69" s="11" t="str">
        <f t="shared" si="61"/>
        <v>7,</v>
      </c>
      <c r="AP69" s="11" t="str">
        <f t="shared" si="62"/>
        <v>19,050</v>
      </c>
      <c r="AQ69" s="11">
        <f t="shared" si="63"/>
        <v>0.12195833333333334</v>
      </c>
      <c r="AR69" s="14">
        <f t="shared" si="64"/>
        <v>16.44004099760847</v>
      </c>
      <c r="AS69" s="39">
        <f t="shared" si="65"/>
        <v>-100</v>
      </c>
      <c r="AT69" s="40" t="str">
        <f t="shared" si="66"/>
        <v>NO CONFORME</v>
      </c>
      <c r="AU69" s="183" t="b">
        <f t="shared" si="28"/>
        <v>1</v>
      </c>
      <c r="AV69" s="183" t="b">
        <f t="shared" si="29"/>
        <v>0</v>
      </c>
      <c r="AW69" s="183" t="b">
        <f t="shared" si="30"/>
        <v>1</v>
      </c>
      <c r="AX69" s="183" t="str">
        <f t="shared" si="31"/>
        <v>Qcorrecto</v>
      </c>
      <c r="AY69" s="22" t="str">
        <f t="shared" si="5"/>
        <v>aceptable</v>
      </c>
      <c r="AZ69" s="22" t="str">
        <f t="shared" si="6"/>
        <v>aceptable</v>
      </c>
      <c r="BA69" s="22" t="str">
        <f t="shared" si="32"/>
        <v>aceptable</v>
      </c>
      <c r="BB69" s="184" t="str">
        <f t="shared" si="33"/>
        <v>NO CONFORME</v>
      </c>
      <c r="BC69" s="185" t="str">
        <f t="shared" si="34"/>
        <v>NO CONFORME</v>
      </c>
      <c r="BD69" s="186">
        <f t="shared" si="7"/>
        <v>-1</v>
      </c>
      <c r="BE69" s="186">
        <f t="shared" si="8"/>
        <v>-1</v>
      </c>
      <c r="BF69" s="186">
        <f t="shared" si="9"/>
        <v>-1</v>
      </c>
      <c r="BG69" s="186" t="str">
        <f t="shared" si="10"/>
        <v>-1-1-1</v>
      </c>
      <c r="BH69" s="186" t="str">
        <f t="shared" si="11"/>
        <v>SD</v>
      </c>
      <c r="BI69" s="186" t="str">
        <f t="shared" si="12"/>
        <v>SI</v>
      </c>
      <c r="BJ69" s="186" t="b">
        <f t="shared" si="13"/>
        <v>1</v>
      </c>
      <c r="BK69" s="186" t="str">
        <f t="shared" si="14"/>
        <v>SIGIGUALES</v>
      </c>
      <c r="BL69" s="22" t="str">
        <f t="shared" si="15"/>
        <v>NO CONFORME</v>
      </c>
    </row>
    <row r="70" spans="1:64" s="187" customFormat="1" ht="14.4" x14ac:dyDescent="0.3">
      <c r="A70" s="182">
        <v>62</v>
      </c>
      <c r="B70" s="28">
        <f t="shared" ref="B70:D70" si="388">B69</f>
        <v>45920</v>
      </c>
      <c r="C70" s="28">
        <f t="shared" si="388"/>
        <v>45920</v>
      </c>
      <c r="D70" s="12">
        <f t="shared" si="388"/>
        <v>3</v>
      </c>
      <c r="E70" s="10">
        <f t="shared" si="301"/>
        <v>8</v>
      </c>
      <c r="F70" s="13"/>
      <c r="G70" s="157"/>
      <c r="H70" s="70">
        <f t="shared" ref="H70:L70" si="389">H69</f>
        <v>25.6</v>
      </c>
      <c r="I70" s="36">
        <f t="shared" si="389"/>
        <v>0</v>
      </c>
      <c r="J70" s="35">
        <f t="shared" si="389"/>
        <v>20.9</v>
      </c>
      <c r="K70" s="122">
        <f t="shared" si="389"/>
        <v>8.4730000000000008</v>
      </c>
      <c r="L70" s="122">
        <f t="shared" si="389"/>
        <v>0.52100000000000002</v>
      </c>
      <c r="M70" s="41"/>
      <c r="N70" s="41"/>
      <c r="O70" s="32">
        <f t="shared" ref="O70:P70" si="390">O69</f>
        <v>100.48</v>
      </c>
      <c r="P70" s="168" t="str">
        <f t="shared" si="390"/>
        <v>2,29,610</v>
      </c>
      <c r="Q70" s="11" t="str">
        <f t="shared" si="47"/>
        <v>2</v>
      </c>
      <c r="R70" s="11" t="str">
        <f t="shared" si="48"/>
        <v>29,610</v>
      </c>
      <c r="S70" s="11">
        <f t="shared" si="49"/>
        <v>4.1558333333333336E-2</v>
      </c>
      <c r="T70" s="14">
        <f t="shared" si="50"/>
        <v>2417.8062963705634</v>
      </c>
      <c r="U70" s="37">
        <f t="shared" si="51"/>
        <v>-100</v>
      </c>
      <c r="V70" s="38">
        <f t="shared" ref="V70:W70" si="391">V69</f>
        <v>21.3</v>
      </c>
      <c r="W70" s="124">
        <f t="shared" si="391"/>
        <v>1.0960000000000001</v>
      </c>
      <c r="X70" s="124">
        <f t="shared" si="20"/>
        <v>1.0880000000000001</v>
      </c>
      <c r="Y70" s="41"/>
      <c r="Z70" s="41"/>
      <c r="AA70" s="90">
        <v>5.01</v>
      </c>
      <c r="AB70" s="188" t="s">
        <v>52</v>
      </c>
      <c r="AC70" s="11" t="str">
        <f t="shared" si="54"/>
        <v>11</v>
      </c>
      <c r="AD70" s="11" t="str">
        <f t="shared" si="55"/>
        <v>15,880</v>
      </c>
      <c r="AE70" s="11">
        <f t="shared" si="56"/>
        <v>0.18774444444444444</v>
      </c>
      <c r="AF70" s="14">
        <f t="shared" si="57"/>
        <v>26.685210392377346</v>
      </c>
      <c r="AG70" s="39">
        <f t="shared" si="58"/>
        <v>-100</v>
      </c>
      <c r="AH70" s="38">
        <f t="shared" si="332"/>
        <v>18.399999999999999</v>
      </c>
      <c r="AI70" s="124">
        <f t="shared" si="332"/>
        <v>1.0980000000000001</v>
      </c>
      <c r="AJ70" s="124">
        <f t="shared" si="24"/>
        <v>1.087</v>
      </c>
      <c r="AK70" s="41">
        <f t="shared" si="59"/>
        <v>0</v>
      </c>
      <c r="AL70" s="41"/>
      <c r="AM70" s="34">
        <f t="shared" ref="AM70:AN70" si="392">AM69</f>
        <v>2.0049999999999999</v>
      </c>
      <c r="AN70" s="33" t="str">
        <f t="shared" si="392"/>
        <v>7,19,050</v>
      </c>
      <c r="AO70" s="11" t="str">
        <f t="shared" si="61"/>
        <v>7,</v>
      </c>
      <c r="AP70" s="11" t="str">
        <f t="shared" si="62"/>
        <v>19,050</v>
      </c>
      <c r="AQ70" s="11">
        <f t="shared" si="63"/>
        <v>0.12195833333333334</v>
      </c>
      <c r="AR70" s="14">
        <f t="shared" si="64"/>
        <v>16.44004099760847</v>
      </c>
      <c r="AS70" s="39">
        <f t="shared" si="65"/>
        <v>-100</v>
      </c>
      <c r="AT70" s="40" t="str">
        <f t="shared" si="66"/>
        <v>NO CONFORME</v>
      </c>
      <c r="AU70" s="183" t="b">
        <f t="shared" si="28"/>
        <v>1</v>
      </c>
      <c r="AV70" s="183" t="b">
        <f t="shared" si="29"/>
        <v>0</v>
      </c>
      <c r="AW70" s="183" t="b">
        <f t="shared" si="30"/>
        <v>1</v>
      </c>
      <c r="AX70" s="183" t="str">
        <f t="shared" si="31"/>
        <v>Qcorrecto</v>
      </c>
      <c r="AY70" s="22" t="str">
        <f t="shared" si="5"/>
        <v>aceptable</v>
      </c>
      <c r="AZ70" s="22" t="str">
        <f t="shared" si="6"/>
        <v>aceptable</v>
      </c>
      <c r="BA70" s="22" t="str">
        <f t="shared" si="32"/>
        <v>aceptable</v>
      </c>
      <c r="BB70" s="184" t="str">
        <f t="shared" si="33"/>
        <v>NO CONFORME</v>
      </c>
      <c r="BC70" s="185" t="str">
        <f t="shared" si="34"/>
        <v>NO CONFORME</v>
      </c>
      <c r="BD70" s="186">
        <f t="shared" si="7"/>
        <v>-1</v>
      </c>
      <c r="BE70" s="186">
        <f t="shared" si="8"/>
        <v>-1</v>
      </c>
      <c r="BF70" s="186">
        <f t="shared" si="9"/>
        <v>-1</v>
      </c>
      <c r="BG70" s="186" t="str">
        <f t="shared" si="10"/>
        <v>-1-1-1</v>
      </c>
      <c r="BH70" s="186" t="str">
        <f t="shared" si="11"/>
        <v>SD</v>
      </c>
      <c r="BI70" s="186" t="str">
        <f t="shared" si="12"/>
        <v>SI</v>
      </c>
      <c r="BJ70" s="186" t="b">
        <f t="shared" si="13"/>
        <v>1</v>
      </c>
      <c r="BK70" s="186" t="str">
        <f t="shared" si="14"/>
        <v>SIGIGUALES</v>
      </c>
      <c r="BL70" s="22" t="str">
        <f t="shared" si="15"/>
        <v>NO CONFORME</v>
      </c>
    </row>
    <row r="71" spans="1:64" s="187" customFormat="1" ht="14.4" x14ac:dyDescent="0.3">
      <c r="A71" s="182">
        <v>63</v>
      </c>
      <c r="B71" s="28">
        <f t="shared" ref="B71:D71" si="393">B70</f>
        <v>45920</v>
      </c>
      <c r="C71" s="28">
        <f t="shared" si="393"/>
        <v>45920</v>
      </c>
      <c r="D71" s="12">
        <f t="shared" si="393"/>
        <v>3</v>
      </c>
      <c r="E71" s="10">
        <f t="shared" si="301"/>
        <v>8</v>
      </c>
      <c r="F71" s="13"/>
      <c r="G71" s="157"/>
      <c r="H71" s="70">
        <f t="shared" ref="H71:L71" si="394">H70</f>
        <v>25.6</v>
      </c>
      <c r="I71" s="36">
        <f t="shared" si="394"/>
        <v>0</v>
      </c>
      <c r="J71" s="35">
        <f t="shared" si="394"/>
        <v>20.9</v>
      </c>
      <c r="K71" s="122">
        <f t="shared" si="394"/>
        <v>8.4730000000000008</v>
      </c>
      <c r="L71" s="122">
        <f t="shared" si="394"/>
        <v>0.52100000000000002</v>
      </c>
      <c r="M71" s="41"/>
      <c r="N71" s="41"/>
      <c r="O71" s="32">
        <f t="shared" ref="O71:P71" si="395">O70</f>
        <v>100.48</v>
      </c>
      <c r="P71" s="168" t="str">
        <f t="shared" si="395"/>
        <v>2,29,610</v>
      </c>
      <c r="Q71" s="11" t="str">
        <f t="shared" si="47"/>
        <v>2</v>
      </c>
      <c r="R71" s="11" t="str">
        <f t="shared" si="48"/>
        <v>29,610</v>
      </c>
      <c r="S71" s="11">
        <f t="shared" si="49"/>
        <v>4.1558333333333336E-2</v>
      </c>
      <c r="T71" s="14">
        <f t="shared" si="50"/>
        <v>2417.8062963705634</v>
      </c>
      <c r="U71" s="37">
        <f t="shared" si="51"/>
        <v>-100</v>
      </c>
      <c r="V71" s="38">
        <f t="shared" ref="V71:W71" si="396">V70</f>
        <v>21.3</v>
      </c>
      <c r="W71" s="124">
        <f t="shared" si="396"/>
        <v>1.0960000000000001</v>
      </c>
      <c r="X71" s="124">
        <f t="shared" si="20"/>
        <v>1.0880000000000001</v>
      </c>
      <c r="Y71" s="41"/>
      <c r="Z71" s="41"/>
      <c r="AA71" s="90">
        <f t="shared" ref="AA71:AB71" si="397">AA70</f>
        <v>5.01</v>
      </c>
      <c r="AB71" s="73" t="str">
        <f t="shared" si="397"/>
        <v>11,15,880</v>
      </c>
      <c r="AC71" s="11" t="str">
        <f t="shared" si="54"/>
        <v>11</v>
      </c>
      <c r="AD71" s="11" t="str">
        <f t="shared" si="55"/>
        <v>15,880</v>
      </c>
      <c r="AE71" s="11">
        <f t="shared" si="56"/>
        <v>0.18774444444444444</v>
      </c>
      <c r="AF71" s="14">
        <f t="shared" si="57"/>
        <v>26.685210392377346</v>
      </c>
      <c r="AG71" s="39">
        <f t="shared" si="58"/>
        <v>-100</v>
      </c>
      <c r="AH71" s="38">
        <f t="shared" si="332"/>
        <v>18.399999999999999</v>
      </c>
      <c r="AI71" s="124">
        <f t="shared" si="332"/>
        <v>1.0980000000000001</v>
      </c>
      <c r="AJ71" s="124">
        <f t="shared" si="24"/>
        <v>1.087</v>
      </c>
      <c r="AK71" s="41">
        <f t="shared" si="59"/>
        <v>0</v>
      </c>
      <c r="AL71" s="41"/>
      <c r="AM71" s="34">
        <f t="shared" ref="AM71:AN71" si="398">AM70</f>
        <v>2.0049999999999999</v>
      </c>
      <c r="AN71" s="33" t="str">
        <f t="shared" si="398"/>
        <v>7,19,050</v>
      </c>
      <c r="AO71" s="11" t="str">
        <f t="shared" si="61"/>
        <v>7,</v>
      </c>
      <c r="AP71" s="11" t="str">
        <f t="shared" si="62"/>
        <v>19,050</v>
      </c>
      <c r="AQ71" s="11">
        <f t="shared" si="63"/>
        <v>0.12195833333333334</v>
      </c>
      <c r="AR71" s="14">
        <f t="shared" si="64"/>
        <v>16.44004099760847</v>
      </c>
      <c r="AS71" s="39">
        <f t="shared" si="65"/>
        <v>-100</v>
      </c>
      <c r="AT71" s="40" t="str">
        <f t="shared" si="66"/>
        <v>NO CONFORME</v>
      </c>
      <c r="AU71" s="183" t="b">
        <f t="shared" si="28"/>
        <v>1</v>
      </c>
      <c r="AV71" s="183" t="b">
        <f t="shared" si="29"/>
        <v>0</v>
      </c>
      <c r="AW71" s="183" t="b">
        <f t="shared" si="30"/>
        <v>1</v>
      </c>
      <c r="AX71" s="183" t="str">
        <f t="shared" si="31"/>
        <v>Qcorrecto</v>
      </c>
      <c r="AY71" s="22" t="str">
        <f t="shared" si="5"/>
        <v>aceptable</v>
      </c>
      <c r="AZ71" s="22" t="str">
        <f t="shared" si="6"/>
        <v>aceptable</v>
      </c>
      <c r="BA71" s="22" t="str">
        <f t="shared" si="32"/>
        <v>aceptable</v>
      </c>
      <c r="BB71" s="184" t="str">
        <f t="shared" si="33"/>
        <v>NO CONFORME</v>
      </c>
      <c r="BC71" s="185" t="str">
        <f t="shared" si="34"/>
        <v>NO CONFORME</v>
      </c>
      <c r="BD71" s="186">
        <f t="shared" si="7"/>
        <v>-1</v>
      </c>
      <c r="BE71" s="186">
        <f t="shared" si="8"/>
        <v>-1</v>
      </c>
      <c r="BF71" s="186">
        <f t="shared" si="9"/>
        <v>-1</v>
      </c>
      <c r="BG71" s="186" t="str">
        <f t="shared" si="10"/>
        <v>-1-1-1</v>
      </c>
      <c r="BH71" s="186" t="str">
        <f t="shared" si="11"/>
        <v>SD</v>
      </c>
      <c r="BI71" s="186" t="str">
        <f t="shared" si="12"/>
        <v>SI</v>
      </c>
      <c r="BJ71" s="186" t="b">
        <f t="shared" si="13"/>
        <v>1</v>
      </c>
      <c r="BK71" s="186" t="str">
        <f t="shared" si="14"/>
        <v>SIGIGUALES</v>
      </c>
      <c r="BL71" s="22" t="str">
        <f t="shared" si="15"/>
        <v>NO CONFORME</v>
      </c>
    </row>
    <row r="72" spans="1:64" s="187" customFormat="1" ht="14.4" x14ac:dyDescent="0.3">
      <c r="A72" s="182">
        <v>64</v>
      </c>
      <c r="B72" s="28">
        <f t="shared" ref="B72:D72" si="399">B71</f>
        <v>45920</v>
      </c>
      <c r="C72" s="28">
        <f t="shared" si="399"/>
        <v>45920</v>
      </c>
      <c r="D72" s="12">
        <f t="shared" si="399"/>
        <v>3</v>
      </c>
      <c r="E72" s="10">
        <f t="shared" si="301"/>
        <v>8</v>
      </c>
      <c r="F72" s="13"/>
      <c r="G72" s="157"/>
      <c r="H72" s="70">
        <f t="shared" ref="H72:L72" si="400">H71</f>
        <v>25.6</v>
      </c>
      <c r="I72" s="36">
        <f t="shared" si="400"/>
        <v>0</v>
      </c>
      <c r="J72" s="35">
        <f t="shared" si="400"/>
        <v>20.9</v>
      </c>
      <c r="K72" s="122">
        <f t="shared" si="400"/>
        <v>8.4730000000000008</v>
      </c>
      <c r="L72" s="122">
        <f t="shared" si="400"/>
        <v>0.52100000000000002</v>
      </c>
      <c r="M72" s="41"/>
      <c r="N72" s="41"/>
      <c r="O72" s="32">
        <f t="shared" ref="O72:P72" si="401">O71</f>
        <v>100.48</v>
      </c>
      <c r="P72" s="168" t="str">
        <f t="shared" si="401"/>
        <v>2,29,610</v>
      </c>
      <c r="Q72" s="11" t="str">
        <f t="shared" si="47"/>
        <v>2</v>
      </c>
      <c r="R72" s="11" t="str">
        <f t="shared" si="48"/>
        <v>29,610</v>
      </c>
      <c r="S72" s="11">
        <f t="shared" si="49"/>
        <v>4.1558333333333336E-2</v>
      </c>
      <c r="T72" s="14">
        <f t="shared" si="50"/>
        <v>2417.8062963705634</v>
      </c>
      <c r="U72" s="37">
        <f t="shared" si="51"/>
        <v>-100</v>
      </c>
      <c r="V72" s="38">
        <f t="shared" ref="V72:W72" si="402">V71</f>
        <v>21.3</v>
      </c>
      <c r="W72" s="124">
        <f t="shared" si="402"/>
        <v>1.0960000000000001</v>
      </c>
      <c r="X72" s="124">
        <f t="shared" si="20"/>
        <v>1.0880000000000001</v>
      </c>
      <c r="Y72" s="41"/>
      <c r="Z72" s="41"/>
      <c r="AA72" s="90">
        <f t="shared" ref="AA72:AB72" si="403">AA71</f>
        <v>5.01</v>
      </c>
      <c r="AB72" s="73" t="str">
        <f t="shared" si="403"/>
        <v>11,15,880</v>
      </c>
      <c r="AC72" s="11" t="str">
        <f t="shared" si="54"/>
        <v>11</v>
      </c>
      <c r="AD72" s="11" t="str">
        <f t="shared" si="55"/>
        <v>15,880</v>
      </c>
      <c r="AE72" s="11">
        <f t="shared" si="56"/>
        <v>0.18774444444444444</v>
      </c>
      <c r="AF72" s="14">
        <f t="shared" si="57"/>
        <v>26.685210392377346</v>
      </c>
      <c r="AG72" s="39">
        <f t="shared" si="58"/>
        <v>-100</v>
      </c>
      <c r="AH72" s="38">
        <f t="shared" si="332"/>
        <v>18.399999999999999</v>
      </c>
      <c r="AI72" s="124">
        <f t="shared" si="332"/>
        <v>1.0980000000000001</v>
      </c>
      <c r="AJ72" s="124">
        <f t="shared" si="24"/>
        <v>1.087</v>
      </c>
      <c r="AK72" s="41">
        <f t="shared" si="59"/>
        <v>0</v>
      </c>
      <c r="AL72" s="41"/>
      <c r="AM72" s="34">
        <f t="shared" ref="AM72:AN72" si="404">AM71</f>
        <v>2.0049999999999999</v>
      </c>
      <c r="AN72" s="33" t="str">
        <f t="shared" si="404"/>
        <v>7,19,050</v>
      </c>
      <c r="AO72" s="11" t="str">
        <f t="shared" si="61"/>
        <v>7,</v>
      </c>
      <c r="AP72" s="11" t="str">
        <f t="shared" si="62"/>
        <v>19,050</v>
      </c>
      <c r="AQ72" s="11">
        <f t="shared" si="63"/>
        <v>0.12195833333333334</v>
      </c>
      <c r="AR72" s="14">
        <f t="shared" si="64"/>
        <v>16.44004099760847</v>
      </c>
      <c r="AS72" s="39">
        <f t="shared" si="65"/>
        <v>-100</v>
      </c>
      <c r="AT72" s="40" t="str">
        <f t="shared" si="66"/>
        <v>NO CONFORME</v>
      </c>
      <c r="AU72" s="183" t="b">
        <f t="shared" si="28"/>
        <v>1</v>
      </c>
      <c r="AV72" s="183" t="b">
        <f t="shared" si="29"/>
        <v>0</v>
      </c>
      <c r="AW72" s="183" t="b">
        <f t="shared" si="30"/>
        <v>1</v>
      </c>
      <c r="AX72" s="183" t="str">
        <f t="shared" si="31"/>
        <v>Qcorrecto</v>
      </c>
      <c r="AY72" s="22" t="str">
        <f t="shared" si="5"/>
        <v>aceptable</v>
      </c>
      <c r="AZ72" s="22" t="str">
        <f t="shared" si="6"/>
        <v>aceptable</v>
      </c>
      <c r="BA72" s="22" t="str">
        <f t="shared" si="32"/>
        <v>aceptable</v>
      </c>
      <c r="BB72" s="184" t="str">
        <f t="shared" si="33"/>
        <v>NO CONFORME</v>
      </c>
      <c r="BC72" s="185" t="str">
        <f t="shared" si="34"/>
        <v>NO CONFORME</v>
      </c>
      <c r="BD72" s="186">
        <f t="shared" si="7"/>
        <v>-1</v>
      </c>
      <c r="BE72" s="186">
        <f t="shared" si="8"/>
        <v>-1</v>
      </c>
      <c r="BF72" s="186">
        <f t="shared" si="9"/>
        <v>-1</v>
      </c>
      <c r="BG72" s="186" t="str">
        <f t="shared" si="10"/>
        <v>-1-1-1</v>
      </c>
      <c r="BH72" s="186" t="str">
        <f t="shared" si="11"/>
        <v>SD</v>
      </c>
      <c r="BI72" s="186" t="str">
        <f t="shared" si="12"/>
        <v>SI</v>
      </c>
      <c r="BJ72" s="186" t="b">
        <f t="shared" si="13"/>
        <v>1</v>
      </c>
      <c r="BK72" s="186" t="str">
        <f t="shared" si="14"/>
        <v>SIGIGUALES</v>
      </c>
      <c r="BL72" s="22" t="str">
        <f t="shared" si="15"/>
        <v>NO CONFORME</v>
      </c>
    </row>
    <row r="73" spans="1:64" s="187" customFormat="1" ht="14.4" x14ac:dyDescent="0.3">
      <c r="A73" s="182">
        <v>65</v>
      </c>
      <c r="B73" s="28">
        <f t="shared" ref="B73:D73" si="405">B72</f>
        <v>45920</v>
      </c>
      <c r="C73" s="28">
        <f t="shared" si="405"/>
        <v>45920</v>
      </c>
      <c r="D73" s="12">
        <f t="shared" si="405"/>
        <v>3</v>
      </c>
      <c r="E73" s="10">
        <f t="shared" si="301"/>
        <v>8</v>
      </c>
      <c r="F73" s="13"/>
      <c r="G73" s="157"/>
      <c r="H73" s="70">
        <f t="shared" ref="H73:L73" si="406">H72</f>
        <v>25.6</v>
      </c>
      <c r="I73" s="36">
        <f t="shared" si="406"/>
        <v>0</v>
      </c>
      <c r="J73" s="35">
        <f t="shared" si="406"/>
        <v>20.9</v>
      </c>
      <c r="K73" s="122">
        <f t="shared" si="406"/>
        <v>8.4730000000000008</v>
      </c>
      <c r="L73" s="122">
        <f t="shared" si="406"/>
        <v>0.52100000000000002</v>
      </c>
      <c r="M73" s="41"/>
      <c r="N73" s="41"/>
      <c r="O73" s="32">
        <f t="shared" ref="O73:P73" si="407">O72</f>
        <v>100.48</v>
      </c>
      <c r="P73" s="168" t="str">
        <f t="shared" si="407"/>
        <v>2,29,610</v>
      </c>
      <c r="Q73" s="11" t="str">
        <f t="shared" si="47"/>
        <v>2</v>
      </c>
      <c r="R73" s="11" t="str">
        <f t="shared" si="48"/>
        <v>29,610</v>
      </c>
      <c r="S73" s="11">
        <f t="shared" si="49"/>
        <v>4.1558333333333336E-2</v>
      </c>
      <c r="T73" s="14">
        <f t="shared" si="50"/>
        <v>2417.8062963705634</v>
      </c>
      <c r="U73" s="37">
        <f t="shared" si="51"/>
        <v>-100</v>
      </c>
      <c r="V73" s="38">
        <f t="shared" ref="V73:W73" si="408">V72</f>
        <v>21.3</v>
      </c>
      <c r="W73" s="124">
        <f t="shared" si="408"/>
        <v>1.0960000000000001</v>
      </c>
      <c r="X73" s="124">
        <f t="shared" si="20"/>
        <v>1.0880000000000001</v>
      </c>
      <c r="Y73" s="41"/>
      <c r="Z73" s="41"/>
      <c r="AA73" s="90">
        <f t="shared" ref="AA73:AB73" si="409">AA72</f>
        <v>5.01</v>
      </c>
      <c r="AB73" s="73" t="str">
        <f t="shared" si="409"/>
        <v>11,15,880</v>
      </c>
      <c r="AC73" s="11" t="str">
        <f t="shared" si="54"/>
        <v>11</v>
      </c>
      <c r="AD73" s="11" t="str">
        <f t="shared" si="55"/>
        <v>15,880</v>
      </c>
      <c r="AE73" s="11">
        <f t="shared" si="56"/>
        <v>0.18774444444444444</v>
      </c>
      <c r="AF73" s="14">
        <f t="shared" si="57"/>
        <v>26.685210392377346</v>
      </c>
      <c r="AG73" s="39">
        <f t="shared" si="58"/>
        <v>-100</v>
      </c>
      <c r="AH73" s="38">
        <f t="shared" si="332"/>
        <v>18.399999999999999</v>
      </c>
      <c r="AI73" s="124">
        <f t="shared" si="332"/>
        <v>1.0980000000000001</v>
      </c>
      <c r="AJ73" s="124">
        <f t="shared" si="24"/>
        <v>1.087</v>
      </c>
      <c r="AK73" s="41">
        <f t="shared" si="59"/>
        <v>0</v>
      </c>
      <c r="AL73" s="41"/>
      <c r="AM73" s="34">
        <f t="shared" ref="AM73:AN73" si="410">AM72</f>
        <v>2.0049999999999999</v>
      </c>
      <c r="AN73" s="33" t="str">
        <f t="shared" si="410"/>
        <v>7,19,050</v>
      </c>
      <c r="AO73" s="11" t="str">
        <f t="shared" si="61"/>
        <v>7,</v>
      </c>
      <c r="AP73" s="11" t="str">
        <f t="shared" si="62"/>
        <v>19,050</v>
      </c>
      <c r="AQ73" s="11">
        <f t="shared" si="63"/>
        <v>0.12195833333333334</v>
      </c>
      <c r="AR73" s="14">
        <f t="shared" si="64"/>
        <v>16.44004099760847</v>
      </c>
      <c r="AS73" s="39">
        <f t="shared" si="65"/>
        <v>-100</v>
      </c>
      <c r="AT73" s="40" t="str">
        <f t="shared" si="66"/>
        <v>NO CONFORME</v>
      </c>
      <c r="AU73" s="183" t="b">
        <f t="shared" si="28"/>
        <v>1</v>
      </c>
      <c r="AV73" s="183" t="b">
        <f t="shared" si="29"/>
        <v>0</v>
      </c>
      <c r="AW73" s="183" t="b">
        <f t="shared" si="30"/>
        <v>1</v>
      </c>
      <c r="AX73" s="183" t="str">
        <f t="shared" si="31"/>
        <v>Qcorrecto</v>
      </c>
      <c r="AY73" s="22" t="str">
        <f t="shared" si="5"/>
        <v>aceptable</v>
      </c>
      <c r="AZ73" s="22" t="str">
        <f t="shared" si="6"/>
        <v>aceptable</v>
      </c>
      <c r="BA73" s="22" t="str">
        <f t="shared" si="32"/>
        <v>aceptable</v>
      </c>
      <c r="BB73" s="184" t="str">
        <f t="shared" si="33"/>
        <v>NO CONFORME</v>
      </c>
      <c r="BC73" s="185" t="str">
        <f t="shared" si="34"/>
        <v>NO CONFORME</v>
      </c>
      <c r="BD73" s="186">
        <f t="shared" si="7"/>
        <v>-1</v>
      </c>
      <c r="BE73" s="186">
        <f t="shared" si="8"/>
        <v>-1</v>
      </c>
      <c r="BF73" s="186">
        <f t="shared" si="9"/>
        <v>-1</v>
      </c>
      <c r="BG73" s="186" t="str">
        <f t="shared" si="10"/>
        <v>-1-1-1</v>
      </c>
      <c r="BH73" s="186" t="str">
        <f t="shared" si="11"/>
        <v>SD</v>
      </c>
      <c r="BI73" s="186" t="str">
        <f t="shared" si="12"/>
        <v>SI</v>
      </c>
      <c r="BJ73" s="186" t="b">
        <f t="shared" si="13"/>
        <v>1</v>
      </c>
      <c r="BK73" s="186" t="str">
        <f t="shared" si="14"/>
        <v>SIGIGUALES</v>
      </c>
      <c r="BL73" s="22" t="str">
        <f t="shared" si="15"/>
        <v>NO CONFORME</v>
      </c>
    </row>
    <row r="74" spans="1:64" s="187" customFormat="1" ht="14.4" x14ac:dyDescent="0.3">
      <c r="A74" s="182">
        <v>66</v>
      </c>
      <c r="B74" s="28">
        <f t="shared" ref="B74:D74" si="411">B73</f>
        <v>45920</v>
      </c>
      <c r="C74" s="28">
        <f t="shared" si="411"/>
        <v>45920</v>
      </c>
      <c r="D74" s="12">
        <f t="shared" si="411"/>
        <v>3</v>
      </c>
      <c r="E74" s="10">
        <f t="shared" si="301"/>
        <v>8</v>
      </c>
      <c r="F74" s="13"/>
      <c r="G74" s="157"/>
      <c r="H74" s="70">
        <f t="shared" ref="H74:L74" si="412">H73</f>
        <v>25.6</v>
      </c>
      <c r="I74" s="36">
        <f t="shared" si="412"/>
        <v>0</v>
      </c>
      <c r="J74" s="35">
        <f t="shared" si="412"/>
        <v>20.9</v>
      </c>
      <c r="K74" s="122">
        <f t="shared" si="412"/>
        <v>8.4730000000000008</v>
      </c>
      <c r="L74" s="122">
        <f t="shared" si="412"/>
        <v>0.52100000000000002</v>
      </c>
      <c r="M74" s="41"/>
      <c r="N74" s="41"/>
      <c r="O74" s="32">
        <f t="shared" ref="O74:P74" si="413">O73</f>
        <v>100.48</v>
      </c>
      <c r="P74" s="168" t="str">
        <f t="shared" si="413"/>
        <v>2,29,610</v>
      </c>
      <c r="Q74" s="11" t="str">
        <f t="shared" si="47"/>
        <v>2</v>
      </c>
      <c r="R74" s="11" t="str">
        <f t="shared" si="48"/>
        <v>29,610</v>
      </c>
      <c r="S74" s="11">
        <f t="shared" si="49"/>
        <v>4.1558333333333336E-2</v>
      </c>
      <c r="T74" s="14">
        <f t="shared" si="50"/>
        <v>2417.8062963705634</v>
      </c>
      <c r="U74" s="37">
        <f t="shared" si="51"/>
        <v>-100</v>
      </c>
      <c r="V74" s="38">
        <f t="shared" ref="V74:W74" si="414">V73</f>
        <v>21.3</v>
      </c>
      <c r="W74" s="124">
        <f t="shared" si="414"/>
        <v>1.0960000000000001</v>
      </c>
      <c r="X74" s="124">
        <f t="shared" si="20"/>
        <v>1.0880000000000001</v>
      </c>
      <c r="Y74" s="41"/>
      <c r="Z74" s="41"/>
      <c r="AA74" s="90">
        <f t="shared" ref="AA74:AB74" si="415">AA73</f>
        <v>5.01</v>
      </c>
      <c r="AB74" s="73" t="str">
        <f t="shared" si="415"/>
        <v>11,15,880</v>
      </c>
      <c r="AC74" s="11" t="str">
        <f t="shared" si="54"/>
        <v>11</v>
      </c>
      <c r="AD74" s="11" t="str">
        <f t="shared" si="55"/>
        <v>15,880</v>
      </c>
      <c r="AE74" s="11">
        <f t="shared" si="56"/>
        <v>0.18774444444444444</v>
      </c>
      <c r="AF74" s="14">
        <f t="shared" si="57"/>
        <v>26.685210392377346</v>
      </c>
      <c r="AG74" s="39">
        <f t="shared" si="58"/>
        <v>-100</v>
      </c>
      <c r="AH74" s="38">
        <f t="shared" si="332"/>
        <v>18.399999999999999</v>
      </c>
      <c r="AI74" s="124">
        <f t="shared" si="332"/>
        <v>1.0980000000000001</v>
      </c>
      <c r="AJ74" s="124">
        <f t="shared" si="24"/>
        <v>1.087</v>
      </c>
      <c r="AK74" s="41">
        <f t="shared" si="59"/>
        <v>0</v>
      </c>
      <c r="AL74" s="41"/>
      <c r="AM74" s="34">
        <f t="shared" ref="AM74:AN74" si="416">AM73</f>
        <v>2.0049999999999999</v>
      </c>
      <c r="AN74" s="33" t="str">
        <f t="shared" si="416"/>
        <v>7,19,050</v>
      </c>
      <c r="AO74" s="11" t="str">
        <f t="shared" si="61"/>
        <v>7,</v>
      </c>
      <c r="AP74" s="11" t="str">
        <f t="shared" si="62"/>
        <v>19,050</v>
      </c>
      <c r="AQ74" s="11">
        <f t="shared" si="63"/>
        <v>0.12195833333333334</v>
      </c>
      <c r="AR74" s="14">
        <f t="shared" si="64"/>
        <v>16.44004099760847</v>
      </c>
      <c r="AS74" s="39">
        <f t="shared" si="65"/>
        <v>-100</v>
      </c>
      <c r="AT74" s="40" t="str">
        <f t="shared" si="66"/>
        <v>NO CONFORME</v>
      </c>
      <c r="AU74" s="183" t="b">
        <f t="shared" si="28"/>
        <v>1</v>
      </c>
      <c r="AV74" s="183" t="b">
        <f t="shared" si="29"/>
        <v>0</v>
      </c>
      <c r="AW74" s="183" t="b">
        <f t="shared" si="30"/>
        <v>1</v>
      </c>
      <c r="AX74" s="183" t="str">
        <f t="shared" si="31"/>
        <v>Qcorrecto</v>
      </c>
      <c r="AY74" s="22" t="str">
        <f t="shared" ref="AY74:AY137" si="417">IF(AR74&lt;$AH$6,"error",IF(AR74&gt;$AH$6*1.1,"error","aceptable"))</f>
        <v>aceptable</v>
      </c>
      <c r="AZ74" s="22" t="str">
        <f t="shared" ref="AZ74:AZ137" si="418">IF(AF74&lt;$V$6,"error",IF(AF74&gt;$V$6*1.1,"error","aceptable"))</f>
        <v>aceptable</v>
      </c>
      <c r="BA74" s="22" t="str">
        <f t="shared" si="32"/>
        <v>aceptable</v>
      </c>
      <c r="BB74" s="184" t="str">
        <f t="shared" si="33"/>
        <v>NO CONFORME</v>
      </c>
      <c r="BC74" s="185" t="str">
        <f t="shared" si="34"/>
        <v>NO CONFORME</v>
      </c>
      <c r="BD74" s="186">
        <f t="shared" ref="BD74:BD137" si="419">SIGN(U74)</f>
        <v>-1</v>
      </c>
      <c r="BE74" s="186">
        <f t="shared" ref="BE74:BE137" si="420">SIGN(AG74)</f>
        <v>-1</v>
      </c>
      <c r="BF74" s="186">
        <f t="shared" ref="BF74:BF137" si="421">SIGN(AS74)</f>
        <v>-1</v>
      </c>
      <c r="BG74" s="186" t="str">
        <f t="shared" ref="BG74:BG137" si="422">CONCATENATE(BD74,BE74,BF74)</f>
        <v>-1-1-1</v>
      </c>
      <c r="BH74" s="186" t="str">
        <f t="shared" ref="BH74:BH137" si="423">IF(BG74="111","SI","SD")</f>
        <v>SD</v>
      </c>
      <c r="BI74" s="186" t="str">
        <f t="shared" ref="BI74:BI137" si="424">IF(BG74="-1-1-1","SI","SD")</f>
        <v>SI</v>
      </c>
      <c r="BJ74" s="186" t="b">
        <f t="shared" ref="BJ74:BJ137" si="425">OR(BH74="SI",BI74="SI")</f>
        <v>1</v>
      </c>
      <c r="BK74" s="186" t="str">
        <f t="shared" ref="BK74:BK137" si="426">IF(BJ74=FALSE,"SIGDIFERENTES","SIGIGUALES")</f>
        <v>SIGIGUALES</v>
      </c>
      <c r="BL74" s="22" t="str">
        <f t="shared" ref="BL74:BL137" si="427">IF(BC74="NO CONFORME","NO CONFORME",IF(BB74="CONFORME","CONFORME","NO CONFORME"))</f>
        <v>NO CONFORME</v>
      </c>
    </row>
    <row r="75" spans="1:64" s="187" customFormat="1" ht="14.4" x14ac:dyDescent="0.3">
      <c r="A75" s="182">
        <v>67</v>
      </c>
      <c r="B75" s="28">
        <f t="shared" ref="B75:D75" si="428">B74</f>
        <v>45920</v>
      </c>
      <c r="C75" s="28">
        <f t="shared" si="428"/>
        <v>45920</v>
      </c>
      <c r="D75" s="12">
        <f t="shared" si="428"/>
        <v>3</v>
      </c>
      <c r="E75" s="10">
        <f t="shared" si="301"/>
        <v>8</v>
      </c>
      <c r="F75" s="13"/>
      <c r="G75" s="157"/>
      <c r="H75" s="70">
        <f t="shared" ref="H75:L75" si="429">H74</f>
        <v>25.6</v>
      </c>
      <c r="I75" s="36">
        <f t="shared" si="429"/>
        <v>0</v>
      </c>
      <c r="J75" s="35">
        <f t="shared" si="429"/>
        <v>20.9</v>
      </c>
      <c r="K75" s="122">
        <f t="shared" si="429"/>
        <v>8.4730000000000008</v>
      </c>
      <c r="L75" s="122">
        <f t="shared" si="429"/>
        <v>0.52100000000000002</v>
      </c>
      <c r="M75" s="41"/>
      <c r="N75" s="41"/>
      <c r="O75" s="32">
        <f t="shared" ref="O75:P75" si="430">O74</f>
        <v>100.48</v>
      </c>
      <c r="P75" s="168" t="str">
        <f t="shared" si="430"/>
        <v>2,29,610</v>
      </c>
      <c r="Q75" s="11" t="str">
        <f t="shared" si="47"/>
        <v>2</v>
      </c>
      <c r="R75" s="11" t="str">
        <f t="shared" si="48"/>
        <v>29,610</v>
      </c>
      <c r="S75" s="11">
        <f t="shared" si="49"/>
        <v>4.1558333333333336E-2</v>
      </c>
      <c r="T75" s="14">
        <f t="shared" si="50"/>
        <v>2417.8062963705634</v>
      </c>
      <c r="U75" s="37">
        <f t="shared" si="51"/>
        <v>-100</v>
      </c>
      <c r="V75" s="38">
        <f t="shared" ref="V75:X90" si="431">V74</f>
        <v>21.3</v>
      </c>
      <c r="W75" s="124">
        <f t="shared" si="431"/>
        <v>1.0960000000000001</v>
      </c>
      <c r="X75" s="124">
        <f t="shared" si="431"/>
        <v>1.0880000000000001</v>
      </c>
      <c r="Y75" s="41"/>
      <c r="Z75" s="41"/>
      <c r="AA75" s="90">
        <f t="shared" ref="AA75:AB75" si="432">AA74</f>
        <v>5.01</v>
      </c>
      <c r="AB75" s="73" t="str">
        <f t="shared" si="432"/>
        <v>11,15,880</v>
      </c>
      <c r="AC75" s="11" t="str">
        <f t="shared" si="54"/>
        <v>11</v>
      </c>
      <c r="AD75" s="11" t="str">
        <f t="shared" si="55"/>
        <v>15,880</v>
      </c>
      <c r="AE75" s="11">
        <f t="shared" si="56"/>
        <v>0.18774444444444444</v>
      </c>
      <c r="AF75" s="14">
        <f t="shared" si="57"/>
        <v>26.685210392377346</v>
      </c>
      <c r="AG75" s="39">
        <f t="shared" si="58"/>
        <v>-100</v>
      </c>
      <c r="AH75" s="38">
        <f t="shared" si="332"/>
        <v>18.399999999999999</v>
      </c>
      <c r="AI75" s="124">
        <f t="shared" si="332"/>
        <v>1.0980000000000001</v>
      </c>
      <c r="AJ75" s="124">
        <f t="shared" si="332"/>
        <v>1.087</v>
      </c>
      <c r="AK75" s="41">
        <f t="shared" si="59"/>
        <v>0</v>
      </c>
      <c r="AL75" s="41"/>
      <c r="AM75" s="34">
        <f t="shared" ref="AM75:AN75" si="433">AM74</f>
        <v>2.0049999999999999</v>
      </c>
      <c r="AN75" s="33" t="str">
        <f t="shared" si="433"/>
        <v>7,19,050</v>
      </c>
      <c r="AO75" s="11" t="str">
        <f t="shared" si="61"/>
        <v>7,</v>
      </c>
      <c r="AP75" s="11" t="str">
        <f t="shared" si="62"/>
        <v>19,050</v>
      </c>
      <c r="AQ75" s="11">
        <f t="shared" si="63"/>
        <v>0.12195833333333334</v>
      </c>
      <c r="AR75" s="14">
        <f t="shared" si="64"/>
        <v>16.44004099760847</v>
      </c>
      <c r="AS75" s="39">
        <f t="shared" si="65"/>
        <v>-100</v>
      </c>
      <c r="AT75" s="40" t="str">
        <f t="shared" si="66"/>
        <v>NO CONFORME</v>
      </c>
      <c r="AU75" s="183" t="b">
        <f t="shared" ref="AU75:AU138" si="434">B75&lt;=C75</f>
        <v>1</v>
      </c>
      <c r="AV75" s="183" t="b">
        <f t="shared" ref="AV75:AV138" si="435">N75&lt;Y75</f>
        <v>0</v>
      </c>
      <c r="AW75" s="183" t="b">
        <f t="shared" ref="AW75:AW138" si="436">Z75&lt;=AK75</f>
        <v>1</v>
      </c>
      <c r="AX75" s="183" t="str">
        <f t="shared" ref="AX75:AX138" si="437">IF(I75&gt;=1,"Qcorrecto",IF(AND(AY75="aceptable",AZ75="aceptable",BA75="aceptable"),"Qcorrecto","Qincorrecto"))</f>
        <v>Qcorrecto</v>
      </c>
      <c r="AY75" s="22" t="str">
        <f t="shared" si="417"/>
        <v>aceptable</v>
      </c>
      <c r="AZ75" s="22" t="str">
        <f t="shared" si="418"/>
        <v>aceptable</v>
      </c>
      <c r="BA75" s="22" t="str">
        <f t="shared" ref="BA75:BA138" si="438">IF(T75&lt;$J$6*0.9,"error",IF(T75&gt;$J$6,"error","aceptable"))</f>
        <v>aceptable</v>
      </c>
      <c r="BB75" s="184" t="str">
        <f t="shared" ref="BB75:BB138" si="439">(IF(ABS(U75)&lt;1.05,"CONFORME",IF(ABS(AG75)&lt;1.05,"CONFORME",IF(ABS(AS75)&lt;2.55,"CONFORME","NO CONFORME"))))</f>
        <v>NO CONFORME</v>
      </c>
      <c r="BC75" s="185" t="str">
        <f t="shared" ref="BC75:BC138" si="440">(IF(ABS(U75)&gt;2.05,"NO CONFORME",IF(ABS(AG75)&gt;2.05,"NO CONFORME",IF(ABS(AS75)&gt;5.05,"NO CONFORME","CONFORME"))))</f>
        <v>NO CONFORME</v>
      </c>
      <c r="BD75" s="186">
        <f t="shared" si="419"/>
        <v>-1</v>
      </c>
      <c r="BE75" s="186">
        <f t="shared" si="420"/>
        <v>-1</v>
      </c>
      <c r="BF75" s="186">
        <f t="shared" si="421"/>
        <v>-1</v>
      </c>
      <c r="BG75" s="186" t="str">
        <f t="shared" si="422"/>
        <v>-1-1-1</v>
      </c>
      <c r="BH75" s="186" t="str">
        <f t="shared" si="423"/>
        <v>SD</v>
      </c>
      <c r="BI75" s="186" t="str">
        <f t="shared" si="424"/>
        <v>SI</v>
      </c>
      <c r="BJ75" s="186" t="b">
        <f t="shared" si="425"/>
        <v>1</v>
      </c>
      <c r="BK75" s="186" t="str">
        <f t="shared" si="426"/>
        <v>SIGIGUALES</v>
      </c>
      <c r="BL75" s="22" t="str">
        <f t="shared" si="427"/>
        <v>NO CONFORME</v>
      </c>
    </row>
    <row r="76" spans="1:64" s="187" customFormat="1" ht="14.4" x14ac:dyDescent="0.3">
      <c r="A76" s="182">
        <v>68</v>
      </c>
      <c r="B76" s="28">
        <f t="shared" ref="B76:D76" si="441">B75</f>
        <v>45920</v>
      </c>
      <c r="C76" s="28">
        <f t="shared" si="441"/>
        <v>45920</v>
      </c>
      <c r="D76" s="12">
        <f t="shared" si="441"/>
        <v>3</v>
      </c>
      <c r="E76" s="10">
        <f t="shared" si="301"/>
        <v>8</v>
      </c>
      <c r="F76" s="13"/>
      <c r="G76" s="157"/>
      <c r="H76" s="70">
        <f t="shared" ref="H76:L76" si="442">H75</f>
        <v>25.6</v>
      </c>
      <c r="I76" s="36">
        <f t="shared" si="442"/>
        <v>0</v>
      </c>
      <c r="J76" s="35">
        <f t="shared" si="442"/>
        <v>20.9</v>
      </c>
      <c r="K76" s="122">
        <f t="shared" si="442"/>
        <v>8.4730000000000008</v>
      </c>
      <c r="L76" s="122">
        <f t="shared" si="442"/>
        <v>0.52100000000000002</v>
      </c>
      <c r="M76" s="41"/>
      <c r="N76" s="41"/>
      <c r="O76" s="32">
        <f t="shared" ref="O76:P76" si="443">O75</f>
        <v>100.48</v>
      </c>
      <c r="P76" s="168" t="str">
        <f t="shared" si="443"/>
        <v>2,29,610</v>
      </c>
      <c r="Q76" s="11" t="str">
        <f t="shared" si="47"/>
        <v>2</v>
      </c>
      <c r="R76" s="11" t="str">
        <f t="shared" si="48"/>
        <v>29,610</v>
      </c>
      <c r="S76" s="11">
        <f t="shared" si="49"/>
        <v>4.1558333333333336E-2</v>
      </c>
      <c r="T76" s="14">
        <f t="shared" si="50"/>
        <v>2417.8062963705634</v>
      </c>
      <c r="U76" s="37">
        <f t="shared" si="51"/>
        <v>-100</v>
      </c>
      <c r="V76" s="38">
        <f t="shared" ref="V76:W76" si="444">V75</f>
        <v>21.3</v>
      </c>
      <c r="W76" s="124">
        <f t="shared" si="444"/>
        <v>1.0960000000000001</v>
      </c>
      <c r="X76" s="124">
        <f t="shared" si="431"/>
        <v>1.0880000000000001</v>
      </c>
      <c r="Y76" s="41"/>
      <c r="Z76" s="41"/>
      <c r="AA76" s="90">
        <f t="shared" ref="AA76:AB76" si="445">AA75</f>
        <v>5.01</v>
      </c>
      <c r="AB76" s="73" t="str">
        <f t="shared" si="445"/>
        <v>11,15,880</v>
      </c>
      <c r="AC76" s="11" t="str">
        <f t="shared" si="54"/>
        <v>11</v>
      </c>
      <c r="AD76" s="11" t="str">
        <f t="shared" si="55"/>
        <v>15,880</v>
      </c>
      <c r="AE76" s="11">
        <f t="shared" si="56"/>
        <v>0.18774444444444444</v>
      </c>
      <c r="AF76" s="14">
        <f t="shared" si="57"/>
        <v>26.685210392377346</v>
      </c>
      <c r="AG76" s="39">
        <f t="shared" si="58"/>
        <v>-100</v>
      </c>
      <c r="AH76" s="38">
        <f t="shared" ref="AH76:AJ91" si="446">AH75</f>
        <v>18.399999999999999</v>
      </c>
      <c r="AI76" s="124">
        <f t="shared" si="446"/>
        <v>1.0980000000000001</v>
      </c>
      <c r="AJ76" s="124">
        <f t="shared" si="446"/>
        <v>1.087</v>
      </c>
      <c r="AK76" s="41">
        <f t="shared" si="59"/>
        <v>0</v>
      </c>
      <c r="AL76" s="41"/>
      <c r="AM76" s="34">
        <f t="shared" ref="AM76:AN76" si="447">AM75</f>
        <v>2.0049999999999999</v>
      </c>
      <c r="AN76" s="33" t="str">
        <f t="shared" si="447"/>
        <v>7,19,050</v>
      </c>
      <c r="AO76" s="11" t="str">
        <f t="shared" si="61"/>
        <v>7,</v>
      </c>
      <c r="AP76" s="11" t="str">
        <f t="shared" si="62"/>
        <v>19,050</v>
      </c>
      <c r="AQ76" s="11">
        <f t="shared" si="63"/>
        <v>0.12195833333333334</v>
      </c>
      <c r="AR76" s="14">
        <f t="shared" si="64"/>
        <v>16.44004099760847</v>
      </c>
      <c r="AS76" s="39">
        <f t="shared" si="65"/>
        <v>-100</v>
      </c>
      <c r="AT76" s="40" t="str">
        <f t="shared" si="66"/>
        <v>NO CONFORME</v>
      </c>
      <c r="AU76" s="183" t="b">
        <f t="shared" si="434"/>
        <v>1</v>
      </c>
      <c r="AV76" s="183" t="b">
        <f t="shared" si="435"/>
        <v>0</v>
      </c>
      <c r="AW76" s="183" t="b">
        <f t="shared" si="436"/>
        <v>1</v>
      </c>
      <c r="AX76" s="183" t="str">
        <f t="shared" si="437"/>
        <v>Qcorrecto</v>
      </c>
      <c r="AY76" s="22" t="str">
        <f t="shared" si="417"/>
        <v>aceptable</v>
      </c>
      <c r="AZ76" s="22" t="str">
        <f t="shared" si="418"/>
        <v>aceptable</v>
      </c>
      <c r="BA76" s="22" t="str">
        <f t="shared" si="438"/>
        <v>aceptable</v>
      </c>
      <c r="BB76" s="184" t="str">
        <f t="shared" si="439"/>
        <v>NO CONFORME</v>
      </c>
      <c r="BC76" s="185" t="str">
        <f t="shared" si="440"/>
        <v>NO CONFORME</v>
      </c>
      <c r="BD76" s="186">
        <f t="shared" si="419"/>
        <v>-1</v>
      </c>
      <c r="BE76" s="186">
        <f t="shared" si="420"/>
        <v>-1</v>
      </c>
      <c r="BF76" s="186">
        <f t="shared" si="421"/>
        <v>-1</v>
      </c>
      <c r="BG76" s="186" t="str">
        <f t="shared" si="422"/>
        <v>-1-1-1</v>
      </c>
      <c r="BH76" s="186" t="str">
        <f t="shared" si="423"/>
        <v>SD</v>
      </c>
      <c r="BI76" s="186" t="str">
        <f t="shared" si="424"/>
        <v>SI</v>
      </c>
      <c r="BJ76" s="186" t="b">
        <f t="shared" si="425"/>
        <v>1</v>
      </c>
      <c r="BK76" s="186" t="str">
        <f t="shared" si="426"/>
        <v>SIGIGUALES</v>
      </c>
      <c r="BL76" s="22" t="str">
        <f t="shared" si="427"/>
        <v>NO CONFORME</v>
      </c>
    </row>
    <row r="77" spans="1:64" s="187" customFormat="1" ht="14.4" x14ac:dyDescent="0.3">
      <c r="A77" s="182">
        <v>69</v>
      </c>
      <c r="B77" s="28">
        <f t="shared" ref="B77:D77" si="448">B76</f>
        <v>45920</v>
      </c>
      <c r="C77" s="28">
        <f t="shared" si="448"/>
        <v>45920</v>
      </c>
      <c r="D77" s="12">
        <f t="shared" si="448"/>
        <v>3</v>
      </c>
      <c r="E77" s="10">
        <f t="shared" si="301"/>
        <v>8</v>
      </c>
      <c r="F77" s="13"/>
      <c r="G77" s="157"/>
      <c r="H77" s="70">
        <f t="shared" ref="H77:L77" si="449">H76</f>
        <v>25.6</v>
      </c>
      <c r="I77" s="36">
        <f t="shared" si="449"/>
        <v>0</v>
      </c>
      <c r="J77" s="35">
        <f t="shared" si="449"/>
        <v>20.9</v>
      </c>
      <c r="K77" s="122">
        <f t="shared" si="449"/>
        <v>8.4730000000000008</v>
      </c>
      <c r="L77" s="122">
        <f t="shared" si="449"/>
        <v>0.52100000000000002</v>
      </c>
      <c r="M77" s="41"/>
      <c r="N77" s="41"/>
      <c r="O77" s="32">
        <f t="shared" ref="O77:P77" si="450">O76</f>
        <v>100.48</v>
      </c>
      <c r="P77" s="168" t="str">
        <f t="shared" si="450"/>
        <v>2,29,610</v>
      </c>
      <c r="Q77" s="11" t="str">
        <f t="shared" si="47"/>
        <v>2</v>
      </c>
      <c r="R77" s="11" t="str">
        <f t="shared" si="48"/>
        <v>29,610</v>
      </c>
      <c r="S77" s="11">
        <f t="shared" si="49"/>
        <v>4.1558333333333336E-2</v>
      </c>
      <c r="T77" s="14">
        <f t="shared" si="50"/>
        <v>2417.8062963705634</v>
      </c>
      <c r="U77" s="37">
        <f t="shared" si="51"/>
        <v>-100</v>
      </c>
      <c r="V77" s="38">
        <f t="shared" ref="V77:W77" si="451">V76</f>
        <v>21.3</v>
      </c>
      <c r="W77" s="124">
        <f t="shared" si="451"/>
        <v>1.0960000000000001</v>
      </c>
      <c r="X77" s="124">
        <f t="shared" si="431"/>
        <v>1.0880000000000001</v>
      </c>
      <c r="Y77" s="41"/>
      <c r="Z77" s="41"/>
      <c r="AA77" s="90">
        <f t="shared" ref="AA77:AB77" si="452">AA76</f>
        <v>5.01</v>
      </c>
      <c r="AB77" s="73" t="str">
        <f t="shared" si="452"/>
        <v>11,15,880</v>
      </c>
      <c r="AC77" s="11" t="str">
        <f t="shared" si="54"/>
        <v>11</v>
      </c>
      <c r="AD77" s="11" t="str">
        <f t="shared" si="55"/>
        <v>15,880</v>
      </c>
      <c r="AE77" s="11">
        <f t="shared" si="56"/>
        <v>0.18774444444444444</v>
      </c>
      <c r="AF77" s="14">
        <f t="shared" si="57"/>
        <v>26.685210392377346</v>
      </c>
      <c r="AG77" s="39">
        <f t="shared" si="58"/>
        <v>-100</v>
      </c>
      <c r="AH77" s="38">
        <f t="shared" si="446"/>
        <v>18.399999999999999</v>
      </c>
      <c r="AI77" s="124">
        <f t="shared" si="446"/>
        <v>1.0980000000000001</v>
      </c>
      <c r="AJ77" s="124">
        <f t="shared" si="446"/>
        <v>1.087</v>
      </c>
      <c r="AK77" s="41">
        <f t="shared" si="59"/>
        <v>0</v>
      </c>
      <c r="AL77" s="41"/>
      <c r="AM77" s="34">
        <f t="shared" ref="AM77:AN77" si="453">AM76</f>
        <v>2.0049999999999999</v>
      </c>
      <c r="AN77" s="33" t="str">
        <f t="shared" si="453"/>
        <v>7,19,050</v>
      </c>
      <c r="AO77" s="11" t="str">
        <f t="shared" si="61"/>
        <v>7,</v>
      </c>
      <c r="AP77" s="11" t="str">
        <f t="shared" si="62"/>
        <v>19,050</v>
      </c>
      <c r="AQ77" s="11">
        <f t="shared" si="63"/>
        <v>0.12195833333333334</v>
      </c>
      <c r="AR77" s="14">
        <f t="shared" si="64"/>
        <v>16.44004099760847</v>
      </c>
      <c r="AS77" s="39">
        <f t="shared" si="65"/>
        <v>-100</v>
      </c>
      <c r="AT77" s="40" t="str">
        <f t="shared" si="66"/>
        <v>NO CONFORME</v>
      </c>
      <c r="AU77" s="183" t="b">
        <f t="shared" si="434"/>
        <v>1</v>
      </c>
      <c r="AV77" s="183" t="b">
        <f t="shared" si="435"/>
        <v>0</v>
      </c>
      <c r="AW77" s="183" t="b">
        <f t="shared" si="436"/>
        <v>1</v>
      </c>
      <c r="AX77" s="183" t="str">
        <f t="shared" si="437"/>
        <v>Qcorrecto</v>
      </c>
      <c r="AY77" s="22" t="str">
        <f t="shared" si="417"/>
        <v>aceptable</v>
      </c>
      <c r="AZ77" s="22" t="str">
        <f t="shared" si="418"/>
        <v>aceptable</v>
      </c>
      <c r="BA77" s="22" t="str">
        <f t="shared" si="438"/>
        <v>aceptable</v>
      </c>
      <c r="BB77" s="184" t="str">
        <f t="shared" si="439"/>
        <v>NO CONFORME</v>
      </c>
      <c r="BC77" s="185" t="str">
        <f t="shared" si="440"/>
        <v>NO CONFORME</v>
      </c>
      <c r="BD77" s="186">
        <f t="shared" si="419"/>
        <v>-1</v>
      </c>
      <c r="BE77" s="186">
        <f t="shared" si="420"/>
        <v>-1</v>
      </c>
      <c r="BF77" s="186">
        <f t="shared" si="421"/>
        <v>-1</v>
      </c>
      <c r="BG77" s="186" t="str">
        <f t="shared" si="422"/>
        <v>-1-1-1</v>
      </c>
      <c r="BH77" s="186" t="str">
        <f t="shared" si="423"/>
        <v>SD</v>
      </c>
      <c r="BI77" s="186" t="str">
        <f t="shared" si="424"/>
        <v>SI</v>
      </c>
      <c r="BJ77" s="186" t="b">
        <f t="shared" si="425"/>
        <v>1</v>
      </c>
      <c r="BK77" s="186" t="str">
        <f t="shared" si="426"/>
        <v>SIGIGUALES</v>
      </c>
      <c r="BL77" s="22" t="str">
        <f t="shared" si="427"/>
        <v>NO CONFORME</v>
      </c>
    </row>
    <row r="78" spans="1:64" s="155" customFormat="1" ht="14.4" x14ac:dyDescent="0.3">
      <c r="A78" s="91">
        <v>70</v>
      </c>
      <c r="B78" s="125">
        <f t="shared" ref="B78:D78" si="454">B77</f>
        <v>45920</v>
      </c>
      <c r="C78" s="125">
        <f t="shared" si="454"/>
        <v>45920</v>
      </c>
      <c r="D78" s="126">
        <f t="shared" si="454"/>
        <v>3</v>
      </c>
      <c r="E78" s="10">
        <f t="shared" si="301"/>
        <v>8</v>
      </c>
      <c r="F78" s="46"/>
      <c r="G78" s="157"/>
      <c r="H78" s="127">
        <f t="shared" ref="H78:L78" si="455">H77</f>
        <v>25.6</v>
      </c>
      <c r="I78" s="111">
        <f t="shared" si="455"/>
        <v>0</v>
      </c>
      <c r="J78" s="35">
        <f t="shared" si="455"/>
        <v>20.9</v>
      </c>
      <c r="K78" s="122">
        <f t="shared" si="455"/>
        <v>8.4730000000000008</v>
      </c>
      <c r="L78" s="122">
        <f t="shared" si="455"/>
        <v>0.52100000000000002</v>
      </c>
      <c r="M78" s="96"/>
      <c r="N78" s="96"/>
      <c r="O78" s="32">
        <f t="shared" ref="O78:P78" si="456">O77</f>
        <v>100.48</v>
      </c>
      <c r="P78" s="168" t="str">
        <f t="shared" si="456"/>
        <v>2,29,610</v>
      </c>
      <c r="Q78" s="97" t="str">
        <f t="shared" si="47"/>
        <v>2</v>
      </c>
      <c r="R78" s="97" t="str">
        <f t="shared" si="48"/>
        <v>29,610</v>
      </c>
      <c r="S78" s="97">
        <f t="shared" si="49"/>
        <v>4.1558333333333336E-2</v>
      </c>
      <c r="T78" s="98">
        <f t="shared" si="50"/>
        <v>2417.8062963705634</v>
      </c>
      <c r="U78" s="99">
        <f t="shared" si="51"/>
        <v>-100</v>
      </c>
      <c r="V78" s="38">
        <f t="shared" ref="V78:W78" si="457">V77</f>
        <v>21.3</v>
      </c>
      <c r="W78" s="124">
        <f t="shared" si="457"/>
        <v>1.0960000000000001</v>
      </c>
      <c r="X78" s="124">
        <f t="shared" si="431"/>
        <v>1.0880000000000001</v>
      </c>
      <c r="Y78" s="96"/>
      <c r="Z78" s="96"/>
      <c r="AA78" s="134">
        <f t="shared" ref="AA78:AB78" si="458">AA77</f>
        <v>5.01</v>
      </c>
      <c r="AB78" s="135" t="str">
        <f t="shared" si="458"/>
        <v>11,15,880</v>
      </c>
      <c r="AC78" s="97" t="str">
        <f t="shared" si="54"/>
        <v>11</v>
      </c>
      <c r="AD78" s="97" t="str">
        <f t="shared" si="55"/>
        <v>15,880</v>
      </c>
      <c r="AE78" s="97">
        <f t="shared" si="56"/>
        <v>0.18774444444444444</v>
      </c>
      <c r="AF78" s="98">
        <f t="shared" si="57"/>
        <v>26.685210392377346</v>
      </c>
      <c r="AG78" s="100">
        <f t="shared" si="58"/>
        <v>-100</v>
      </c>
      <c r="AH78" s="132">
        <f t="shared" si="446"/>
        <v>18.399999999999999</v>
      </c>
      <c r="AI78" s="133">
        <f t="shared" si="446"/>
        <v>1.0980000000000001</v>
      </c>
      <c r="AJ78" s="133">
        <f t="shared" si="446"/>
        <v>1.087</v>
      </c>
      <c r="AK78" s="96">
        <f t="shared" si="59"/>
        <v>0</v>
      </c>
      <c r="AL78" s="96"/>
      <c r="AM78" s="136">
        <f t="shared" ref="AM78:AN78" si="459">AM77</f>
        <v>2.0049999999999999</v>
      </c>
      <c r="AN78" s="131" t="str">
        <f t="shared" si="459"/>
        <v>7,19,050</v>
      </c>
      <c r="AO78" s="97" t="str">
        <f t="shared" si="61"/>
        <v>7,</v>
      </c>
      <c r="AP78" s="97" t="str">
        <f t="shared" si="62"/>
        <v>19,050</v>
      </c>
      <c r="AQ78" s="97">
        <f t="shared" si="63"/>
        <v>0.12195833333333334</v>
      </c>
      <c r="AR78" s="98">
        <f t="shared" si="64"/>
        <v>16.44004099760847</v>
      </c>
      <c r="AS78" s="100">
        <f t="shared" si="65"/>
        <v>-100</v>
      </c>
      <c r="AT78" s="102" t="str">
        <f t="shared" si="66"/>
        <v>NO CONFORME</v>
      </c>
      <c r="AU78" s="153" t="b">
        <f t="shared" si="434"/>
        <v>1</v>
      </c>
      <c r="AV78" s="153" t="b">
        <f t="shared" si="435"/>
        <v>0</v>
      </c>
      <c r="AW78" s="153" t="b">
        <f t="shared" si="436"/>
        <v>1</v>
      </c>
      <c r="AX78" s="153" t="str">
        <f t="shared" si="437"/>
        <v>Qcorrecto</v>
      </c>
      <c r="AY78" s="26" t="str">
        <f t="shared" si="417"/>
        <v>aceptable</v>
      </c>
      <c r="AZ78" s="26" t="str">
        <f t="shared" si="418"/>
        <v>aceptable</v>
      </c>
      <c r="BA78" s="26" t="str">
        <f t="shared" si="438"/>
        <v>aceptable</v>
      </c>
      <c r="BB78" s="25" t="str">
        <f t="shared" si="439"/>
        <v>NO CONFORME</v>
      </c>
      <c r="BC78" s="5" t="str">
        <f t="shared" si="440"/>
        <v>NO CONFORME</v>
      </c>
      <c r="BD78" s="154">
        <f t="shared" si="419"/>
        <v>-1</v>
      </c>
      <c r="BE78" s="154">
        <f t="shared" si="420"/>
        <v>-1</v>
      </c>
      <c r="BF78" s="154">
        <f t="shared" si="421"/>
        <v>-1</v>
      </c>
      <c r="BG78" s="154" t="str">
        <f t="shared" si="422"/>
        <v>-1-1-1</v>
      </c>
      <c r="BH78" s="154" t="str">
        <f t="shared" si="423"/>
        <v>SD</v>
      </c>
      <c r="BI78" s="154" t="str">
        <f t="shared" si="424"/>
        <v>SI</v>
      </c>
      <c r="BJ78" s="154" t="b">
        <f t="shared" si="425"/>
        <v>1</v>
      </c>
      <c r="BK78" s="154" t="str">
        <f t="shared" si="426"/>
        <v>SIGIGUALES</v>
      </c>
      <c r="BL78" s="26" t="str">
        <f t="shared" si="427"/>
        <v>NO CONFORME</v>
      </c>
    </row>
    <row r="79" spans="1:64" s="155" customFormat="1" ht="14.4" x14ac:dyDescent="0.3">
      <c r="A79" s="91">
        <v>71</v>
      </c>
      <c r="B79" s="125">
        <f t="shared" ref="B79:D79" si="460">B78</f>
        <v>45920</v>
      </c>
      <c r="C79" s="125">
        <f t="shared" si="460"/>
        <v>45920</v>
      </c>
      <c r="D79" s="126">
        <f t="shared" si="460"/>
        <v>3</v>
      </c>
      <c r="E79" s="10">
        <f t="shared" si="301"/>
        <v>8</v>
      </c>
      <c r="F79" s="46"/>
      <c r="G79" s="157"/>
      <c r="H79" s="127">
        <f t="shared" ref="H79:L79" si="461">H78</f>
        <v>25.6</v>
      </c>
      <c r="I79" s="111">
        <f t="shared" si="461"/>
        <v>0</v>
      </c>
      <c r="J79" s="35">
        <f t="shared" si="461"/>
        <v>20.9</v>
      </c>
      <c r="K79" s="122">
        <f t="shared" si="461"/>
        <v>8.4730000000000008</v>
      </c>
      <c r="L79" s="122">
        <f t="shared" si="461"/>
        <v>0.52100000000000002</v>
      </c>
      <c r="M79" s="96"/>
      <c r="N79" s="96"/>
      <c r="O79" s="32">
        <f t="shared" ref="O79:P79" si="462">O78</f>
        <v>100.48</v>
      </c>
      <c r="P79" s="168" t="str">
        <f t="shared" si="462"/>
        <v>2,29,610</v>
      </c>
      <c r="Q79" s="97" t="str">
        <f t="shared" si="47"/>
        <v>2</v>
      </c>
      <c r="R79" s="97" t="str">
        <f t="shared" si="48"/>
        <v>29,610</v>
      </c>
      <c r="S79" s="97">
        <f t="shared" si="49"/>
        <v>4.1558333333333336E-2</v>
      </c>
      <c r="T79" s="98">
        <f t="shared" si="50"/>
        <v>2417.8062963705634</v>
      </c>
      <c r="U79" s="99">
        <f t="shared" si="51"/>
        <v>-100</v>
      </c>
      <c r="V79" s="38">
        <f t="shared" ref="V79:W79" si="463">V78</f>
        <v>21.3</v>
      </c>
      <c r="W79" s="124">
        <f t="shared" si="463"/>
        <v>1.0960000000000001</v>
      </c>
      <c r="X79" s="124">
        <f t="shared" si="431"/>
        <v>1.0880000000000001</v>
      </c>
      <c r="Y79" s="96"/>
      <c r="Z79" s="96"/>
      <c r="AA79" s="134">
        <f t="shared" ref="AA79:AB79" si="464">AA78</f>
        <v>5.01</v>
      </c>
      <c r="AB79" s="135" t="str">
        <f t="shared" si="464"/>
        <v>11,15,880</v>
      </c>
      <c r="AC79" s="97" t="str">
        <f t="shared" si="54"/>
        <v>11</v>
      </c>
      <c r="AD79" s="97" t="str">
        <f t="shared" si="55"/>
        <v>15,880</v>
      </c>
      <c r="AE79" s="97">
        <f t="shared" si="56"/>
        <v>0.18774444444444444</v>
      </c>
      <c r="AF79" s="98">
        <f t="shared" si="57"/>
        <v>26.685210392377346</v>
      </c>
      <c r="AG79" s="100">
        <f t="shared" si="58"/>
        <v>-100</v>
      </c>
      <c r="AH79" s="132">
        <f t="shared" si="446"/>
        <v>18.399999999999999</v>
      </c>
      <c r="AI79" s="133">
        <f t="shared" si="446"/>
        <v>1.0980000000000001</v>
      </c>
      <c r="AJ79" s="133">
        <f t="shared" si="446"/>
        <v>1.087</v>
      </c>
      <c r="AK79" s="96">
        <f t="shared" si="59"/>
        <v>0</v>
      </c>
      <c r="AL79" s="96"/>
      <c r="AM79" s="136">
        <f t="shared" ref="AM79:AN79" si="465">AM78</f>
        <v>2.0049999999999999</v>
      </c>
      <c r="AN79" s="131" t="str">
        <f t="shared" si="465"/>
        <v>7,19,050</v>
      </c>
      <c r="AO79" s="97" t="str">
        <f t="shared" si="61"/>
        <v>7,</v>
      </c>
      <c r="AP79" s="97" t="str">
        <f t="shared" si="62"/>
        <v>19,050</v>
      </c>
      <c r="AQ79" s="97">
        <f t="shared" si="63"/>
        <v>0.12195833333333334</v>
      </c>
      <c r="AR79" s="98">
        <f t="shared" si="64"/>
        <v>16.44004099760847</v>
      </c>
      <c r="AS79" s="100">
        <f t="shared" si="65"/>
        <v>-100</v>
      </c>
      <c r="AT79" s="102" t="str">
        <f t="shared" si="66"/>
        <v>NO CONFORME</v>
      </c>
      <c r="AU79" s="153" t="b">
        <f t="shared" si="434"/>
        <v>1</v>
      </c>
      <c r="AV79" s="153" t="b">
        <f t="shared" si="435"/>
        <v>0</v>
      </c>
      <c r="AW79" s="153" t="b">
        <f t="shared" si="436"/>
        <v>1</v>
      </c>
      <c r="AX79" s="153" t="str">
        <f t="shared" si="437"/>
        <v>Qcorrecto</v>
      </c>
      <c r="AY79" s="26" t="str">
        <f t="shared" si="417"/>
        <v>aceptable</v>
      </c>
      <c r="AZ79" s="26" t="str">
        <f t="shared" si="418"/>
        <v>aceptable</v>
      </c>
      <c r="BA79" s="26" t="str">
        <f t="shared" si="438"/>
        <v>aceptable</v>
      </c>
      <c r="BB79" s="25" t="str">
        <f t="shared" si="439"/>
        <v>NO CONFORME</v>
      </c>
      <c r="BC79" s="5" t="str">
        <f t="shared" si="440"/>
        <v>NO CONFORME</v>
      </c>
      <c r="BD79" s="154">
        <f t="shared" si="419"/>
        <v>-1</v>
      </c>
      <c r="BE79" s="154">
        <f t="shared" si="420"/>
        <v>-1</v>
      </c>
      <c r="BF79" s="154">
        <f t="shared" si="421"/>
        <v>-1</v>
      </c>
      <c r="BG79" s="154" t="str">
        <f t="shared" si="422"/>
        <v>-1-1-1</v>
      </c>
      <c r="BH79" s="154" t="str">
        <f t="shared" si="423"/>
        <v>SD</v>
      </c>
      <c r="BI79" s="154" t="str">
        <f t="shared" si="424"/>
        <v>SI</v>
      </c>
      <c r="BJ79" s="154" t="b">
        <f t="shared" si="425"/>
        <v>1</v>
      </c>
      <c r="BK79" s="154" t="str">
        <f t="shared" si="426"/>
        <v>SIGIGUALES</v>
      </c>
      <c r="BL79" s="26" t="str">
        <f t="shared" si="427"/>
        <v>NO CONFORME</v>
      </c>
    </row>
    <row r="80" spans="1:64" s="155" customFormat="1" ht="14.4" x14ac:dyDescent="0.3">
      <c r="A80" s="91">
        <v>72</v>
      </c>
      <c r="B80" s="125">
        <f t="shared" ref="B80:D80" si="466">B79</f>
        <v>45920</v>
      </c>
      <c r="C80" s="125">
        <f t="shared" si="466"/>
        <v>45920</v>
      </c>
      <c r="D80" s="126">
        <f t="shared" si="466"/>
        <v>3</v>
      </c>
      <c r="E80" s="10">
        <f t="shared" si="301"/>
        <v>8</v>
      </c>
      <c r="F80" s="46"/>
      <c r="G80" s="157"/>
      <c r="H80" s="127">
        <f t="shared" ref="H80:L80" si="467">H79</f>
        <v>25.6</v>
      </c>
      <c r="I80" s="111">
        <f t="shared" si="467"/>
        <v>0</v>
      </c>
      <c r="J80" s="35">
        <f t="shared" si="467"/>
        <v>20.9</v>
      </c>
      <c r="K80" s="122">
        <f t="shared" si="467"/>
        <v>8.4730000000000008</v>
      </c>
      <c r="L80" s="122">
        <f t="shared" si="467"/>
        <v>0.52100000000000002</v>
      </c>
      <c r="M80" s="96"/>
      <c r="N80" s="96"/>
      <c r="O80" s="32">
        <f t="shared" ref="O80:P80" si="468">O79</f>
        <v>100.48</v>
      </c>
      <c r="P80" s="168" t="str">
        <f t="shared" si="468"/>
        <v>2,29,610</v>
      </c>
      <c r="Q80" s="97" t="str">
        <f t="shared" si="47"/>
        <v>2</v>
      </c>
      <c r="R80" s="97" t="str">
        <f t="shared" si="48"/>
        <v>29,610</v>
      </c>
      <c r="S80" s="97">
        <f t="shared" si="49"/>
        <v>4.1558333333333336E-2</v>
      </c>
      <c r="T80" s="98">
        <f t="shared" si="50"/>
        <v>2417.8062963705634</v>
      </c>
      <c r="U80" s="99">
        <f t="shared" si="51"/>
        <v>-100</v>
      </c>
      <c r="V80" s="38">
        <f t="shared" ref="V80:W80" si="469">V79</f>
        <v>21.3</v>
      </c>
      <c r="W80" s="124">
        <f t="shared" si="469"/>
        <v>1.0960000000000001</v>
      </c>
      <c r="X80" s="124">
        <f t="shared" si="431"/>
        <v>1.0880000000000001</v>
      </c>
      <c r="Y80" s="96"/>
      <c r="Z80" s="96"/>
      <c r="AA80" s="134">
        <f t="shared" ref="AA80:AB80" si="470">AA79</f>
        <v>5.01</v>
      </c>
      <c r="AB80" s="135" t="str">
        <f t="shared" si="470"/>
        <v>11,15,880</v>
      </c>
      <c r="AC80" s="97" t="str">
        <f t="shared" si="54"/>
        <v>11</v>
      </c>
      <c r="AD80" s="97" t="str">
        <f t="shared" si="55"/>
        <v>15,880</v>
      </c>
      <c r="AE80" s="97">
        <f t="shared" si="56"/>
        <v>0.18774444444444444</v>
      </c>
      <c r="AF80" s="98">
        <f t="shared" si="57"/>
        <v>26.685210392377346</v>
      </c>
      <c r="AG80" s="100">
        <f t="shared" si="58"/>
        <v>-100</v>
      </c>
      <c r="AH80" s="132">
        <f t="shared" si="446"/>
        <v>18.399999999999999</v>
      </c>
      <c r="AI80" s="133">
        <f t="shared" si="446"/>
        <v>1.0980000000000001</v>
      </c>
      <c r="AJ80" s="133">
        <f t="shared" si="446"/>
        <v>1.087</v>
      </c>
      <c r="AK80" s="96">
        <f t="shared" si="59"/>
        <v>0</v>
      </c>
      <c r="AL80" s="96"/>
      <c r="AM80" s="136">
        <f t="shared" ref="AM80:AN80" si="471">AM79</f>
        <v>2.0049999999999999</v>
      </c>
      <c r="AN80" s="131" t="str">
        <f t="shared" si="471"/>
        <v>7,19,050</v>
      </c>
      <c r="AO80" s="97" t="str">
        <f t="shared" si="61"/>
        <v>7,</v>
      </c>
      <c r="AP80" s="97" t="str">
        <f t="shared" si="62"/>
        <v>19,050</v>
      </c>
      <c r="AQ80" s="97">
        <f t="shared" si="63"/>
        <v>0.12195833333333334</v>
      </c>
      <c r="AR80" s="98">
        <f t="shared" si="64"/>
        <v>16.44004099760847</v>
      </c>
      <c r="AS80" s="100">
        <f t="shared" si="65"/>
        <v>-100</v>
      </c>
      <c r="AT80" s="102" t="str">
        <f t="shared" si="66"/>
        <v>NO CONFORME</v>
      </c>
      <c r="AU80" s="153" t="b">
        <f t="shared" si="434"/>
        <v>1</v>
      </c>
      <c r="AV80" s="153" t="b">
        <f t="shared" si="435"/>
        <v>0</v>
      </c>
      <c r="AW80" s="153" t="b">
        <f t="shared" si="436"/>
        <v>1</v>
      </c>
      <c r="AX80" s="153" t="str">
        <f t="shared" si="437"/>
        <v>Qcorrecto</v>
      </c>
      <c r="AY80" s="26" t="str">
        <f t="shared" si="417"/>
        <v>aceptable</v>
      </c>
      <c r="AZ80" s="26" t="str">
        <f t="shared" si="418"/>
        <v>aceptable</v>
      </c>
      <c r="BA80" s="26" t="str">
        <f t="shared" si="438"/>
        <v>aceptable</v>
      </c>
      <c r="BB80" s="25" t="str">
        <f t="shared" si="439"/>
        <v>NO CONFORME</v>
      </c>
      <c r="BC80" s="5" t="str">
        <f t="shared" si="440"/>
        <v>NO CONFORME</v>
      </c>
      <c r="BD80" s="154">
        <f t="shared" si="419"/>
        <v>-1</v>
      </c>
      <c r="BE80" s="154">
        <f t="shared" si="420"/>
        <v>-1</v>
      </c>
      <c r="BF80" s="154">
        <f t="shared" si="421"/>
        <v>-1</v>
      </c>
      <c r="BG80" s="154" t="str">
        <f t="shared" si="422"/>
        <v>-1-1-1</v>
      </c>
      <c r="BH80" s="154" t="str">
        <f t="shared" si="423"/>
        <v>SD</v>
      </c>
      <c r="BI80" s="154" t="str">
        <f t="shared" si="424"/>
        <v>SI</v>
      </c>
      <c r="BJ80" s="154" t="b">
        <f t="shared" si="425"/>
        <v>1</v>
      </c>
      <c r="BK80" s="154" t="str">
        <f t="shared" si="426"/>
        <v>SIGIGUALES</v>
      </c>
      <c r="BL80" s="26" t="str">
        <f t="shared" si="427"/>
        <v>NO CONFORME</v>
      </c>
    </row>
    <row r="81" spans="1:64" s="152" customFormat="1" ht="15" thickBot="1" x14ac:dyDescent="0.35">
      <c r="A81" s="91">
        <v>73</v>
      </c>
      <c r="B81" s="189">
        <f t="shared" ref="B81:D81" si="472">B80</f>
        <v>45920</v>
      </c>
      <c r="C81" s="189">
        <f t="shared" si="472"/>
        <v>45920</v>
      </c>
      <c r="D81" s="190">
        <f t="shared" si="472"/>
        <v>3</v>
      </c>
      <c r="E81" s="10">
        <f t="shared" si="301"/>
        <v>8</v>
      </c>
      <c r="F81" s="191"/>
      <c r="G81" s="157"/>
      <c r="H81" s="192">
        <f t="shared" ref="H81:L81" si="473">H80</f>
        <v>25.6</v>
      </c>
      <c r="I81" s="193">
        <f t="shared" si="473"/>
        <v>0</v>
      </c>
      <c r="J81" s="35">
        <f t="shared" si="473"/>
        <v>20.9</v>
      </c>
      <c r="K81" s="122">
        <f t="shared" si="473"/>
        <v>8.4730000000000008</v>
      </c>
      <c r="L81" s="122">
        <f t="shared" si="473"/>
        <v>0.52100000000000002</v>
      </c>
      <c r="M81" s="194"/>
      <c r="N81" s="194"/>
      <c r="O81" s="32">
        <f t="shared" ref="O81:P81" si="474">O80</f>
        <v>100.48</v>
      </c>
      <c r="P81" s="168" t="str">
        <f t="shared" si="474"/>
        <v>2,29,610</v>
      </c>
      <c r="Q81" s="196" t="str">
        <f t="shared" si="47"/>
        <v>2</v>
      </c>
      <c r="R81" s="196" t="str">
        <f t="shared" si="48"/>
        <v>29,610</v>
      </c>
      <c r="S81" s="196">
        <f t="shared" si="49"/>
        <v>4.1558333333333336E-2</v>
      </c>
      <c r="T81" s="197">
        <f t="shared" si="50"/>
        <v>2417.8062963705634</v>
      </c>
      <c r="U81" s="198">
        <f t="shared" si="51"/>
        <v>-100</v>
      </c>
      <c r="V81" s="38">
        <f t="shared" ref="V81:W81" si="475">V80</f>
        <v>21.3</v>
      </c>
      <c r="W81" s="124">
        <f t="shared" si="475"/>
        <v>1.0960000000000001</v>
      </c>
      <c r="X81" s="124">
        <f t="shared" si="431"/>
        <v>1.0880000000000001</v>
      </c>
      <c r="Y81" s="194"/>
      <c r="Z81" s="194"/>
      <c r="AA81" s="201">
        <f t="shared" ref="AA81:AB81" si="476">AA80</f>
        <v>5.01</v>
      </c>
      <c r="AB81" s="202" t="str">
        <f t="shared" si="476"/>
        <v>11,15,880</v>
      </c>
      <c r="AC81" s="196" t="str">
        <f t="shared" si="54"/>
        <v>11</v>
      </c>
      <c r="AD81" s="196" t="str">
        <f t="shared" si="55"/>
        <v>15,880</v>
      </c>
      <c r="AE81" s="196">
        <f t="shared" si="56"/>
        <v>0.18774444444444444</v>
      </c>
      <c r="AF81" s="197">
        <f t="shared" si="57"/>
        <v>26.685210392377346</v>
      </c>
      <c r="AG81" s="203">
        <f t="shared" si="58"/>
        <v>-100</v>
      </c>
      <c r="AH81" s="199">
        <f t="shared" si="446"/>
        <v>18.399999999999999</v>
      </c>
      <c r="AI81" s="200">
        <f t="shared" si="446"/>
        <v>1.0980000000000001</v>
      </c>
      <c r="AJ81" s="200">
        <f t="shared" si="446"/>
        <v>1.087</v>
      </c>
      <c r="AK81" s="194">
        <f t="shared" si="59"/>
        <v>0</v>
      </c>
      <c r="AL81" s="194"/>
      <c r="AM81" s="204">
        <f t="shared" ref="AM81:AN81" si="477">AM80</f>
        <v>2.0049999999999999</v>
      </c>
      <c r="AN81" s="195" t="str">
        <f t="shared" si="477"/>
        <v>7,19,050</v>
      </c>
      <c r="AO81" s="196" t="str">
        <f t="shared" si="61"/>
        <v>7,</v>
      </c>
      <c r="AP81" s="196" t="str">
        <f t="shared" si="62"/>
        <v>19,050</v>
      </c>
      <c r="AQ81" s="196">
        <f t="shared" si="63"/>
        <v>0.12195833333333334</v>
      </c>
      <c r="AR81" s="197">
        <f t="shared" si="64"/>
        <v>16.44004099760847</v>
      </c>
      <c r="AS81" s="203">
        <f t="shared" si="65"/>
        <v>-100</v>
      </c>
      <c r="AT81" s="205" t="str">
        <f t="shared" si="66"/>
        <v>NO CONFORME</v>
      </c>
      <c r="AU81" s="147" t="b">
        <f t="shared" si="434"/>
        <v>1</v>
      </c>
      <c r="AV81" s="147" t="b">
        <f t="shared" si="435"/>
        <v>0</v>
      </c>
      <c r="AW81" s="147" t="b">
        <f t="shared" si="436"/>
        <v>1</v>
      </c>
      <c r="AX81" s="147" t="str">
        <f t="shared" si="437"/>
        <v>Qcorrecto</v>
      </c>
      <c r="AY81" s="206" t="str">
        <f t="shared" si="417"/>
        <v>aceptable</v>
      </c>
      <c r="AZ81" s="206" t="str">
        <f t="shared" si="418"/>
        <v>aceptable</v>
      </c>
      <c r="BA81" s="206" t="str">
        <f t="shared" si="438"/>
        <v>aceptable</v>
      </c>
      <c r="BB81" s="149" t="str">
        <f t="shared" si="439"/>
        <v>NO CONFORME</v>
      </c>
      <c r="BC81" s="150" t="str">
        <f t="shared" si="440"/>
        <v>NO CONFORME</v>
      </c>
      <c r="BD81" s="151">
        <f t="shared" si="419"/>
        <v>-1</v>
      </c>
      <c r="BE81" s="151">
        <f t="shared" si="420"/>
        <v>-1</v>
      </c>
      <c r="BF81" s="151">
        <f t="shared" si="421"/>
        <v>-1</v>
      </c>
      <c r="BG81" s="151" t="str">
        <f t="shared" si="422"/>
        <v>-1-1-1</v>
      </c>
      <c r="BH81" s="151" t="str">
        <f t="shared" si="423"/>
        <v>SD</v>
      </c>
      <c r="BI81" s="151" t="str">
        <f t="shared" si="424"/>
        <v>SI</v>
      </c>
      <c r="BJ81" s="151" t="b">
        <f t="shared" si="425"/>
        <v>1</v>
      </c>
      <c r="BK81" s="151" t="str">
        <f t="shared" si="426"/>
        <v>SIGIGUALES</v>
      </c>
      <c r="BL81" s="206" t="str">
        <f t="shared" si="427"/>
        <v>NO CONFORME</v>
      </c>
    </row>
    <row r="82" spans="1:64" ht="14.4" x14ac:dyDescent="0.3">
      <c r="A82" s="91">
        <v>74</v>
      </c>
      <c r="B82" s="125">
        <f t="shared" ref="B82:D82" si="478">B81</f>
        <v>45920</v>
      </c>
      <c r="C82" s="125">
        <f t="shared" si="478"/>
        <v>45920</v>
      </c>
      <c r="D82" s="126">
        <f t="shared" si="478"/>
        <v>3</v>
      </c>
      <c r="E82" s="10">
        <f t="shared" si="301"/>
        <v>8</v>
      </c>
      <c r="F82" s="46"/>
      <c r="G82" s="157"/>
      <c r="H82" s="127">
        <f t="shared" ref="H82:L82" si="479">H81</f>
        <v>25.6</v>
      </c>
      <c r="I82" s="111">
        <f t="shared" si="479"/>
        <v>0</v>
      </c>
      <c r="J82" s="35">
        <f t="shared" si="479"/>
        <v>20.9</v>
      </c>
      <c r="K82" s="122">
        <f t="shared" si="479"/>
        <v>8.4730000000000008</v>
      </c>
      <c r="L82" s="122">
        <f t="shared" si="479"/>
        <v>0.52100000000000002</v>
      </c>
      <c r="M82" s="96"/>
      <c r="N82" s="96"/>
      <c r="O82" s="32">
        <f t="shared" ref="O82:P82" si="480">O81</f>
        <v>100.48</v>
      </c>
      <c r="P82" s="168" t="str">
        <f t="shared" si="480"/>
        <v>2,29,610</v>
      </c>
      <c r="Q82" s="97" t="str">
        <f t="shared" si="47"/>
        <v>2</v>
      </c>
      <c r="R82" s="97" t="str">
        <f t="shared" si="48"/>
        <v>29,610</v>
      </c>
      <c r="S82" s="97">
        <f t="shared" si="49"/>
        <v>4.1558333333333336E-2</v>
      </c>
      <c r="T82" s="98">
        <f t="shared" si="50"/>
        <v>2417.8062963705634</v>
      </c>
      <c r="U82" s="99">
        <f t="shared" si="51"/>
        <v>-100</v>
      </c>
      <c r="V82" s="38">
        <f t="shared" ref="V82:W82" si="481">V81</f>
        <v>21.3</v>
      </c>
      <c r="W82" s="124">
        <f t="shared" si="481"/>
        <v>1.0960000000000001</v>
      </c>
      <c r="X82" s="124">
        <f t="shared" si="431"/>
        <v>1.0880000000000001</v>
      </c>
      <c r="Y82" s="96"/>
      <c r="Z82" s="96"/>
      <c r="AA82" s="134">
        <f t="shared" ref="AA82:AB82" si="482">AA81</f>
        <v>5.01</v>
      </c>
      <c r="AB82" s="135" t="str">
        <f t="shared" si="482"/>
        <v>11,15,880</v>
      </c>
      <c r="AC82" s="97" t="str">
        <f t="shared" si="54"/>
        <v>11</v>
      </c>
      <c r="AD82" s="97" t="str">
        <f t="shared" si="55"/>
        <v>15,880</v>
      </c>
      <c r="AE82" s="97">
        <f t="shared" si="56"/>
        <v>0.18774444444444444</v>
      </c>
      <c r="AF82" s="98">
        <f t="shared" si="57"/>
        <v>26.685210392377346</v>
      </c>
      <c r="AG82" s="100">
        <f t="shared" si="58"/>
        <v>-100</v>
      </c>
      <c r="AH82" s="132">
        <f t="shared" si="446"/>
        <v>18.399999999999999</v>
      </c>
      <c r="AI82" s="133">
        <f t="shared" si="446"/>
        <v>1.0980000000000001</v>
      </c>
      <c r="AJ82" s="133">
        <f t="shared" si="446"/>
        <v>1.087</v>
      </c>
      <c r="AK82" s="96">
        <f t="shared" si="59"/>
        <v>0</v>
      </c>
      <c r="AL82" s="96"/>
      <c r="AM82" s="136">
        <f t="shared" ref="AM82:AN82" si="483">AM81</f>
        <v>2.0049999999999999</v>
      </c>
      <c r="AN82" s="131" t="str">
        <f t="shared" si="483"/>
        <v>7,19,050</v>
      </c>
      <c r="AO82" s="97" t="str">
        <f t="shared" si="61"/>
        <v>7,</v>
      </c>
      <c r="AP82" s="97" t="str">
        <f t="shared" si="62"/>
        <v>19,050</v>
      </c>
      <c r="AQ82" s="97">
        <f t="shared" si="63"/>
        <v>0.12195833333333334</v>
      </c>
      <c r="AR82" s="98">
        <f t="shared" si="64"/>
        <v>16.44004099760847</v>
      </c>
      <c r="AS82" s="100">
        <f t="shared" si="65"/>
        <v>-100</v>
      </c>
      <c r="AT82" s="102" t="str">
        <f t="shared" si="66"/>
        <v>NO CONFORME</v>
      </c>
      <c r="AU82" s="8" t="b">
        <f t="shared" si="434"/>
        <v>1</v>
      </c>
      <c r="AV82" s="8" t="b">
        <f t="shared" si="435"/>
        <v>0</v>
      </c>
      <c r="AW82" s="8" t="b">
        <f t="shared" si="436"/>
        <v>1</v>
      </c>
      <c r="AX82" s="8" t="str">
        <f t="shared" si="437"/>
        <v>Qcorrecto</v>
      </c>
      <c r="AY82" s="26" t="str">
        <f t="shared" si="417"/>
        <v>aceptable</v>
      </c>
      <c r="AZ82" s="26" t="str">
        <f t="shared" si="418"/>
        <v>aceptable</v>
      </c>
      <c r="BA82" s="26" t="str">
        <f t="shared" si="438"/>
        <v>aceptable</v>
      </c>
      <c r="BB82" s="25" t="str">
        <f t="shared" si="439"/>
        <v>NO CONFORME</v>
      </c>
      <c r="BC82" s="5" t="str">
        <f t="shared" si="440"/>
        <v>NO CONFORME</v>
      </c>
      <c r="BD82" s="15">
        <f t="shared" si="419"/>
        <v>-1</v>
      </c>
      <c r="BE82" s="15">
        <f t="shared" si="420"/>
        <v>-1</v>
      </c>
      <c r="BF82" s="15">
        <f t="shared" si="421"/>
        <v>-1</v>
      </c>
      <c r="BG82" s="15" t="str">
        <f t="shared" si="422"/>
        <v>-1-1-1</v>
      </c>
      <c r="BH82" s="15" t="str">
        <f t="shared" si="423"/>
        <v>SD</v>
      </c>
      <c r="BI82" s="15" t="str">
        <f t="shared" si="424"/>
        <v>SI</v>
      </c>
      <c r="BJ82" s="15" t="b">
        <f t="shared" si="425"/>
        <v>1</v>
      </c>
      <c r="BK82" s="15" t="str">
        <f t="shared" si="426"/>
        <v>SIGIGUALES</v>
      </c>
      <c r="BL82" s="26" t="str">
        <f t="shared" si="427"/>
        <v>NO CONFORME</v>
      </c>
    </row>
    <row r="83" spans="1:64" ht="14.4" x14ac:dyDescent="0.3">
      <c r="A83" s="91">
        <v>75</v>
      </c>
      <c r="B83" s="28">
        <f t="shared" ref="B83:D83" si="484">B82</f>
        <v>45920</v>
      </c>
      <c r="C83" s="28">
        <f t="shared" si="484"/>
        <v>45920</v>
      </c>
      <c r="D83" s="12">
        <f t="shared" si="484"/>
        <v>3</v>
      </c>
      <c r="E83" s="10">
        <f t="shared" si="301"/>
        <v>8</v>
      </c>
      <c r="F83" s="13"/>
      <c r="G83" s="157"/>
      <c r="H83" s="70">
        <f t="shared" ref="H83:L83" si="485">H82</f>
        <v>25.6</v>
      </c>
      <c r="I83" s="36">
        <f t="shared" si="485"/>
        <v>0</v>
      </c>
      <c r="J83" s="35">
        <f t="shared" si="485"/>
        <v>20.9</v>
      </c>
      <c r="K83" s="122">
        <f t="shared" si="485"/>
        <v>8.4730000000000008</v>
      </c>
      <c r="L83" s="122">
        <f t="shared" si="485"/>
        <v>0.52100000000000002</v>
      </c>
      <c r="M83" s="41"/>
      <c r="N83" s="41"/>
      <c r="O83" s="32">
        <f t="shared" ref="O83:P83" si="486">O82</f>
        <v>100.48</v>
      </c>
      <c r="P83" s="168" t="str">
        <f t="shared" si="486"/>
        <v>2,29,610</v>
      </c>
      <c r="Q83" s="11" t="str">
        <f t="shared" si="47"/>
        <v>2</v>
      </c>
      <c r="R83" s="11" t="str">
        <f t="shared" si="48"/>
        <v>29,610</v>
      </c>
      <c r="S83" s="11">
        <f t="shared" si="49"/>
        <v>4.1558333333333336E-2</v>
      </c>
      <c r="T83" s="14">
        <f t="shared" si="50"/>
        <v>2417.8062963705634</v>
      </c>
      <c r="U83" s="37">
        <f t="shared" si="51"/>
        <v>-100</v>
      </c>
      <c r="V83" s="38">
        <f t="shared" ref="V83:W83" si="487">V82</f>
        <v>21.3</v>
      </c>
      <c r="W83" s="124">
        <f t="shared" si="487"/>
        <v>1.0960000000000001</v>
      </c>
      <c r="X83" s="124">
        <f t="shared" si="431"/>
        <v>1.0880000000000001</v>
      </c>
      <c r="Y83" s="41"/>
      <c r="Z83" s="41"/>
      <c r="AA83" s="90">
        <f t="shared" ref="AA83:AB83" si="488">AA82</f>
        <v>5.01</v>
      </c>
      <c r="AB83" s="73" t="str">
        <f t="shared" si="488"/>
        <v>11,15,880</v>
      </c>
      <c r="AC83" s="11" t="str">
        <f t="shared" si="54"/>
        <v>11</v>
      </c>
      <c r="AD83" s="11" t="str">
        <f t="shared" si="55"/>
        <v>15,880</v>
      </c>
      <c r="AE83" s="11">
        <f t="shared" si="56"/>
        <v>0.18774444444444444</v>
      </c>
      <c r="AF83" s="14">
        <f t="shared" si="57"/>
        <v>26.685210392377346</v>
      </c>
      <c r="AG83" s="39">
        <f t="shared" si="58"/>
        <v>-100</v>
      </c>
      <c r="AH83" s="38">
        <f t="shared" si="446"/>
        <v>18.399999999999999</v>
      </c>
      <c r="AI83" s="124">
        <f t="shared" si="446"/>
        <v>1.0980000000000001</v>
      </c>
      <c r="AJ83" s="124">
        <f t="shared" si="446"/>
        <v>1.087</v>
      </c>
      <c r="AK83" s="41">
        <f t="shared" si="59"/>
        <v>0</v>
      </c>
      <c r="AL83" s="41"/>
      <c r="AM83" s="34">
        <f t="shared" ref="AM83:AN83" si="489">AM82</f>
        <v>2.0049999999999999</v>
      </c>
      <c r="AN83" s="33" t="str">
        <f t="shared" si="489"/>
        <v>7,19,050</v>
      </c>
      <c r="AO83" s="11" t="str">
        <f t="shared" si="61"/>
        <v>7,</v>
      </c>
      <c r="AP83" s="11" t="str">
        <f t="shared" si="62"/>
        <v>19,050</v>
      </c>
      <c r="AQ83" s="11">
        <f t="shared" si="63"/>
        <v>0.12195833333333334</v>
      </c>
      <c r="AR83" s="14">
        <f t="shared" si="64"/>
        <v>16.44004099760847</v>
      </c>
      <c r="AS83" s="39">
        <f t="shared" si="65"/>
        <v>-100</v>
      </c>
      <c r="AT83" s="40" t="str">
        <f t="shared" si="66"/>
        <v>NO CONFORME</v>
      </c>
      <c r="AU83" s="8" t="b">
        <f t="shared" si="434"/>
        <v>1</v>
      </c>
      <c r="AV83" s="8" t="b">
        <f t="shared" si="435"/>
        <v>0</v>
      </c>
      <c r="AW83" s="8" t="b">
        <f t="shared" si="436"/>
        <v>1</v>
      </c>
      <c r="AX83" s="8" t="str">
        <f t="shared" si="437"/>
        <v>Qcorrecto</v>
      </c>
      <c r="AY83" s="22" t="str">
        <f t="shared" si="417"/>
        <v>aceptable</v>
      </c>
      <c r="AZ83" s="22" t="str">
        <f t="shared" si="418"/>
        <v>aceptable</v>
      </c>
      <c r="BA83" s="22" t="str">
        <f t="shared" si="438"/>
        <v>aceptable</v>
      </c>
      <c r="BB83" s="25" t="str">
        <f t="shared" si="439"/>
        <v>NO CONFORME</v>
      </c>
      <c r="BC83" s="5" t="str">
        <f t="shared" si="440"/>
        <v>NO CONFORME</v>
      </c>
      <c r="BD83" s="15">
        <f t="shared" si="419"/>
        <v>-1</v>
      </c>
      <c r="BE83" s="15">
        <f t="shared" si="420"/>
        <v>-1</v>
      </c>
      <c r="BF83" s="15">
        <f t="shared" si="421"/>
        <v>-1</v>
      </c>
      <c r="BG83" s="15" t="str">
        <f t="shared" si="422"/>
        <v>-1-1-1</v>
      </c>
      <c r="BH83" s="15" t="str">
        <f t="shared" si="423"/>
        <v>SD</v>
      </c>
      <c r="BI83" s="15" t="str">
        <f t="shared" si="424"/>
        <v>SI</v>
      </c>
      <c r="BJ83" s="15" t="b">
        <f t="shared" si="425"/>
        <v>1</v>
      </c>
      <c r="BK83" s="15" t="str">
        <f t="shared" si="426"/>
        <v>SIGIGUALES</v>
      </c>
      <c r="BL83" s="22" t="str">
        <f t="shared" si="427"/>
        <v>NO CONFORME</v>
      </c>
    </row>
    <row r="84" spans="1:64" ht="14.4" x14ac:dyDescent="0.3">
      <c r="A84" s="91">
        <v>76</v>
      </c>
      <c r="B84" s="28">
        <f t="shared" ref="B84:D84" si="490">B83</f>
        <v>45920</v>
      </c>
      <c r="C84" s="28">
        <f t="shared" si="490"/>
        <v>45920</v>
      </c>
      <c r="D84" s="12">
        <f t="shared" si="490"/>
        <v>3</v>
      </c>
      <c r="E84" s="10">
        <f t="shared" si="301"/>
        <v>8</v>
      </c>
      <c r="F84" s="13"/>
      <c r="G84" s="157"/>
      <c r="H84" s="70">
        <f t="shared" ref="H84:L84" si="491">H83</f>
        <v>25.6</v>
      </c>
      <c r="I84" s="36">
        <f t="shared" si="491"/>
        <v>0</v>
      </c>
      <c r="J84" s="35">
        <f t="shared" si="491"/>
        <v>20.9</v>
      </c>
      <c r="K84" s="122">
        <f t="shared" si="491"/>
        <v>8.4730000000000008</v>
      </c>
      <c r="L84" s="122">
        <f t="shared" si="491"/>
        <v>0.52100000000000002</v>
      </c>
      <c r="M84" s="41"/>
      <c r="N84" s="41"/>
      <c r="O84" s="32">
        <f t="shared" ref="O84:P84" si="492">O83</f>
        <v>100.48</v>
      </c>
      <c r="P84" s="168" t="str">
        <f t="shared" si="492"/>
        <v>2,29,610</v>
      </c>
      <c r="Q84" s="11" t="str">
        <f t="shared" ref="Q84:Q147" si="493">LEFT(P84,1)</f>
        <v>2</v>
      </c>
      <c r="R84" s="11" t="str">
        <f t="shared" ref="R84:R147" si="494">RIGHT(P84,6)</f>
        <v>29,610</v>
      </c>
      <c r="S84" s="11">
        <f t="shared" ref="S84:S147" si="495">+(Q84*60+R84)/(60*60)</f>
        <v>4.1558333333333336E-2</v>
      </c>
      <c r="T84" s="14">
        <f t="shared" ref="T84:T147" si="496">+O84/S84</f>
        <v>2417.8062963705634</v>
      </c>
      <c r="U84" s="37">
        <f t="shared" ref="U84:U147" si="497">+(((N84-M84-O84)/O84)*100)</f>
        <v>-100</v>
      </c>
      <c r="V84" s="38">
        <f t="shared" ref="V84:W84" si="498">V83</f>
        <v>21.3</v>
      </c>
      <c r="W84" s="124">
        <f t="shared" si="498"/>
        <v>1.0960000000000001</v>
      </c>
      <c r="X84" s="124">
        <f t="shared" si="431"/>
        <v>1.0880000000000001</v>
      </c>
      <c r="Y84" s="41"/>
      <c r="Z84" s="41"/>
      <c r="AA84" s="90">
        <f t="shared" ref="AA84:AB84" si="499">AA83</f>
        <v>5.01</v>
      </c>
      <c r="AB84" s="73" t="str">
        <f t="shared" si="499"/>
        <v>11,15,880</v>
      </c>
      <c r="AC84" s="11" t="str">
        <f t="shared" ref="AC84:AC147" si="500">LEFT(AB84,2)</f>
        <v>11</v>
      </c>
      <c r="AD84" s="11" t="str">
        <f t="shared" ref="AD84:AD147" si="501">RIGHT(AB84,6)</f>
        <v>15,880</v>
      </c>
      <c r="AE84" s="11">
        <f t="shared" ref="AE84:AE147" si="502">+(AC84*60+AD84)/(60*60)</f>
        <v>0.18774444444444444</v>
      </c>
      <c r="AF84" s="14">
        <f t="shared" ref="AF84:AF147" si="503">+AA84/AE84</f>
        <v>26.685210392377346</v>
      </c>
      <c r="AG84" s="39">
        <f t="shared" ref="AG84:AG147" si="504">+(((Z84-Y84-AA84)/AA84)*100)</f>
        <v>-100</v>
      </c>
      <c r="AH84" s="38">
        <f t="shared" si="446"/>
        <v>18.399999999999999</v>
      </c>
      <c r="AI84" s="124">
        <f t="shared" si="446"/>
        <v>1.0980000000000001</v>
      </c>
      <c r="AJ84" s="124">
        <f t="shared" si="446"/>
        <v>1.087</v>
      </c>
      <c r="AK84" s="41">
        <f t="shared" ref="AK84:AK147" si="505">Z84</f>
        <v>0</v>
      </c>
      <c r="AL84" s="41"/>
      <c r="AM84" s="34">
        <f t="shared" ref="AM84:AN84" si="506">AM83</f>
        <v>2.0049999999999999</v>
      </c>
      <c r="AN84" s="33" t="str">
        <f t="shared" si="506"/>
        <v>7,19,050</v>
      </c>
      <c r="AO84" s="11" t="str">
        <f t="shared" ref="AO84:AO147" si="507">LEFT(AN84,2)</f>
        <v>7,</v>
      </c>
      <c r="AP84" s="11" t="str">
        <f t="shared" ref="AP84:AP147" si="508">RIGHT(AN84,6)</f>
        <v>19,050</v>
      </c>
      <c r="AQ84" s="11">
        <f t="shared" ref="AQ84:AQ147" si="509">+(AO84*60+AP84)/(60*60)</f>
        <v>0.12195833333333334</v>
      </c>
      <c r="AR84" s="14">
        <f t="shared" ref="AR84:AR147" si="510">+AM84/AQ84</f>
        <v>16.44004099760847</v>
      </c>
      <c r="AS84" s="39">
        <f t="shared" ref="AS84:AS147" si="511">+(((AL84-AK84-AM84)/AM84)*100)</f>
        <v>-100</v>
      </c>
      <c r="AT84" s="40" t="str">
        <f t="shared" ref="AT84:AT147" si="512">IF(I84&gt;=1,"NO CONFORME",IF(BK84="SIGDIFERENTES",BC84,BL84))</f>
        <v>NO CONFORME</v>
      </c>
      <c r="AU84" s="8" t="b">
        <f t="shared" si="434"/>
        <v>1</v>
      </c>
      <c r="AV84" s="8" t="b">
        <f t="shared" si="435"/>
        <v>0</v>
      </c>
      <c r="AW84" s="8" t="b">
        <f t="shared" si="436"/>
        <v>1</v>
      </c>
      <c r="AX84" s="8" t="str">
        <f t="shared" si="437"/>
        <v>Qcorrecto</v>
      </c>
      <c r="AY84" s="22" t="str">
        <f t="shared" si="417"/>
        <v>aceptable</v>
      </c>
      <c r="AZ84" s="22" t="str">
        <f t="shared" si="418"/>
        <v>aceptable</v>
      </c>
      <c r="BA84" s="22" t="str">
        <f t="shared" si="438"/>
        <v>aceptable</v>
      </c>
      <c r="BB84" s="25" t="str">
        <f t="shared" si="439"/>
        <v>NO CONFORME</v>
      </c>
      <c r="BC84" s="5" t="str">
        <f t="shared" si="440"/>
        <v>NO CONFORME</v>
      </c>
      <c r="BD84" s="15">
        <f t="shared" si="419"/>
        <v>-1</v>
      </c>
      <c r="BE84" s="15">
        <f t="shared" si="420"/>
        <v>-1</v>
      </c>
      <c r="BF84" s="15">
        <f t="shared" si="421"/>
        <v>-1</v>
      </c>
      <c r="BG84" s="15" t="str">
        <f t="shared" si="422"/>
        <v>-1-1-1</v>
      </c>
      <c r="BH84" s="15" t="str">
        <f t="shared" si="423"/>
        <v>SD</v>
      </c>
      <c r="BI84" s="15" t="str">
        <f t="shared" si="424"/>
        <v>SI</v>
      </c>
      <c r="BJ84" s="15" t="b">
        <f t="shared" si="425"/>
        <v>1</v>
      </c>
      <c r="BK84" s="15" t="str">
        <f t="shared" si="426"/>
        <v>SIGIGUALES</v>
      </c>
      <c r="BL84" s="22" t="str">
        <f t="shared" si="427"/>
        <v>NO CONFORME</v>
      </c>
    </row>
    <row r="85" spans="1:64" ht="14.4" x14ac:dyDescent="0.3">
      <c r="A85" s="91">
        <v>77</v>
      </c>
      <c r="B85" s="28">
        <f t="shared" ref="B85:D85" si="513">B84</f>
        <v>45920</v>
      </c>
      <c r="C85" s="28">
        <f t="shared" si="513"/>
        <v>45920</v>
      </c>
      <c r="D85" s="12">
        <f t="shared" si="513"/>
        <v>3</v>
      </c>
      <c r="E85" s="10">
        <f t="shared" si="301"/>
        <v>8</v>
      </c>
      <c r="F85" s="13"/>
      <c r="G85" s="157"/>
      <c r="H85" s="70">
        <f t="shared" ref="H85:L85" si="514">H84</f>
        <v>25.6</v>
      </c>
      <c r="I85" s="36">
        <f t="shared" si="514"/>
        <v>0</v>
      </c>
      <c r="J85" s="35">
        <f t="shared" si="514"/>
        <v>20.9</v>
      </c>
      <c r="K85" s="122">
        <f t="shared" si="514"/>
        <v>8.4730000000000008</v>
      </c>
      <c r="L85" s="122">
        <f t="shared" si="514"/>
        <v>0.52100000000000002</v>
      </c>
      <c r="M85" s="41"/>
      <c r="N85" s="41"/>
      <c r="O85" s="32">
        <f t="shared" ref="O85:P85" si="515">O84</f>
        <v>100.48</v>
      </c>
      <c r="P85" s="168" t="str">
        <f t="shared" si="515"/>
        <v>2,29,610</v>
      </c>
      <c r="Q85" s="11" t="str">
        <f t="shared" si="493"/>
        <v>2</v>
      </c>
      <c r="R85" s="11" t="str">
        <f t="shared" si="494"/>
        <v>29,610</v>
      </c>
      <c r="S85" s="11">
        <f t="shared" si="495"/>
        <v>4.1558333333333336E-2</v>
      </c>
      <c r="T85" s="14">
        <f t="shared" si="496"/>
        <v>2417.8062963705634</v>
      </c>
      <c r="U85" s="37">
        <f t="shared" si="497"/>
        <v>-100</v>
      </c>
      <c r="V85" s="38">
        <f t="shared" ref="V85:W85" si="516">V84</f>
        <v>21.3</v>
      </c>
      <c r="W85" s="124">
        <f t="shared" si="516"/>
        <v>1.0960000000000001</v>
      </c>
      <c r="X85" s="124">
        <f t="shared" si="431"/>
        <v>1.0880000000000001</v>
      </c>
      <c r="Y85" s="41"/>
      <c r="Z85" s="41"/>
      <c r="AA85" s="90">
        <f t="shared" ref="AA85:AB85" si="517">AA84</f>
        <v>5.01</v>
      </c>
      <c r="AB85" s="73" t="str">
        <f t="shared" si="517"/>
        <v>11,15,880</v>
      </c>
      <c r="AC85" s="11" t="str">
        <f t="shared" si="500"/>
        <v>11</v>
      </c>
      <c r="AD85" s="11" t="str">
        <f t="shared" si="501"/>
        <v>15,880</v>
      </c>
      <c r="AE85" s="11">
        <f t="shared" si="502"/>
        <v>0.18774444444444444</v>
      </c>
      <c r="AF85" s="14">
        <f t="shared" si="503"/>
        <v>26.685210392377346</v>
      </c>
      <c r="AG85" s="39">
        <f t="shared" si="504"/>
        <v>-100</v>
      </c>
      <c r="AH85" s="38">
        <f t="shared" si="446"/>
        <v>18.399999999999999</v>
      </c>
      <c r="AI85" s="124">
        <f t="shared" si="446"/>
        <v>1.0980000000000001</v>
      </c>
      <c r="AJ85" s="124">
        <f t="shared" si="446"/>
        <v>1.087</v>
      </c>
      <c r="AK85" s="41">
        <f t="shared" si="505"/>
        <v>0</v>
      </c>
      <c r="AL85" s="41"/>
      <c r="AM85" s="34">
        <f t="shared" ref="AM85:AN85" si="518">AM84</f>
        <v>2.0049999999999999</v>
      </c>
      <c r="AN85" s="33" t="str">
        <f t="shared" si="518"/>
        <v>7,19,050</v>
      </c>
      <c r="AO85" s="11" t="str">
        <f t="shared" si="507"/>
        <v>7,</v>
      </c>
      <c r="AP85" s="11" t="str">
        <f t="shared" si="508"/>
        <v>19,050</v>
      </c>
      <c r="AQ85" s="11">
        <f t="shared" si="509"/>
        <v>0.12195833333333334</v>
      </c>
      <c r="AR85" s="14">
        <f t="shared" si="510"/>
        <v>16.44004099760847</v>
      </c>
      <c r="AS85" s="39">
        <f t="shared" si="511"/>
        <v>-100</v>
      </c>
      <c r="AT85" s="40" t="str">
        <f t="shared" si="512"/>
        <v>NO CONFORME</v>
      </c>
      <c r="AU85" s="8" t="b">
        <f t="shared" si="434"/>
        <v>1</v>
      </c>
      <c r="AV85" s="8" t="b">
        <f t="shared" si="435"/>
        <v>0</v>
      </c>
      <c r="AW85" s="8" t="b">
        <f t="shared" si="436"/>
        <v>1</v>
      </c>
      <c r="AX85" s="8" t="str">
        <f t="shared" si="437"/>
        <v>Qcorrecto</v>
      </c>
      <c r="AY85" s="22" t="str">
        <f t="shared" si="417"/>
        <v>aceptable</v>
      </c>
      <c r="AZ85" s="22" t="str">
        <f t="shared" si="418"/>
        <v>aceptable</v>
      </c>
      <c r="BA85" s="22" t="str">
        <f t="shared" si="438"/>
        <v>aceptable</v>
      </c>
      <c r="BB85" s="25" t="str">
        <f t="shared" si="439"/>
        <v>NO CONFORME</v>
      </c>
      <c r="BC85" s="5" t="str">
        <f t="shared" si="440"/>
        <v>NO CONFORME</v>
      </c>
      <c r="BD85" s="15">
        <f t="shared" si="419"/>
        <v>-1</v>
      </c>
      <c r="BE85" s="15">
        <f t="shared" si="420"/>
        <v>-1</v>
      </c>
      <c r="BF85" s="15">
        <f t="shared" si="421"/>
        <v>-1</v>
      </c>
      <c r="BG85" s="15" t="str">
        <f t="shared" si="422"/>
        <v>-1-1-1</v>
      </c>
      <c r="BH85" s="15" t="str">
        <f t="shared" si="423"/>
        <v>SD</v>
      </c>
      <c r="BI85" s="15" t="str">
        <f t="shared" si="424"/>
        <v>SI</v>
      </c>
      <c r="BJ85" s="15" t="b">
        <f t="shared" si="425"/>
        <v>1</v>
      </c>
      <c r="BK85" s="15" t="str">
        <f t="shared" si="426"/>
        <v>SIGIGUALES</v>
      </c>
      <c r="BL85" s="22" t="str">
        <f t="shared" si="427"/>
        <v>NO CONFORME</v>
      </c>
    </row>
    <row r="86" spans="1:64" ht="14.4" x14ac:dyDescent="0.3">
      <c r="A86" s="91">
        <v>78</v>
      </c>
      <c r="B86" s="28">
        <f t="shared" ref="B86:D86" si="519">B85</f>
        <v>45920</v>
      </c>
      <c r="C86" s="28">
        <f t="shared" si="519"/>
        <v>45920</v>
      </c>
      <c r="D86" s="12">
        <f t="shared" si="519"/>
        <v>3</v>
      </c>
      <c r="E86" s="10">
        <f t="shared" si="301"/>
        <v>8</v>
      </c>
      <c r="F86" s="13"/>
      <c r="G86" s="157"/>
      <c r="H86" s="70">
        <f t="shared" ref="H86:L86" si="520">H85</f>
        <v>25.6</v>
      </c>
      <c r="I86" s="36">
        <f t="shared" si="520"/>
        <v>0</v>
      </c>
      <c r="J86" s="35">
        <f t="shared" si="520"/>
        <v>20.9</v>
      </c>
      <c r="K86" s="122">
        <f t="shared" si="520"/>
        <v>8.4730000000000008</v>
      </c>
      <c r="L86" s="122">
        <f t="shared" si="520"/>
        <v>0.52100000000000002</v>
      </c>
      <c r="M86" s="41"/>
      <c r="N86" s="41"/>
      <c r="O86" s="32">
        <f t="shared" ref="O86:P86" si="521">O85</f>
        <v>100.48</v>
      </c>
      <c r="P86" s="168" t="str">
        <f t="shared" si="521"/>
        <v>2,29,610</v>
      </c>
      <c r="Q86" s="11" t="str">
        <f t="shared" si="493"/>
        <v>2</v>
      </c>
      <c r="R86" s="11" t="str">
        <f t="shared" si="494"/>
        <v>29,610</v>
      </c>
      <c r="S86" s="11">
        <f t="shared" si="495"/>
        <v>4.1558333333333336E-2</v>
      </c>
      <c r="T86" s="14">
        <f t="shared" si="496"/>
        <v>2417.8062963705634</v>
      </c>
      <c r="U86" s="37">
        <f t="shared" si="497"/>
        <v>-100</v>
      </c>
      <c r="V86" s="38">
        <f t="shared" ref="V86:W86" si="522">V85</f>
        <v>21.3</v>
      </c>
      <c r="W86" s="124">
        <f t="shared" si="522"/>
        <v>1.0960000000000001</v>
      </c>
      <c r="X86" s="124">
        <f t="shared" si="431"/>
        <v>1.0880000000000001</v>
      </c>
      <c r="Y86" s="41"/>
      <c r="Z86" s="41"/>
      <c r="AA86" s="90">
        <f t="shared" ref="AA86:AB86" si="523">AA85</f>
        <v>5.01</v>
      </c>
      <c r="AB86" s="73" t="str">
        <f t="shared" si="523"/>
        <v>11,15,880</v>
      </c>
      <c r="AC86" s="11" t="str">
        <f t="shared" si="500"/>
        <v>11</v>
      </c>
      <c r="AD86" s="11" t="str">
        <f t="shared" si="501"/>
        <v>15,880</v>
      </c>
      <c r="AE86" s="11">
        <f t="shared" si="502"/>
        <v>0.18774444444444444</v>
      </c>
      <c r="AF86" s="14">
        <f t="shared" si="503"/>
        <v>26.685210392377346</v>
      </c>
      <c r="AG86" s="39">
        <f t="shared" si="504"/>
        <v>-100</v>
      </c>
      <c r="AH86" s="38">
        <f t="shared" si="446"/>
        <v>18.399999999999999</v>
      </c>
      <c r="AI86" s="124">
        <f t="shared" si="446"/>
        <v>1.0980000000000001</v>
      </c>
      <c r="AJ86" s="124">
        <f t="shared" si="446"/>
        <v>1.087</v>
      </c>
      <c r="AK86" s="41">
        <f t="shared" si="505"/>
        <v>0</v>
      </c>
      <c r="AL86" s="41"/>
      <c r="AM86" s="34">
        <f t="shared" ref="AM86:AN86" si="524">AM85</f>
        <v>2.0049999999999999</v>
      </c>
      <c r="AN86" s="33" t="str">
        <f t="shared" si="524"/>
        <v>7,19,050</v>
      </c>
      <c r="AO86" s="11" t="str">
        <f t="shared" si="507"/>
        <v>7,</v>
      </c>
      <c r="AP86" s="11" t="str">
        <f t="shared" si="508"/>
        <v>19,050</v>
      </c>
      <c r="AQ86" s="11">
        <f t="shared" si="509"/>
        <v>0.12195833333333334</v>
      </c>
      <c r="AR86" s="14">
        <f t="shared" si="510"/>
        <v>16.44004099760847</v>
      </c>
      <c r="AS86" s="39">
        <f t="shared" si="511"/>
        <v>-100</v>
      </c>
      <c r="AT86" s="40" t="str">
        <f t="shared" si="512"/>
        <v>NO CONFORME</v>
      </c>
      <c r="AU86" s="8" t="b">
        <f t="shared" si="434"/>
        <v>1</v>
      </c>
      <c r="AV86" s="8" t="b">
        <f t="shared" si="435"/>
        <v>0</v>
      </c>
      <c r="AW86" s="8" t="b">
        <f t="shared" si="436"/>
        <v>1</v>
      </c>
      <c r="AX86" s="8" t="str">
        <f t="shared" si="437"/>
        <v>Qcorrecto</v>
      </c>
      <c r="AY86" s="22" t="str">
        <f t="shared" si="417"/>
        <v>aceptable</v>
      </c>
      <c r="AZ86" s="22" t="str">
        <f t="shared" si="418"/>
        <v>aceptable</v>
      </c>
      <c r="BA86" s="22" t="str">
        <f t="shared" si="438"/>
        <v>aceptable</v>
      </c>
      <c r="BB86" s="25" t="str">
        <f t="shared" si="439"/>
        <v>NO CONFORME</v>
      </c>
      <c r="BC86" s="5" t="str">
        <f t="shared" si="440"/>
        <v>NO CONFORME</v>
      </c>
      <c r="BD86" s="15">
        <f t="shared" si="419"/>
        <v>-1</v>
      </c>
      <c r="BE86" s="15">
        <f t="shared" si="420"/>
        <v>-1</v>
      </c>
      <c r="BF86" s="15">
        <f t="shared" si="421"/>
        <v>-1</v>
      </c>
      <c r="BG86" s="15" t="str">
        <f t="shared" si="422"/>
        <v>-1-1-1</v>
      </c>
      <c r="BH86" s="15" t="str">
        <f t="shared" si="423"/>
        <v>SD</v>
      </c>
      <c r="BI86" s="15" t="str">
        <f t="shared" si="424"/>
        <v>SI</v>
      </c>
      <c r="BJ86" s="15" t="b">
        <f t="shared" si="425"/>
        <v>1</v>
      </c>
      <c r="BK86" s="15" t="str">
        <f t="shared" si="426"/>
        <v>SIGIGUALES</v>
      </c>
      <c r="BL86" s="22" t="str">
        <f t="shared" si="427"/>
        <v>NO CONFORME</v>
      </c>
    </row>
    <row r="87" spans="1:64" ht="14.4" x14ac:dyDescent="0.3">
      <c r="A87" s="91">
        <v>79</v>
      </c>
      <c r="B87" s="28">
        <f t="shared" ref="B87:D87" si="525">B86</f>
        <v>45920</v>
      </c>
      <c r="C87" s="28">
        <f t="shared" si="525"/>
        <v>45920</v>
      </c>
      <c r="D87" s="12">
        <f t="shared" si="525"/>
        <v>3</v>
      </c>
      <c r="E87" s="10">
        <f t="shared" si="301"/>
        <v>8</v>
      </c>
      <c r="F87" s="13"/>
      <c r="G87" s="157"/>
      <c r="H87" s="70">
        <f t="shared" ref="H87:L87" si="526">H86</f>
        <v>25.6</v>
      </c>
      <c r="I87" s="36">
        <f t="shared" si="526"/>
        <v>0</v>
      </c>
      <c r="J87" s="35">
        <f t="shared" si="526"/>
        <v>20.9</v>
      </c>
      <c r="K87" s="122">
        <f t="shared" si="526"/>
        <v>8.4730000000000008</v>
      </c>
      <c r="L87" s="122">
        <f t="shared" si="526"/>
        <v>0.52100000000000002</v>
      </c>
      <c r="M87" s="41"/>
      <c r="N87" s="41"/>
      <c r="O87" s="32">
        <f t="shared" ref="O87:P87" si="527">O86</f>
        <v>100.48</v>
      </c>
      <c r="P87" s="168" t="str">
        <f t="shared" si="527"/>
        <v>2,29,610</v>
      </c>
      <c r="Q87" s="11" t="str">
        <f t="shared" si="493"/>
        <v>2</v>
      </c>
      <c r="R87" s="11" t="str">
        <f t="shared" si="494"/>
        <v>29,610</v>
      </c>
      <c r="S87" s="11">
        <f t="shared" si="495"/>
        <v>4.1558333333333336E-2</v>
      </c>
      <c r="T87" s="14">
        <f t="shared" si="496"/>
        <v>2417.8062963705634</v>
      </c>
      <c r="U87" s="37">
        <f t="shared" si="497"/>
        <v>-100</v>
      </c>
      <c r="V87" s="38">
        <f t="shared" ref="V87:W87" si="528">V86</f>
        <v>21.3</v>
      </c>
      <c r="W87" s="124">
        <f t="shared" si="528"/>
        <v>1.0960000000000001</v>
      </c>
      <c r="X87" s="124">
        <f t="shared" si="431"/>
        <v>1.0880000000000001</v>
      </c>
      <c r="Y87" s="41"/>
      <c r="Z87" s="41"/>
      <c r="AA87" s="90">
        <f t="shared" ref="AA87:AB87" si="529">AA86</f>
        <v>5.01</v>
      </c>
      <c r="AB87" s="73" t="str">
        <f t="shared" si="529"/>
        <v>11,15,880</v>
      </c>
      <c r="AC87" s="11" t="str">
        <f t="shared" si="500"/>
        <v>11</v>
      </c>
      <c r="AD87" s="11" t="str">
        <f t="shared" si="501"/>
        <v>15,880</v>
      </c>
      <c r="AE87" s="11">
        <f t="shared" si="502"/>
        <v>0.18774444444444444</v>
      </c>
      <c r="AF87" s="14">
        <f t="shared" si="503"/>
        <v>26.685210392377346</v>
      </c>
      <c r="AG87" s="39">
        <f t="shared" si="504"/>
        <v>-100</v>
      </c>
      <c r="AH87" s="38">
        <f t="shared" si="446"/>
        <v>18.399999999999999</v>
      </c>
      <c r="AI87" s="124">
        <f t="shared" si="446"/>
        <v>1.0980000000000001</v>
      </c>
      <c r="AJ87" s="124">
        <f t="shared" si="446"/>
        <v>1.087</v>
      </c>
      <c r="AK87" s="41">
        <f t="shared" si="505"/>
        <v>0</v>
      </c>
      <c r="AL87" s="41"/>
      <c r="AM87" s="34">
        <f t="shared" ref="AM87:AN87" si="530">AM86</f>
        <v>2.0049999999999999</v>
      </c>
      <c r="AN87" s="33" t="str">
        <f t="shared" si="530"/>
        <v>7,19,050</v>
      </c>
      <c r="AO87" s="11" t="str">
        <f t="shared" si="507"/>
        <v>7,</v>
      </c>
      <c r="AP87" s="11" t="str">
        <f t="shared" si="508"/>
        <v>19,050</v>
      </c>
      <c r="AQ87" s="11">
        <f t="shared" si="509"/>
        <v>0.12195833333333334</v>
      </c>
      <c r="AR87" s="14">
        <f t="shared" si="510"/>
        <v>16.44004099760847</v>
      </c>
      <c r="AS87" s="39">
        <f t="shared" si="511"/>
        <v>-100</v>
      </c>
      <c r="AT87" s="40" t="str">
        <f t="shared" si="512"/>
        <v>NO CONFORME</v>
      </c>
      <c r="AU87" s="8" t="b">
        <f t="shared" si="434"/>
        <v>1</v>
      </c>
      <c r="AV87" s="8" t="b">
        <f t="shared" si="435"/>
        <v>0</v>
      </c>
      <c r="AW87" s="8" t="b">
        <f t="shared" si="436"/>
        <v>1</v>
      </c>
      <c r="AX87" s="8" t="str">
        <f t="shared" si="437"/>
        <v>Qcorrecto</v>
      </c>
      <c r="AY87" s="22" t="str">
        <f t="shared" si="417"/>
        <v>aceptable</v>
      </c>
      <c r="AZ87" s="22" t="str">
        <f t="shared" si="418"/>
        <v>aceptable</v>
      </c>
      <c r="BA87" s="22" t="str">
        <f t="shared" si="438"/>
        <v>aceptable</v>
      </c>
      <c r="BB87" s="25" t="str">
        <f t="shared" si="439"/>
        <v>NO CONFORME</v>
      </c>
      <c r="BC87" s="5" t="str">
        <f t="shared" si="440"/>
        <v>NO CONFORME</v>
      </c>
      <c r="BD87" s="15">
        <f t="shared" si="419"/>
        <v>-1</v>
      </c>
      <c r="BE87" s="15">
        <f t="shared" si="420"/>
        <v>-1</v>
      </c>
      <c r="BF87" s="15">
        <f t="shared" si="421"/>
        <v>-1</v>
      </c>
      <c r="BG87" s="15" t="str">
        <f t="shared" si="422"/>
        <v>-1-1-1</v>
      </c>
      <c r="BH87" s="15" t="str">
        <f t="shared" si="423"/>
        <v>SD</v>
      </c>
      <c r="BI87" s="15" t="str">
        <f t="shared" si="424"/>
        <v>SI</v>
      </c>
      <c r="BJ87" s="15" t="b">
        <f t="shared" si="425"/>
        <v>1</v>
      </c>
      <c r="BK87" s="15" t="str">
        <f t="shared" si="426"/>
        <v>SIGIGUALES</v>
      </c>
      <c r="BL87" s="22" t="str">
        <f t="shared" si="427"/>
        <v>NO CONFORME</v>
      </c>
    </row>
    <row r="88" spans="1:64" ht="14.4" x14ac:dyDescent="0.3">
      <c r="A88" s="91">
        <v>80</v>
      </c>
      <c r="B88" s="28">
        <f t="shared" ref="B88:D88" si="531">B87</f>
        <v>45920</v>
      </c>
      <c r="C88" s="28">
        <f t="shared" si="531"/>
        <v>45920</v>
      </c>
      <c r="D88" s="12">
        <f t="shared" si="531"/>
        <v>3</v>
      </c>
      <c r="E88" s="10">
        <f t="shared" si="301"/>
        <v>8</v>
      </c>
      <c r="F88" s="13"/>
      <c r="G88" s="157"/>
      <c r="H88" s="70">
        <f t="shared" ref="H88:L88" si="532">H87</f>
        <v>25.6</v>
      </c>
      <c r="I88" s="36">
        <f t="shared" si="532"/>
        <v>0</v>
      </c>
      <c r="J88" s="35">
        <f t="shared" si="532"/>
        <v>20.9</v>
      </c>
      <c r="K88" s="122">
        <f t="shared" si="532"/>
        <v>8.4730000000000008</v>
      </c>
      <c r="L88" s="122">
        <f t="shared" si="532"/>
        <v>0.52100000000000002</v>
      </c>
      <c r="M88" s="41"/>
      <c r="N88" s="41"/>
      <c r="O88" s="32">
        <f t="shared" ref="O88:P88" si="533">O87</f>
        <v>100.48</v>
      </c>
      <c r="P88" s="168" t="str">
        <f t="shared" si="533"/>
        <v>2,29,610</v>
      </c>
      <c r="Q88" s="11" t="str">
        <f t="shared" si="493"/>
        <v>2</v>
      </c>
      <c r="R88" s="11" t="str">
        <f t="shared" si="494"/>
        <v>29,610</v>
      </c>
      <c r="S88" s="11">
        <f t="shared" si="495"/>
        <v>4.1558333333333336E-2</v>
      </c>
      <c r="T88" s="14">
        <f t="shared" si="496"/>
        <v>2417.8062963705634</v>
      </c>
      <c r="U88" s="37">
        <f t="shared" si="497"/>
        <v>-100</v>
      </c>
      <c r="V88" s="38">
        <f t="shared" ref="V88:W88" si="534">V87</f>
        <v>21.3</v>
      </c>
      <c r="W88" s="124">
        <f t="shared" si="534"/>
        <v>1.0960000000000001</v>
      </c>
      <c r="X88" s="124">
        <f t="shared" si="431"/>
        <v>1.0880000000000001</v>
      </c>
      <c r="Y88" s="41"/>
      <c r="Z88" s="41"/>
      <c r="AA88" s="90">
        <f t="shared" ref="AA88:AB88" si="535">AA87</f>
        <v>5.01</v>
      </c>
      <c r="AB88" s="73" t="str">
        <f t="shared" si="535"/>
        <v>11,15,880</v>
      </c>
      <c r="AC88" s="11" t="str">
        <f t="shared" si="500"/>
        <v>11</v>
      </c>
      <c r="AD88" s="11" t="str">
        <f t="shared" si="501"/>
        <v>15,880</v>
      </c>
      <c r="AE88" s="11">
        <f t="shared" si="502"/>
        <v>0.18774444444444444</v>
      </c>
      <c r="AF88" s="14">
        <f t="shared" si="503"/>
        <v>26.685210392377346</v>
      </c>
      <c r="AG88" s="39">
        <f t="shared" si="504"/>
        <v>-100</v>
      </c>
      <c r="AH88" s="38">
        <f t="shared" si="446"/>
        <v>18.399999999999999</v>
      </c>
      <c r="AI88" s="124">
        <f t="shared" si="446"/>
        <v>1.0980000000000001</v>
      </c>
      <c r="AJ88" s="124">
        <f t="shared" si="446"/>
        <v>1.087</v>
      </c>
      <c r="AK88" s="41">
        <f t="shared" si="505"/>
        <v>0</v>
      </c>
      <c r="AL88" s="41"/>
      <c r="AM88" s="34">
        <f t="shared" ref="AM88:AN88" si="536">AM87</f>
        <v>2.0049999999999999</v>
      </c>
      <c r="AN88" s="33" t="str">
        <f t="shared" si="536"/>
        <v>7,19,050</v>
      </c>
      <c r="AO88" s="11" t="str">
        <f t="shared" si="507"/>
        <v>7,</v>
      </c>
      <c r="AP88" s="11" t="str">
        <f t="shared" si="508"/>
        <v>19,050</v>
      </c>
      <c r="AQ88" s="11">
        <f t="shared" si="509"/>
        <v>0.12195833333333334</v>
      </c>
      <c r="AR88" s="14">
        <f t="shared" si="510"/>
        <v>16.44004099760847</v>
      </c>
      <c r="AS88" s="39">
        <f t="shared" si="511"/>
        <v>-100</v>
      </c>
      <c r="AT88" s="40" t="str">
        <f t="shared" si="512"/>
        <v>NO CONFORME</v>
      </c>
      <c r="AU88" s="8" t="b">
        <f t="shared" si="434"/>
        <v>1</v>
      </c>
      <c r="AV88" s="8" t="b">
        <f t="shared" si="435"/>
        <v>0</v>
      </c>
      <c r="AW88" s="8" t="b">
        <f t="shared" si="436"/>
        <v>1</v>
      </c>
      <c r="AX88" s="8" t="str">
        <f t="shared" si="437"/>
        <v>Qcorrecto</v>
      </c>
      <c r="AY88" s="22" t="str">
        <f t="shared" si="417"/>
        <v>aceptable</v>
      </c>
      <c r="AZ88" s="22" t="str">
        <f t="shared" si="418"/>
        <v>aceptable</v>
      </c>
      <c r="BA88" s="22" t="str">
        <f t="shared" si="438"/>
        <v>aceptable</v>
      </c>
      <c r="BB88" s="25" t="str">
        <f t="shared" si="439"/>
        <v>NO CONFORME</v>
      </c>
      <c r="BC88" s="5" t="str">
        <f t="shared" si="440"/>
        <v>NO CONFORME</v>
      </c>
      <c r="BD88" s="15">
        <f t="shared" si="419"/>
        <v>-1</v>
      </c>
      <c r="BE88" s="15">
        <f t="shared" si="420"/>
        <v>-1</v>
      </c>
      <c r="BF88" s="15">
        <f t="shared" si="421"/>
        <v>-1</v>
      </c>
      <c r="BG88" s="15" t="str">
        <f t="shared" si="422"/>
        <v>-1-1-1</v>
      </c>
      <c r="BH88" s="15" t="str">
        <f t="shared" si="423"/>
        <v>SD</v>
      </c>
      <c r="BI88" s="15" t="str">
        <f t="shared" si="424"/>
        <v>SI</v>
      </c>
      <c r="BJ88" s="15" t="b">
        <f t="shared" si="425"/>
        <v>1</v>
      </c>
      <c r="BK88" s="15" t="str">
        <f t="shared" si="426"/>
        <v>SIGIGUALES</v>
      </c>
      <c r="BL88" s="22" t="str">
        <f t="shared" si="427"/>
        <v>NO CONFORME</v>
      </c>
    </row>
    <row r="89" spans="1:64" ht="14.4" x14ac:dyDescent="0.3">
      <c r="A89" s="91">
        <v>81</v>
      </c>
      <c r="B89" s="28">
        <f t="shared" ref="B89:D89" si="537">B88</f>
        <v>45920</v>
      </c>
      <c r="C89" s="28">
        <f t="shared" si="537"/>
        <v>45920</v>
      </c>
      <c r="D89" s="12">
        <f t="shared" si="537"/>
        <v>3</v>
      </c>
      <c r="E89" s="10">
        <f t="shared" si="301"/>
        <v>8</v>
      </c>
      <c r="F89" s="13"/>
      <c r="G89" s="157"/>
      <c r="H89" s="70">
        <f t="shared" ref="H89:L89" si="538">H88</f>
        <v>25.6</v>
      </c>
      <c r="I89" s="36">
        <f t="shared" si="538"/>
        <v>0</v>
      </c>
      <c r="J89" s="35">
        <f t="shared" si="538"/>
        <v>20.9</v>
      </c>
      <c r="K89" s="122">
        <f t="shared" si="538"/>
        <v>8.4730000000000008</v>
      </c>
      <c r="L89" s="122">
        <f t="shared" si="538"/>
        <v>0.52100000000000002</v>
      </c>
      <c r="M89" s="41"/>
      <c r="N89" s="41"/>
      <c r="O89" s="32">
        <f t="shared" ref="O89:P89" si="539">O88</f>
        <v>100.48</v>
      </c>
      <c r="P89" s="168" t="str">
        <f t="shared" si="539"/>
        <v>2,29,610</v>
      </c>
      <c r="Q89" s="11" t="str">
        <f t="shared" si="493"/>
        <v>2</v>
      </c>
      <c r="R89" s="11" t="str">
        <f t="shared" si="494"/>
        <v>29,610</v>
      </c>
      <c r="S89" s="11">
        <f t="shared" si="495"/>
        <v>4.1558333333333336E-2</v>
      </c>
      <c r="T89" s="14">
        <f t="shared" si="496"/>
        <v>2417.8062963705634</v>
      </c>
      <c r="U89" s="37">
        <f t="shared" si="497"/>
        <v>-100</v>
      </c>
      <c r="V89" s="38">
        <f t="shared" ref="V89:W89" si="540">V88</f>
        <v>21.3</v>
      </c>
      <c r="W89" s="124">
        <f t="shared" si="540"/>
        <v>1.0960000000000001</v>
      </c>
      <c r="X89" s="124">
        <f t="shared" si="431"/>
        <v>1.0880000000000001</v>
      </c>
      <c r="Y89" s="41"/>
      <c r="Z89" s="41"/>
      <c r="AA89" s="90">
        <f t="shared" ref="AA89:AB89" si="541">AA88</f>
        <v>5.01</v>
      </c>
      <c r="AB89" s="73" t="str">
        <f t="shared" si="541"/>
        <v>11,15,880</v>
      </c>
      <c r="AC89" s="11" t="str">
        <f t="shared" si="500"/>
        <v>11</v>
      </c>
      <c r="AD89" s="11" t="str">
        <f t="shared" si="501"/>
        <v>15,880</v>
      </c>
      <c r="AE89" s="11">
        <f t="shared" si="502"/>
        <v>0.18774444444444444</v>
      </c>
      <c r="AF89" s="14">
        <f t="shared" si="503"/>
        <v>26.685210392377346</v>
      </c>
      <c r="AG89" s="39">
        <f t="shared" si="504"/>
        <v>-100</v>
      </c>
      <c r="AH89" s="38">
        <f t="shared" si="446"/>
        <v>18.399999999999999</v>
      </c>
      <c r="AI89" s="124">
        <f t="shared" si="446"/>
        <v>1.0980000000000001</v>
      </c>
      <c r="AJ89" s="124">
        <f t="shared" si="446"/>
        <v>1.087</v>
      </c>
      <c r="AK89" s="41">
        <f t="shared" si="505"/>
        <v>0</v>
      </c>
      <c r="AL89" s="41"/>
      <c r="AM89" s="34">
        <f t="shared" ref="AM89:AN89" si="542">AM88</f>
        <v>2.0049999999999999</v>
      </c>
      <c r="AN89" s="33" t="str">
        <f t="shared" si="542"/>
        <v>7,19,050</v>
      </c>
      <c r="AO89" s="11" t="str">
        <f t="shared" si="507"/>
        <v>7,</v>
      </c>
      <c r="AP89" s="11" t="str">
        <f t="shared" si="508"/>
        <v>19,050</v>
      </c>
      <c r="AQ89" s="11">
        <f t="shared" si="509"/>
        <v>0.12195833333333334</v>
      </c>
      <c r="AR89" s="14">
        <f t="shared" si="510"/>
        <v>16.44004099760847</v>
      </c>
      <c r="AS89" s="39">
        <f t="shared" si="511"/>
        <v>-100</v>
      </c>
      <c r="AT89" s="40" t="str">
        <f t="shared" si="512"/>
        <v>NO CONFORME</v>
      </c>
      <c r="AU89" s="8" t="b">
        <f t="shared" si="434"/>
        <v>1</v>
      </c>
      <c r="AV89" s="8" t="b">
        <f t="shared" si="435"/>
        <v>0</v>
      </c>
      <c r="AW89" s="8" t="b">
        <f t="shared" si="436"/>
        <v>1</v>
      </c>
      <c r="AX89" s="8" t="str">
        <f t="shared" si="437"/>
        <v>Qcorrecto</v>
      </c>
      <c r="AY89" s="22" t="str">
        <f t="shared" si="417"/>
        <v>aceptable</v>
      </c>
      <c r="AZ89" s="22" t="str">
        <f t="shared" si="418"/>
        <v>aceptable</v>
      </c>
      <c r="BA89" s="22" t="str">
        <f t="shared" si="438"/>
        <v>aceptable</v>
      </c>
      <c r="BB89" s="25" t="str">
        <f t="shared" si="439"/>
        <v>NO CONFORME</v>
      </c>
      <c r="BC89" s="5" t="str">
        <f t="shared" si="440"/>
        <v>NO CONFORME</v>
      </c>
      <c r="BD89" s="15">
        <f t="shared" si="419"/>
        <v>-1</v>
      </c>
      <c r="BE89" s="15">
        <f t="shared" si="420"/>
        <v>-1</v>
      </c>
      <c r="BF89" s="15">
        <f t="shared" si="421"/>
        <v>-1</v>
      </c>
      <c r="BG89" s="15" t="str">
        <f t="shared" si="422"/>
        <v>-1-1-1</v>
      </c>
      <c r="BH89" s="15" t="str">
        <f t="shared" si="423"/>
        <v>SD</v>
      </c>
      <c r="BI89" s="15" t="str">
        <f t="shared" si="424"/>
        <v>SI</v>
      </c>
      <c r="BJ89" s="15" t="b">
        <f t="shared" si="425"/>
        <v>1</v>
      </c>
      <c r="BK89" s="15" t="str">
        <f t="shared" si="426"/>
        <v>SIGIGUALES</v>
      </c>
      <c r="BL89" s="22" t="str">
        <f t="shared" si="427"/>
        <v>NO CONFORME</v>
      </c>
    </row>
    <row r="90" spans="1:64" ht="14.4" x14ac:dyDescent="0.3">
      <c r="A90" s="91">
        <v>82</v>
      </c>
      <c r="B90" s="28">
        <f t="shared" ref="B90:D90" si="543">B89</f>
        <v>45920</v>
      </c>
      <c r="C90" s="28">
        <f t="shared" si="543"/>
        <v>45920</v>
      </c>
      <c r="D90" s="12">
        <f t="shared" si="543"/>
        <v>3</v>
      </c>
      <c r="E90" s="10">
        <f t="shared" si="301"/>
        <v>8</v>
      </c>
      <c r="F90" s="13"/>
      <c r="G90" s="157"/>
      <c r="H90" s="70">
        <f t="shared" ref="H90:L90" si="544">H89</f>
        <v>25.6</v>
      </c>
      <c r="I90" s="36">
        <f t="shared" si="544"/>
        <v>0</v>
      </c>
      <c r="J90" s="35">
        <f t="shared" si="544"/>
        <v>20.9</v>
      </c>
      <c r="K90" s="122">
        <f t="shared" si="544"/>
        <v>8.4730000000000008</v>
      </c>
      <c r="L90" s="122">
        <f t="shared" si="544"/>
        <v>0.52100000000000002</v>
      </c>
      <c r="M90" s="41"/>
      <c r="N90" s="41"/>
      <c r="O90" s="32">
        <f t="shared" ref="O90:P90" si="545">O89</f>
        <v>100.48</v>
      </c>
      <c r="P90" s="168" t="str">
        <f t="shared" si="545"/>
        <v>2,29,610</v>
      </c>
      <c r="Q90" s="11" t="str">
        <f t="shared" si="493"/>
        <v>2</v>
      </c>
      <c r="R90" s="11" t="str">
        <f t="shared" si="494"/>
        <v>29,610</v>
      </c>
      <c r="S90" s="11">
        <f t="shared" si="495"/>
        <v>4.1558333333333336E-2</v>
      </c>
      <c r="T90" s="14">
        <f t="shared" si="496"/>
        <v>2417.8062963705634</v>
      </c>
      <c r="U90" s="37">
        <f t="shared" si="497"/>
        <v>-100</v>
      </c>
      <c r="V90" s="38">
        <f t="shared" ref="V90:W90" si="546">V89</f>
        <v>21.3</v>
      </c>
      <c r="W90" s="124">
        <f t="shared" si="546"/>
        <v>1.0960000000000001</v>
      </c>
      <c r="X90" s="124">
        <f t="shared" si="431"/>
        <v>1.0880000000000001</v>
      </c>
      <c r="Y90" s="41"/>
      <c r="Z90" s="41"/>
      <c r="AA90" s="90">
        <f t="shared" ref="AA90:AB90" si="547">AA89</f>
        <v>5.01</v>
      </c>
      <c r="AB90" s="73" t="str">
        <f t="shared" si="547"/>
        <v>11,15,880</v>
      </c>
      <c r="AC90" s="11" t="str">
        <f t="shared" si="500"/>
        <v>11</v>
      </c>
      <c r="AD90" s="11" t="str">
        <f t="shared" si="501"/>
        <v>15,880</v>
      </c>
      <c r="AE90" s="11">
        <f t="shared" si="502"/>
        <v>0.18774444444444444</v>
      </c>
      <c r="AF90" s="14">
        <f t="shared" si="503"/>
        <v>26.685210392377346</v>
      </c>
      <c r="AG90" s="39">
        <f t="shared" si="504"/>
        <v>-100</v>
      </c>
      <c r="AH90" s="38">
        <f t="shared" si="446"/>
        <v>18.399999999999999</v>
      </c>
      <c r="AI90" s="124">
        <f t="shared" si="446"/>
        <v>1.0980000000000001</v>
      </c>
      <c r="AJ90" s="124">
        <f t="shared" si="446"/>
        <v>1.087</v>
      </c>
      <c r="AK90" s="41">
        <f t="shared" si="505"/>
        <v>0</v>
      </c>
      <c r="AL90" s="41"/>
      <c r="AM90" s="34">
        <f t="shared" ref="AM90:AN90" si="548">AM89</f>
        <v>2.0049999999999999</v>
      </c>
      <c r="AN90" s="33" t="str">
        <f t="shared" si="548"/>
        <v>7,19,050</v>
      </c>
      <c r="AO90" s="11" t="str">
        <f t="shared" si="507"/>
        <v>7,</v>
      </c>
      <c r="AP90" s="11" t="str">
        <f t="shared" si="508"/>
        <v>19,050</v>
      </c>
      <c r="AQ90" s="11">
        <f t="shared" si="509"/>
        <v>0.12195833333333334</v>
      </c>
      <c r="AR90" s="14">
        <f t="shared" si="510"/>
        <v>16.44004099760847</v>
      </c>
      <c r="AS90" s="39">
        <f t="shared" si="511"/>
        <v>-100</v>
      </c>
      <c r="AT90" s="40" t="str">
        <f t="shared" si="512"/>
        <v>NO CONFORME</v>
      </c>
      <c r="AU90" s="8" t="b">
        <f t="shared" si="434"/>
        <v>1</v>
      </c>
      <c r="AV90" s="8" t="b">
        <f t="shared" si="435"/>
        <v>0</v>
      </c>
      <c r="AW90" s="8" t="b">
        <f t="shared" si="436"/>
        <v>1</v>
      </c>
      <c r="AX90" s="8" t="str">
        <f t="shared" si="437"/>
        <v>Qcorrecto</v>
      </c>
      <c r="AY90" s="22" t="str">
        <f t="shared" si="417"/>
        <v>aceptable</v>
      </c>
      <c r="AZ90" s="22" t="str">
        <f t="shared" si="418"/>
        <v>aceptable</v>
      </c>
      <c r="BA90" s="22" t="str">
        <f t="shared" si="438"/>
        <v>aceptable</v>
      </c>
      <c r="BB90" s="25" t="str">
        <f t="shared" si="439"/>
        <v>NO CONFORME</v>
      </c>
      <c r="BC90" s="5" t="str">
        <f t="shared" si="440"/>
        <v>NO CONFORME</v>
      </c>
      <c r="BD90" s="15">
        <f t="shared" si="419"/>
        <v>-1</v>
      </c>
      <c r="BE90" s="15">
        <f t="shared" si="420"/>
        <v>-1</v>
      </c>
      <c r="BF90" s="15">
        <f t="shared" si="421"/>
        <v>-1</v>
      </c>
      <c r="BG90" s="15" t="str">
        <f t="shared" si="422"/>
        <v>-1-1-1</v>
      </c>
      <c r="BH90" s="15" t="str">
        <f t="shared" si="423"/>
        <v>SD</v>
      </c>
      <c r="BI90" s="15" t="str">
        <f t="shared" si="424"/>
        <v>SI</v>
      </c>
      <c r="BJ90" s="15" t="b">
        <f t="shared" si="425"/>
        <v>1</v>
      </c>
      <c r="BK90" s="15" t="str">
        <f t="shared" si="426"/>
        <v>SIGIGUALES</v>
      </c>
      <c r="BL90" s="22" t="str">
        <f t="shared" si="427"/>
        <v>NO CONFORME</v>
      </c>
    </row>
    <row r="91" spans="1:64" ht="14.4" x14ac:dyDescent="0.3">
      <c r="A91" s="91">
        <v>83</v>
      </c>
      <c r="B91" s="28">
        <f t="shared" ref="B91:D91" si="549">B90</f>
        <v>45920</v>
      </c>
      <c r="C91" s="28">
        <f t="shared" si="549"/>
        <v>45920</v>
      </c>
      <c r="D91" s="12">
        <f t="shared" si="549"/>
        <v>3</v>
      </c>
      <c r="E91" s="10">
        <f t="shared" si="301"/>
        <v>8</v>
      </c>
      <c r="F91" s="13"/>
      <c r="G91" s="157"/>
      <c r="H91" s="70">
        <f t="shared" ref="H91:L91" si="550">H90</f>
        <v>25.6</v>
      </c>
      <c r="I91" s="36">
        <f t="shared" si="550"/>
        <v>0</v>
      </c>
      <c r="J91" s="35">
        <f t="shared" si="550"/>
        <v>20.9</v>
      </c>
      <c r="K91" s="122">
        <f t="shared" si="550"/>
        <v>8.4730000000000008</v>
      </c>
      <c r="L91" s="122">
        <f t="shared" si="550"/>
        <v>0.52100000000000002</v>
      </c>
      <c r="M91" s="41"/>
      <c r="N91" s="41"/>
      <c r="O91" s="32">
        <f t="shared" ref="O91:P91" si="551">O90</f>
        <v>100.48</v>
      </c>
      <c r="P91" s="168" t="str">
        <f t="shared" si="551"/>
        <v>2,29,610</v>
      </c>
      <c r="Q91" s="11" t="str">
        <f t="shared" si="493"/>
        <v>2</v>
      </c>
      <c r="R91" s="11" t="str">
        <f t="shared" si="494"/>
        <v>29,610</v>
      </c>
      <c r="S91" s="11">
        <f t="shared" si="495"/>
        <v>4.1558333333333336E-2</v>
      </c>
      <c r="T91" s="14">
        <f t="shared" si="496"/>
        <v>2417.8062963705634</v>
      </c>
      <c r="U91" s="37">
        <f t="shared" si="497"/>
        <v>-100</v>
      </c>
      <c r="V91" s="38">
        <f t="shared" ref="V91:X106" si="552">V90</f>
        <v>21.3</v>
      </c>
      <c r="W91" s="124">
        <f t="shared" si="552"/>
        <v>1.0960000000000001</v>
      </c>
      <c r="X91" s="124">
        <f t="shared" si="552"/>
        <v>1.0880000000000001</v>
      </c>
      <c r="Y91" s="41"/>
      <c r="Z91" s="41"/>
      <c r="AA91" s="90">
        <f t="shared" ref="AA91:AB91" si="553">AA90</f>
        <v>5.01</v>
      </c>
      <c r="AB91" s="73" t="str">
        <f t="shared" si="553"/>
        <v>11,15,880</v>
      </c>
      <c r="AC91" s="11" t="str">
        <f t="shared" si="500"/>
        <v>11</v>
      </c>
      <c r="AD91" s="11" t="str">
        <f t="shared" si="501"/>
        <v>15,880</v>
      </c>
      <c r="AE91" s="11">
        <f t="shared" si="502"/>
        <v>0.18774444444444444</v>
      </c>
      <c r="AF91" s="14">
        <f t="shared" si="503"/>
        <v>26.685210392377346</v>
      </c>
      <c r="AG91" s="39">
        <f t="shared" si="504"/>
        <v>-100</v>
      </c>
      <c r="AH91" s="38">
        <f t="shared" si="446"/>
        <v>18.399999999999999</v>
      </c>
      <c r="AI91" s="124">
        <f t="shared" si="446"/>
        <v>1.0980000000000001</v>
      </c>
      <c r="AJ91" s="124">
        <f t="shared" si="446"/>
        <v>1.087</v>
      </c>
      <c r="AK91" s="41">
        <f t="shared" si="505"/>
        <v>0</v>
      </c>
      <c r="AL91" s="41"/>
      <c r="AM91" s="34">
        <f t="shared" ref="AM91:AN91" si="554">AM90</f>
        <v>2.0049999999999999</v>
      </c>
      <c r="AN91" s="33" t="str">
        <f t="shared" si="554"/>
        <v>7,19,050</v>
      </c>
      <c r="AO91" s="11" t="str">
        <f t="shared" si="507"/>
        <v>7,</v>
      </c>
      <c r="AP91" s="11" t="str">
        <f t="shared" si="508"/>
        <v>19,050</v>
      </c>
      <c r="AQ91" s="11">
        <f t="shared" si="509"/>
        <v>0.12195833333333334</v>
      </c>
      <c r="AR91" s="14">
        <f t="shared" si="510"/>
        <v>16.44004099760847</v>
      </c>
      <c r="AS91" s="39">
        <f t="shared" si="511"/>
        <v>-100</v>
      </c>
      <c r="AT91" s="40" t="str">
        <f t="shared" si="512"/>
        <v>NO CONFORME</v>
      </c>
      <c r="AU91" s="8" t="b">
        <f t="shared" si="434"/>
        <v>1</v>
      </c>
      <c r="AV91" s="8" t="b">
        <f t="shared" si="435"/>
        <v>0</v>
      </c>
      <c r="AW91" s="8" t="b">
        <f t="shared" si="436"/>
        <v>1</v>
      </c>
      <c r="AX91" s="8" t="str">
        <f t="shared" si="437"/>
        <v>Qcorrecto</v>
      </c>
      <c r="AY91" s="22" t="str">
        <f t="shared" si="417"/>
        <v>aceptable</v>
      </c>
      <c r="AZ91" s="22" t="str">
        <f t="shared" si="418"/>
        <v>aceptable</v>
      </c>
      <c r="BA91" s="22" t="str">
        <f t="shared" si="438"/>
        <v>aceptable</v>
      </c>
      <c r="BB91" s="25" t="str">
        <f t="shared" si="439"/>
        <v>NO CONFORME</v>
      </c>
      <c r="BC91" s="5" t="str">
        <f t="shared" si="440"/>
        <v>NO CONFORME</v>
      </c>
      <c r="BD91" s="15">
        <f t="shared" si="419"/>
        <v>-1</v>
      </c>
      <c r="BE91" s="15">
        <f t="shared" si="420"/>
        <v>-1</v>
      </c>
      <c r="BF91" s="15">
        <f t="shared" si="421"/>
        <v>-1</v>
      </c>
      <c r="BG91" s="15" t="str">
        <f t="shared" si="422"/>
        <v>-1-1-1</v>
      </c>
      <c r="BH91" s="15" t="str">
        <f t="shared" si="423"/>
        <v>SD</v>
      </c>
      <c r="BI91" s="15" t="str">
        <f t="shared" si="424"/>
        <v>SI</v>
      </c>
      <c r="BJ91" s="15" t="b">
        <f t="shared" si="425"/>
        <v>1</v>
      </c>
      <c r="BK91" s="15" t="str">
        <f t="shared" si="426"/>
        <v>SIGIGUALES</v>
      </c>
      <c r="BL91" s="22" t="str">
        <f t="shared" si="427"/>
        <v>NO CONFORME</v>
      </c>
    </row>
    <row r="92" spans="1:64" ht="14.4" x14ac:dyDescent="0.3">
      <c r="A92" s="91">
        <v>84</v>
      </c>
      <c r="B92" s="28">
        <f t="shared" ref="B92:D92" si="555">B91</f>
        <v>45920</v>
      </c>
      <c r="C92" s="28">
        <f t="shared" si="555"/>
        <v>45920</v>
      </c>
      <c r="D92" s="12">
        <f t="shared" si="555"/>
        <v>3</v>
      </c>
      <c r="E92" s="10">
        <f t="shared" si="301"/>
        <v>8</v>
      </c>
      <c r="F92" s="13"/>
      <c r="G92" s="157"/>
      <c r="H92" s="70">
        <f t="shared" ref="H92:L92" si="556">H91</f>
        <v>25.6</v>
      </c>
      <c r="I92" s="36">
        <f t="shared" si="556"/>
        <v>0</v>
      </c>
      <c r="J92" s="35">
        <f t="shared" si="556"/>
        <v>20.9</v>
      </c>
      <c r="K92" s="122">
        <f t="shared" si="556"/>
        <v>8.4730000000000008</v>
      </c>
      <c r="L92" s="122">
        <f t="shared" si="556"/>
        <v>0.52100000000000002</v>
      </c>
      <c r="M92" s="41"/>
      <c r="N92" s="41"/>
      <c r="O92" s="32">
        <f t="shared" ref="O92:P92" si="557">O91</f>
        <v>100.48</v>
      </c>
      <c r="P92" s="168" t="str">
        <f t="shared" si="557"/>
        <v>2,29,610</v>
      </c>
      <c r="Q92" s="11" t="str">
        <f t="shared" si="493"/>
        <v>2</v>
      </c>
      <c r="R92" s="11" t="str">
        <f t="shared" si="494"/>
        <v>29,610</v>
      </c>
      <c r="S92" s="11">
        <f t="shared" si="495"/>
        <v>4.1558333333333336E-2</v>
      </c>
      <c r="T92" s="14">
        <f t="shared" si="496"/>
        <v>2417.8062963705634</v>
      </c>
      <c r="U92" s="37">
        <f t="shared" si="497"/>
        <v>-100</v>
      </c>
      <c r="V92" s="38">
        <f t="shared" ref="V92:W92" si="558">V91</f>
        <v>21.3</v>
      </c>
      <c r="W92" s="124">
        <f t="shared" si="558"/>
        <v>1.0960000000000001</v>
      </c>
      <c r="X92" s="124">
        <f t="shared" si="552"/>
        <v>1.0880000000000001</v>
      </c>
      <c r="Y92" s="41"/>
      <c r="Z92" s="41"/>
      <c r="AA92" s="90">
        <f t="shared" ref="AA92:AB92" si="559">AA91</f>
        <v>5.01</v>
      </c>
      <c r="AB92" s="73" t="str">
        <f t="shared" si="559"/>
        <v>11,15,880</v>
      </c>
      <c r="AC92" s="11" t="str">
        <f t="shared" si="500"/>
        <v>11</v>
      </c>
      <c r="AD92" s="11" t="str">
        <f t="shared" si="501"/>
        <v>15,880</v>
      </c>
      <c r="AE92" s="11">
        <f t="shared" si="502"/>
        <v>0.18774444444444444</v>
      </c>
      <c r="AF92" s="14">
        <f t="shared" si="503"/>
        <v>26.685210392377346</v>
      </c>
      <c r="AG92" s="39">
        <f t="shared" si="504"/>
        <v>-100</v>
      </c>
      <c r="AH92" s="38">
        <f t="shared" ref="AH92:AJ107" si="560">AH91</f>
        <v>18.399999999999999</v>
      </c>
      <c r="AI92" s="124">
        <f t="shared" si="560"/>
        <v>1.0980000000000001</v>
      </c>
      <c r="AJ92" s="124">
        <f t="shared" si="560"/>
        <v>1.087</v>
      </c>
      <c r="AK92" s="41">
        <f t="shared" si="505"/>
        <v>0</v>
      </c>
      <c r="AL92" s="41"/>
      <c r="AM92" s="34">
        <f t="shared" ref="AM92:AN92" si="561">AM91</f>
        <v>2.0049999999999999</v>
      </c>
      <c r="AN92" s="33" t="str">
        <f t="shared" si="561"/>
        <v>7,19,050</v>
      </c>
      <c r="AO92" s="11" t="str">
        <f t="shared" si="507"/>
        <v>7,</v>
      </c>
      <c r="AP92" s="11" t="str">
        <f t="shared" si="508"/>
        <v>19,050</v>
      </c>
      <c r="AQ92" s="11">
        <f t="shared" si="509"/>
        <v>0.12195833333333334</v>
      </c>
      <c r="AR92" s="14">
        <f t="shared" si="510"/>
        <v>16.44004099760847</v>
      </c>
      <c r="AS92" s="39">
        <f t="shared" si="511"/>
        <v>-100</v>
      </c>
      <c r="AT92" s="40" t="str">
        <f t="shared" si="512"/>
        <v>NO CONFORME</v>
      </c>
      <c r="AU92" s="8" t="b">
        <f t="shared" si="434"/>
        <v>1</v>
      </c>
      <c r="AV92" s="8" t="b">
        <f t="shared" si="435"/>
        <v>0</v>
      </c>
      <c r="AW92" s="8" t="b">
        <f t="shared" si="436"/>
        <v>1</v>
      </c>
      <c r="AX92" s="8" t="str">
        <f t="shared" si="437"/>
        <v>Qcorrecto</v>
      </c>
      <c r="AY92" s="22" t="str">
        <f t="shared" si="417"/>
        <v>aceptable</v>
      </c>
      <c r="AZ92" s="22" t="str">
        <f t="shared" si="418"/>
        <v>aceptable</v>
      </c>
      <c r="BA92" s="22" t="str">
        <f t="shared" si="438"/>
        <v>aceptable</v>
      </c>
      <c r="BB92" s="25" t="str">
        <f t="shared" si="439"/>
        <v>NO CONFORME</v>
      </c>
      <c r="BC92" s="5" t="str">
        <f t="shared" si="440"/>
        <v>NO CONFORME</v>
      </c>
      <c r="BD92" s="15">
        <f t="shared" si="419"/>
        <v>-1</v>
      </c>
      <c r="BE92" s="15">
        <f t="shared" si="420"/>
        <v>-1</v>
      </c>
      <c r="BF92" s="15">
        <f t="shared" si="421"/>
        <v>-1</v>
      </c>
      <c r="BG92" s="15" t="str">
        <f t="shared" si="422"/>
        <v>-1-1-1</v>
      </c>
      <c r="BH92" s="15" t="str">
        <f t="shared" si="423"/>
        <v>SD</v>
      </c>
      <c r="BI92" s="15" t="str">
        <f t="shared" si="424"/>
        <v>SI</v>
      </c>
      <c r="BJ92" s="15" t="b">
        <f t="shared" si="425"/>
        <v>1</v>
      </c>
      <c r="BK92" s="15" t="str">
        <f t="shared" si="426"/>
        <v>SIGIGUALES</v>
      </c>
      <c r="BL92" s="22" t="str">
        <f t="shared" si="427"/>
        <v>NO CONFORME</v>
      </c>
    </row>
    <row r="93" spans="1:64" ht="14.4" x14ac:dyDescent="0.3">
      <c r="A93" s="91">
        <v>85</v>
      </c>
      <c r="B93" s="28">
        <f t="shared" ref="B93:D93" si="562">B92</f>
        <v>45920</v>
      </c>
      <c r="C93" s="28">
        <f t="shared" si="562"/>
        <v>45920</v>
      </c>
      <c r="D93" s="12">
        <f t="shared" si="562"/>
        <v>3</v>
      </c>
      <c r="E93" s="10">
        <f t="shared" si="301"/>
        <v>8</v>
      </c>
      <c r="F93" s="13"/>
      <c r="G93" s="157"/>
      <c r="H93" s="70">
        <f t="shared" ref="H93:L93" si="563">H92</f>
        <v>25.6</v>
      </c>
      <c r="I93" s="36">
        <f t="shared" si="563"/>
        <v>0</v>
      </c>
      <c r="J93" s="35">
        <f t="shared" si="563"/>
        <v>20.9</v>
      </c>
      <c r="K93" s="122">
        <f t="shared" si="563"/>
        <v>8.4730000000000008</v>
      </c>
      <c r="L93" s="122">
        <f t="shared" si="563"/>
        <v>0.52100000000000002</v>
      </c>
      <c r="M93" s="41"/>
      <c r="N93" s="41"/>
      <c r="O93" s="32">
        <f t="shared" ref="O93:P93" si="564">O92</f>
        <v>100.48</v>
      </c>
      <c r="P93" s="168" t="str">
        <f t="shared" si="564"/>
        <v>2,29,610</v>
      </c>
      <c r="Q93" s="11" t="str">
        <f t="shared" si="493"/>
        <v>2</v>
      </c>
      <c r="R93" s="11" t="str">
        <f t="shared" si="494"/>
        <v>29,610</v>
      </c>
      <c r="S93" s="11">
        <f t="shared" si="495"/>
        <v>4.1558333333333336E-2</v>
      </c>
      <c r="T93" s="14">
        <f t="shared" si="496"/>
        <v>2417.8062963705634</v>
      </c>
      <c r="U93" s="37">
        <f t="shared" si="497"/>
        <v>-100</v>
      </c>
      <c r="V93" s="38">
        <f t="shared" ref="V93:W93" si="565">V92</f>
        <v>21.3</v>
      </c>
      <c r="W93" s="124">
        <f t="shared" si="565"/>
        <v>1.0960000000000001</v>
      </c>
      <c r="X93" s="124">
        <f t="shared" si="552"/>
        <v>1.0880000000000001</v>
      </c>
      <c r="Y93" s="41"/>
      <c r="Z93" s="41"/>
      <c r="AA93" s="90">
        <f t="shared" ref="AA93:AB93" si="566">AA92</f>
        <v>5.01</v>
      </c>
      <c r="AB93" s="73" t="str">
        <f t="shared" si="566"/>
        <v>11,15,880</v>
      </c>
      <c r="AC93" s="11" t="str">
        <f t="shared" si="500"/>
        <v>11</v>
      </c>
      <c r="AD93" s="11" t="str">
        <f t="shared" si="501"/>
        <v>15,880</v>
      </c>
      <c r="AE93" s="11">
        <f t="shared" si="502"/>
        <v>0.18774444444444444</v>
      </c>
      <c r="AF93" s="14">
        <f t="shared" si="503"/>
        <v>26.685210392377346</v>
      </c>
      <c r="AG93" s="39">
        <f t="shared" si="504"/>
        <v>-100</v>
      </c>
      <c r="AH93" s="38">
        <f t="shared" si="560"/>
        <v>18.399999999999999</v>
      </c>
      <c r="AI93" s="124">
        <f t="shared" si="560"/>
        <v>1.0980000000000001</v>
      </c>
      <c r="AJ93" s="124">
        <f t="shared" si="560"/>
        <v>1.087</v>
      </c>
      <c r="AK93" s="41">
        <f t="shared" si="505"/>
        <v>0</v>
      </c>
      <c r="AL93" s="41"/>
      <c r="AM93" s="34">
        <f t="shared" ref="AM93:AN93" si="567">AM92</f>
        <v>2.0049999999999999</v>
      </c>
      <c r="AN93" s="33" t="str">
        <f t="shared" si="567"/>
        <v>7,19,050</v>
      </c>
      <c r="AO93" s="11" t="str">
        <f t="shared" si="507"/>
        <v>7,</v>
      </c>
      <c r="AP93" s="11" t="str">
        <f t="shared" si="508"/>
        <v>19,050</v>
      </c>
      <c r="AQ93" s="11">
        <f t="shared" si="509"/>
        <v>0.12195833333333334</v>
      </c>
      <c r="AR93" s="14">
        <f t="shared" si="510"/>
        <v>16.44004099760847</v>
      </c>
      <c r="AS93" s="39">
        <f t="shared" si="511"/>
        <v>-100</v>
      </c>
      <c r="AT93" s="40" t="str">
        <f t="shared" si="512"/>
        <v>NO CONFORME</v>
      </c>
      <c r="AU93" s="8" t="b">
        <f t="shared" si="434"/>
        <v>1</v>
      </c>
      <c r="AV93" s="8" t="b">
        <f t="shared" si="435"/>
        <v>0</v>
      </c>
      <c r="AW93" s="8" t="b">
        <f t="shared" si="436"/>
        <v>1</v>
      </c>
      <c r="AX93" s="8" t="str">
        <f t="shared" si="437"/>
        <v>Qcorrecto</v>
      </c>
      <c r="AY93" s="22" t="str">
        <f t="shared" si="417"/>
        <v>aceptable</v>
      </c>
      <c r="AZ93" s="22" t="str">
        <f t="shared" si="418"/>
        <v>aceptable</v>
      </c>
      <c r="BA93" s="22" t="str">
        <f t="shared" si="438"/>
        <v>aceptable</v>
      </c>
      <c r="BB93" s="25" t="str">
        <f t="shared" si="439"/>
        <v>NO CONFORME</v>
      </c>
      <c r="BC93" s="5" t="str">
        <f t="shared" si="440"/>
        <v>NO CONFORME</v>
      </c>
      <c r="BD93" s="15">
        <f t="shared" si="419"/>
        <v>-1</v>
      </c>
      <c r="BE93" s="15">
        <f t="shared" si="420"/>
        <v>-1</v>
      </c>
      <c r="BF93" s="15">
        <f t="shared" si="421"/>
        <v>-1</v>
      </c>
      <c r="BG93" s="15" t="str">
        <f t="shared" si="422"/>
        <v>-1-1-1</v>
      </c>
      <c r="BH93" s="15" t="str">
        <f t="shared" si="423"/>
        <v>SD</v>
      </c>
      <c r="BI93" s="15" t="str">
        <f t="shared" si="424"/>
        <v>SI</v>
      </c>
      <c r="BJ93" s="15" t="b">
        <f t="shared" si="425"/>
        <v>1</v>
      </c>
      <c r="BK93" s="15" t="str">
        <f t="shared" si="426"/>
        <v>SIGIGUALES</v>
      </c>
      <c r="BL93" s="22" t="str">
        <f t="shared" si="427"/>
        <v>NO CONFORME</v>
      </c>
    </row>
    <row r="94" spans="1:64" ht="14.4" x14ac:dyDescent="0.3">
      <c r="A94" s="91">
        <v>86</v>
      </c>
      <c r="B94" s="28">
        <f t="shared" ref="B94:D94" si="568">B93</f>
        <v>45920</v>
      </c>
      <c r="C94" s="28">
        <f t="shared" si="568"/>
        <v>45920</v>
      </c>
      <c r="D94" s="12">
        <f t="shared" si="568"/>
        <v>3</v>
      </c>
      <c r="E94" s="10">
        <f t="shared" si="301"/>
        <v>8</v>
      </c>
      <c r="F94" s="13"/>
      <c r="G94" s="157"/>
      <c r="H94" s="70">
        <f t="shared" ref="H94:L94" si="569">H93</f>
        <v>25.6</v>
      </c>
      <c r="I94" s="36">
        <f t="shared" si="569"/>
        <v>0</v>
      </c>
      <c r="J94" s="35">
        <f t="shared" si="569"/>
        <v>20.9</v>
      </c>
      <c r="K94" s="122">
        <f t="shared" si="569"/>
        <v>8.4730000000000008</v>
      </c>
      <c r="L94" s="122">
        <f t="shared" si="569"/>
        <v>0.52100000000000002</v>
      </c>
      <c r="M94" s="41"/>
      <c r="N94" s="41"/>
      <c r="O94" s="32">
        <f t="shared" ref="O94:P94" si="570">O93</f>
        <v>100.48</v>
      </c>
      <c r="P94" s="168" t="str">
        <f t="shared" si="570"/>
        <v>2,29,610</v>
      </c>
      <c r="Q94" s="11" t="str">
        <f t="shared" si="493"/>
        <v>2</v>
      </c>
      <c r="R94" s="11" t="str">
        <f t="shared" si="494"/>
        <v>29,610</v>
      </c>
      <c r="S94" s="11">
        <f t="shared" si="495"/>
        <v>4.1558333333333336E-2</v>
      </c>
      <c r="T94" s="14">
        <f t="shared" si="496"/>
        <v>2417.8062963705634</v>
      </c>
      <c r="U94" s="37">
        <f t="shared" si="497"/>
        <v>-100</v>
      </c>
      <c r="V94" s="38">
        <f t="shared" ref="V94:W94" si="571">V93</f>
        <v>21.3</v>
      </c>
      <c r="W94" s="124">
        <f t="shared" si="571"/>
        <v>1.0960000000000001</v>
      </c>
      <c r="X94" s="124">
        <f t="shared" si="552"/>
        <v>1.0880000000000001</v>
      </c>
      <c r="Y94" s="41"/>
      <c r="Z94" s="41"/>
      <c r="AA94" s="90">
        <f t="shared" ref="AA94:AB94" si="572">AA93</f>
        <v>5.01</v>
      </c>
      <c r="AB94" s="73" t="str">
        <f t="shared" si="572"/>
        <v>11,15,880</v>
      </c>
      <c r="AC94" s="11" t="str">
        <f t="shared" si="500"/>
        <v>11</v>
      </c>
      <c r="AD94" s="11" t="str">
        <f t="shared" si="501"/>
        <v>15,880</v>
      </c>
      <c r="AE94" s="11">
        <f t="shared" si="502"/>
        <v>0.18774444444444444</v>
      </c>
      <c r="AF94" s="14">
        <f t="shared" si="503"/>
        <v>26.685210392377346</v>
      </c>
      <c r="AG94" s="39">
        <f t="shared" si="504"/>
        <v>-100</v>
      </c>
      <c r="AH94" s="38">
        <f t="shared" si="560"/>
        <v>18.399999999999999</v>
      </c>
      <c r="AI94" s="124">
        <f t="shared" si="560"/>
        <v>1.0980000000000001</v>
      </c>
      <c r="AJ94" s="124">
        <f t="shared" si="560"/>
        <v>1.087</v>
      </c>
      <c r="AK94" s="41">
        <f t="shared" si="505"/>
        <v>0</v>
      </c>
      <c r="AL94" s="41"/>
      <c r="AM94" s="34">
        <f t="shared" ref="AM94:AN94" si="573">AM93</f>
        <v>2.0049999999999999</v>
      </c>
      <c r="AN94" s="33" t="str">
        <f t="shared" si="573"/>
        <v>7,19,050</v>
      </c>
      <c r="AO94" s="11" t="str">
        <f t="shared" si="507"/>
        <v>7,</v>
      </c>
      <c r="AP94" s="11" t="str">
        <f t="shared" si="508"/>
        <v>19,050</v>
      </c>
      <c r="AQ94" s="11">
        <f t="shared" si="509"/>
        <v>0.12195833333333334</v>
      </c>
      <c r="AR94" s="14">
        <f t="shared" si="510"/>
        <v>16.44004099760847</v>
      </c>
      <c r="AS94" s="39">
        <f t="shared" si="511"/>
        <v>-100</v>
      </c>
      <c r="AT94" s="40" t="str">
        <f t="shared" si="512"/>
        <v>NO CONFORME</v>
      </c>
      <c r="AU94" s="8" t="b">
        <f t="shared" si="434"/>
        <v>1</v>
      </c>
      <c r="AV94" s="8" t="b">
        <f t="shared" si="435"/>
        <v>0</v>
      </c>
      <c r="AW94" s="8" t="b">
        <f t="shared" si="436"/>
        <v>1</v>
      </c>
      <c r="AX94" s="8" t="str">
        <f t="shared" si="437"/>
        <v>Qcorrecto</v>
      </c>
      <c r="AY94" s="22" t="str">
        <f t="shared" si="417"/>
        <v>aceptable</v>
      </c>
      <c r="AZ94" s="22" t="str">
        <f t="shared" si="418"/>
        <v>aceptable</v>
      </c>
      <c r="BA94" s="22" t="str">
        <f t="shared" si="438"/>
        <v>aceptable</v>
      </c>
      <c r="BB94" s="25" t="str">
        <f t="shared" si="439"/>
        <v>NO CONFORME</v>
      </c>
      <c r="BC94" s="5" t="str">
        <f t="shared" si="440"/>
        <v>NO CONFORME</v>
      </c>
      <c r="BD94" s="15">
        <f t="shared" si="419"/>
        <v>-1</v>
      </c>
      <c r="BE94" s="15">
        <f t="shared" si="420"/>
        <v>-1</v>
      </c>
      <c r="BF94" s="15">
        <f t="shared" si="421"/>
        <v>-1</v>
      </c>
      <c r="BG94" s="15" t="str">
        <f t="shared" si="422"/>
        <v>-1-1-1</v>
      </c>
      <c r="BH94" s="15" t="str">
        <f t="shared" si="423"/>
        <v>SD</v>
      </c>
      <c r="BI94" s="15" t="str">
        <f t="shared" si="424"/>
        <v>SI</v>
      </c>
      <c r="BJ94" s="15" t="b">
        <f t="shared" si="425"/>
        <v>1</v>
      </c>
      <c r="BK94" s="15" t="str">
        <f t="shared" si="426"/>
        <v>SIGIGUALES</v>
      </c>
      <c r="BL94" s="22" t="str">
        <f t="shared" si="427"/>
        <v>NO CONFORME</v>
      </c>
    </row>
    <row r="95" spans="1:64" ht="14.4" x14ac:dyDescent="0.3">
      <c r="A95" s="91">
        <v>87</v>
      </c>
      <c r="B95" s="28">
        <f t="shared" ref="B95:D95" si="574">B94</f>
        <v>45920</v>
      </c>
      <c r="C95" s="28">
        <f t="shared" si="574"/>
        <v>45920</v>
      </c>
      <c r="D95" s="12">
        <f t="shared" si="574"/>
        <v>3</v>
      </c>
      <c r="E95" s="10">
        <f t="shared" si="301"/>
        <v>8</v>
      </c>
      <c r="F95" s="13"/>
      <c r="G95" s="157"/>
      <c r="H95" s="70">
        <f t="shared" ref="H95:L95" si="575">H94</f>
        <v>25.6</v>
      </c>
      <c r="I95" s="36">
        <f t="shared" si="575"/>
        <v>0</v>
      </c>
      <c r="J95" s="35">
        <f t="shared" si="575"/>
        <v>20.9</v>
      </c>
      <c r="K95" s="122">
        <f t="shared" si="575"/>
        <v>8.4730000000000008</v>
      </c>
      <c r="L95" s="122">
        <f t="shared" si="575"/>
        <v>0.52100000000000002</v>
      </c>
      <c r="M95" s="41"/>
      <c r="N95" s="41"/>
      <c r="O95" s="32">
        <f t="shared" ref="O95:P95" si="576">O94</f>
        <v>100.48</v>
      </c>
      <c r="P95" s="168" t="str">
        <f t="shared" si="576"/>
        <v>2,29,610</v>
      </c>
      <c r="Q95" s="11" t="str">
        <f t="shared" si="493"/>
        <v>2</v>
      </c>
      <c r="R95" s="11" t="str">
        <f t="shared" si="494"/>
        <v>29,610</v>
      </c>
      <c r="S95" s="11">
        <f t="shared" si="495"/>
        <v>4.1558333333333336E-2</v>
      </c>
      <c r="T95" s="14">
        <f t="shared" si="496"/>
        <v>2417.8062963705634</v>
      </c>
      <c r="U95" s="37">
        <f t="shared" si="497"/>
        <v>-100</v>
      </c>
      <c r="V95" s="38">
        <f t="shared" ref="V95:W95" si="577">V94</f>
        <v>21.3</v>
      </c>
      <c r="W95" s="124">
        <f t="shared" si="577"/>
        <v>1.0960000000000001</v>
      </c>
      <c r="X95" s="124">
        <f t="shared" si="552"/>
        <v>1.0880000000000001</v>
      </c>
      <c r="Y95" s="41"/>
      <c r="Z95" s="41"/>
      <c r="AA95" s="90">
        <f t="shared" ref="AA95:AB95" si="578">AA94</f>
        <v>5.01</v>
      </c>
      <c r="AB95" s="73" t="str">
        <f t="shared" si="578"/>
        <v>11,15,880</v>
      </c>
      <c r="AC95" s="11" t="str">
        <f t="shared" si="500"/>
        <v>11</v>
      </c>
      <c r="AD95" s="11" t="str">
        <f t="shared" si="501"/>
        <v>15,880</v>
      </c>
      <c r="AE95" s="11">
        <f t="shared" si="502"/>
        <v>0.18774444444444444</v>
      </c>
      <c r="AF95" s="14">
        <f t="shared" si="503"/>
        <v>26.685210392377346</v>
      </c>
      <c r="AG95" s="39">
        <f t="shared" si="504"/>
        <v>-100</v>
      </c>
      <c r="AH95" s="38">
        <f t="shared" si="560"/>
        <v>18.399999999999999</v>
      </c>
      <c r="AI95" s="124">
        <f t="shared" si="560"/>
        <v>1.0980000000000001</v>
      </c>
      <c r="AJ95" s="124">
        <f t="shared" si="560"/>
        <v>1.087</v>
      </c>
      <c r="AK95" s="41">
        <f t="shared" si="505"/>
        <v>0</v>
      </c>
      <c r="AL95" s="41"/>
      <c r="AM95" s="34">
        <f t="shared" ref="AM95:AN95" si="579">AM94</f>
        <v>2.0049999999999999</v>
      </c>
      <c r="AN95" s="33" t="str">
        <f t="shared" si="579"/>
        <v>7,19,050</v>
      </c>
      <c r="AO95" s="11" t="str">
        <f t="shared" si="507"/>
        <v>7,</v>
      </c>
      <c r="AP95" s="11" t="str">
        <f t="shared" si="508"/>
        <v>19,050</v>
      </c>
      <c r="AQ95" s="11">
        <f t="shared" si="509"/>
        <v>0.12195833333333334</v>
      </c>
      <c r="AR95" s="14">
        <f t="shared" si="510"/>
        <v>16.44004099760847</v>
      </c>
      <c r="AS95" s="39">
        <f t="shared" si="511"/>
        <v>-100</v>
      </c>
      <c r="AT95" s="40" t="str">
        <f t="shared" si="512"/>
        <v>NO CONFORME</v>
      </c>
      <c r="AU95" s="8" t="b">
        <f t="shared" si="434"/>
        <v>1</v>
      </c>
      <c r="AV95" s="8" t="b">
        <f t="shared" si="435"/>
        <v>0</v>
      </c>
      <c r="AW95" s="8" t="b">
        <f t="shared" si="436"/>
        <v>1</v>
      </c>
      <c r="AX95" s="8" t="str">
        <f t="shared" si="437"/>
        <v>Qcorrecto</v>
      </c>
      <c r="AY95" s="22" t="str">
        <f t="shared" si="417"/>
        <v>aceptable</v>
      </c>
      <c r="AZ95" s="22" t="str">
        <f t="shared" si="418"/>
        <v>aceptable</v>
      </c>
      <c r="BA95" s="22" t="str">
        <f t="shared" si="438"/>
        <v>aceptable</v>
      </c>
      <c r="BB95" s="25" t="str">
        <f t="shared" si="439"/>
        <v>NO CONFORME</v>
      </c>
      <c r="BC95" s="5" t="str">
        <f t="shared" si="440"/>
        <v>NO CONFORME</v>
      </c>
      <c r="BD95" s="15">
        <f t="shared" si="419"/>
        <v>-1</v>
      </c>
      <c r="BE95" s="15">
        <f t="shared" si="420"/>
        <v>-1</v>
      </c>
      <c r="BF95" s="15">
        <f t="shared" si="421"/>
        <v>-1</v>
      </c>
      <c r="BG95" s="15" t="str">
        <f t="shared" si="422"/>
        <v>-1-1-1</v>
      </c>
      <c r="BH95" s="15" t="str">
        <f t="shared" si="423"/>
        <v>SD</v>
      </c>
      <c r="BI95" s="15" t="str">
        <f t="shared" si="424"/>
        <v>SI</v>
      </c>
      <c r="BJ95" s="15" t="b">
        <f t="shared" si="425"/>
        <v>1</v>
      </c>
      <c r="BK95" s="15" t="str">
        <f t="shared" si="426"/>
        <v>SIGIGUALES</v>
      </c>
      <c r="BL95" s="22" t="str">
        <f t="shared" si="427"/>
        <v>NO CONFORME</v>
      </c>
    </row>
    <row r="96" spans="1:64" ht="14.4" x14ac:dyDescent="0.3">
      <c r="A96" s="91">
        <v>88</v>
      </c>
      <c r="B96" s="28">
        <f t="shared" ref="B96:D96" si="580">B95</f>
        <v>45920</v>
      </c>
      <c r="C96" s="28">
        <f t="shared" si="580"/>
        <v>45920</v>
      </c>
      <c r="D96" s="12">
        <f t="shared" si="580"/>
        <v>3</v>
      </c>
      <c r="E96" s="10">
        <f t="shared" si="301"/>
        <v>8</v>
      </c>
      <c r="F96" s="13"/>
      <c r="G96" s="157"/>
      <c r="H96" s="70">
        <f t="shared" ref="H96:L96" si="581">H95</f>
        <v>25.6</v>
      </c>
      <c r="I96" s="36">
        <f t="shared" si="581"/>
        <v>0</v>
      </c>
      <c r="J96" s="35">
        <f t="shared" si="581"/>
        <v>20.9</v>
      </c>
      <c r="K96" s="122">
        <f t="shared" si="581"/>
        <v>8.4730000000000008</v>
      </c>
      <c r="L96" s="122">
        <f t="shared" si="581"/>
        <v>0.52100000000000002</v>
      </c>
      <c r="M96" s="41"/>
      <c r="N96" s="41"/>
      <c r="O96" s="32">
        <f t="shared" ref="O96:P96" si="582">O95</f>
        <v>100.48</v>
      </c>
      <c r="P96" s="168" t="str">
        <f t="shared" si="582"/>
        <v>2,29,610</v>
      </c>
      <c r="Q96" s="11" t="str">
        <f t="shared" si="493"/>
        <v>2</v>
      </c>
      <c r="R96" s="11" t="str">
        <f t="shared" si="494"/>
        <v>29,610</v>
      </c>
      <c r="S96" s="11">
        <f t="shared" si="495"/>
        <v>4.1558333333333336E-2</v>
      </c>
      <c r="T96" s="14">
        <f t="shared" si="496"/>
        <v>2417.8062963705634</v>
      </c>
      <c r="U96" s="37">
        <f t="shared" si="497"/>
        <v>-100</v>
      </c>
      <c r="V96" s="38">
        <f t="shared" ref="V96:W96" si="583">V95</f>
        <v>21.3</v>
      </c>
      <c r="W96" s="124">
        <f t="shared" si="583"/>
        <v>1.0960000000000001</v>
      </c>
      <c r="X96" s="124">
        <f t="shared" si="552"/>
        <v>1.0880000000000001</v>
      </c>
      <c r="Y96" s="41"/>
      <c r="Z96" s="41"/>
      <c r="AA96" s="90">
        <f t="shared" ref="AA96:AB96" si="584">AA95</f>
        <v>5.01</v>
      </c>
      <c r="AB96" s="73" t="str">
        <f t="shared" si="584"/>
        <v>11,15,880</v>
      </c>
      <c r="AC96" s="11" t="str">
        <f t="shared" si="500"/>
        <v>11</v>
      </c>
      <c r="AD96" s="11" t="str">
        <f t="shared" si="501"/>
        <v>15,880</v>
      </c>
      <c r="AE96" s="11">
        <f t="shared" si="502"/>
        <v>0.18774444444444444</v>
      </c>
      <c r="AF96" s="14">
        <f t="shared" si="503"/>
        <v>26.685210392377346</v>
      </c>
      <c r="AG96" s="39">
        <f t="shared" si="504"/>
        <v>-100</v>
      </c>
      <c r="AH96" s="38">
        <f t="shared" si="560"/>
        <v>18.399999999999999</v>
      </c>
      <c r="AI96" s="124">
        <f t="shared" si="560"/>
        <v>1.0980000000000001</v>
      </c>
      <c r="AJ96" s="124">
        <f t="shared" si="560"/>
        <v>1.087</v>
      </c>
      <c r="AK96" s="41">
        <f t="shared" si="505"/>
        <v>0</v>
      </c>
      <c r="AL96" s="41"/>
      <c r="AM96" s="34">
        <f t="shared" ref="AM96:AN96" si="585">AM95</f>
        <v>2.0049999999999999</v>
      </c>
      <c r="AN96" s="33" t="str">
        <f t="shared" si="585"/>
        <v>7,19,050</v>
      </c>
      <c r="AO96" s="11" t="str">
        <f t="shared" si="507"/>
        <v>7,</v>
      </c>
      <c r="AP96" s="11" t="str">
        <f t="shared" si="508"/>
        <v>19,050</v>
      </c>
      <c r="AQ96" s="11">
        <f t="shared" si="509"/>
        <v>0.12195833333333334</v>
      </c>
      <c r="AR96" s="14">
        <f t="shared" si="510"/>
        <v>16.44004099760847</v>
      </c>
      <c r="AS96" s="39">
        <f t="shared" si="511"/>
        <v>-100</v>
      </c>
      <c r="AT96" s="40" t="str">
        <f t="shared" si="512"/>
        <v>NO CONFORME</v>
      </c>
      <c r="AU96" s="8" t="b">
        <f t="shared" si="434"/>
        <v>1</v>
      </c>
      <c r="AV96" s="8" t="b">
        <f t="shared" si="435"/>
        <v>0</v>
      </c>
      <c r="AW96" s="8" t="b">
        <f t="shared" si="436"/>
        <v>1</v>
      </c>
      <c r="AX96" s="8" t="str">
        <f t="shared" si="437"/>
        <v>Qcorrecto</v>
      </c>
      <c r="AY96" s="22" t="str">
        <f t="shared" si="417"/>
        <v>aceptable</v>
      </c>
      <c r="AZ96" s="22" t="str">
        <f t="shared" si="418"/>
        <v>aceptable</v>
      </c>
      <c r="BA96" s="22" t="str">
        <f t="shared" si="438"/>
        <v>aceptable</v>
      </c>
      <c r="BB96" s="25" t="str">
        <f t="shared" si="439"/>
        <v>NO CONFORME</v>
      </c>
      <c r="BC96" s="5" t="str">
        <f t="shared" si="440"/>
        <v>NO CONFORME</v>
      </c>
      <c r="BD96" s="15">
        <f t="shared" si="419"/>
        <v>-1</v>
      </c>
      <c r="BE96" s="15">
        <f t="shared" si="420"/>
        <v>-1</v>
      </c>
      <c r="BF96" s="15">
        <f t="shared" si="421"/>
        <v>-1</v>
      </c>
      <c r="BG96" s="15" t="str">
        <f t="shared" si="422"/>
        <v>-1-1-1</v>
      </c>
      <c r="BH96" s="15" t="str">
        <f t="shared" si="423"/>
        <v>SD</v>
      </c>
      <c r="BI96" s="15" t="str">
        <f t="shared" si="424"/>
        <v>SI</v>
      </c>
      <c r="BJ96" s="15" t="b">
        <f t="shared" si="425"/>
        <v>1</v>
      </c>
      <c r="BK96" s="15" t="str">
        <f t="shared" si="426"/>
        <v>SIGIGUALES</v>
      </c>
      <c r="BL96" s="22" t="str">
        <f t="shared" si="427"/>
        <v>NO CONFORME</v>
      </c>
    </row>
    <row r="97" spans="1:64" ht="14.4" x14ac:dyDescent="0.3">
      <c r="A97" s="91">
        <v>89</v>
      </c>
      <c r="B97" s="28">
        <f t="shared" ref="B97:D97" si="586">B96</f>
        <v>45920</v>
      </c>
      <c r="C97" s="28">
        <f t="shared" si="586"/>
        <v>45920</v>
      </c>
      <c r="D97" s="12">
        <f t="shared" si="586"/>
        <v>3</v>
      </c>
      <c r="E97" s="10">
        <f t="shared" si="301"/>
        <v>8</v>
      </c>
      <c r="F97" s="13"/>
      <c r="G97" s="157"/>
      <c r="H97" s="70">
        <f t="shared" ref="H97:L97" si="587">H96</f>
        <v>25.6</v>
      </c>
      <c r="I97" s="36">
        <f t="shared" si="587"/>
        <v>0</v>
      </c>
      <c r="J97" s="35">
        <f t="shared" si="587"/>
        <v>20.9</v>
      </c>
      <c r="K97" s="122">
        <f t="shared" si="587"/>
        <v>8.4730000000000008</v>
      </c>
      <c r="L97" s="122">
        <f t="shared" si="587"/>
        <v>0.52100000000000002</v>
      </c>
      <c r="M97" s="41"/>
      <c r="N97" s="41"/>
      <c r="O97" s="32">
        <f t="shared" ref="O97:P97" si="588">O96</f>
        <v>100.48</v>
      </c>
      <c r="P97" s="168" t="str">
        <f t="shared" si="588"/>
        <v>2,29,610</v>
      </c>
      <c r="Q97" s="11" t="str">
        <f t="shared" si="493"/>
        <v>2</v>
      </c>
      <c r="R97" s="11" t="str">
        <f t="shared" si="494"/>
        <v>29,610</v>
      </c>
      <c r="S97" s="11">
        <f t="shared" si="495"/>
        <v>4.1558333333333336E-2</v>
      </c>
      <c r="T97" s="14">
        <f t="shared" si="496"/>
        <v>2417.8062963705634</v>
      </c>
      <c r="U97" s="37">
        <f t="shared" si="497"/>
        <v>-100</v>
      </c>
      <c r="V97" s="38">
        <f t="shared" ref="V97:W97" si="589">V96</f>
        <v>21.3</v>
      </c>
      <c r="W97" s="124">
        <f t="shared" si="589"/>
        <v>1.0960000000000001</v>
      </c>
      <c r="X97" s="124">
        <f t="shared" si="552"/>
        <v>1.0880000000000001</v>
      </c>
      <c r="Y97" s="41"/>
      <c r="Z97" s="41"/>
      <c r="AA97" s="90">
        <f t="shared" ref="AA97:AB97" si="590">AA96</f>
        <v>5.01</v>
      </c>
      <c r="AB97" s="73" t="str">
        <f t="shared" si="590"/>
        <v>11,15,880</v>
      </c>
      <c r="AC97" s="11" t="str">
        <f t="shared" si="500"/>
        <v>11</v>
      </c>
      <c r="AD97" s="11" t="str">
        <f t="shared" si="501"/>
        <v>15,880</v>
      </c>
      <c r="AE97" s="11">
        <f t="shared" si="502"/>
        <v>0.18774444444444444</v>
      </c>
      <c r="AF97" s="14">
        <f t="shared" si="503"/>
        <v>26.685210392377346</v>
      </c>
      <c r="AG97" s="39">
        <f t="shared" si="504"/>
        <v>-100</v>
      </c>
      <c r="AH97" s="38">
        <f t="shared" si="560"/>
        <v>18.399999999999999</v>
      </c>
      <c r="AI97" s="124">
        <f t="shared" si="560"/>
        <v>1.0980000000000001</v>
      </c>
      <c r="AJ97" s="124">
        <f t="shared" si="560"/>
        <v>1.087</v>
      </c>
      <c r="AK97" s="41">
        <f t="shared" si="505"/>
        <v>0</v>
      </c>
      <c r="AL97" s="41"/>
      <c r="AM97" s="34">
        <f t="shared" ref="AM97:AN97" si="591">AM96</f>
        <v>2.0049999999999999</v>
      </c>
      <c r="AN97" s="33" t="str">
        <f t="shared" si="591"/>
        <v>7,19,050</v>
      </c>
      <c r="AO97" s="11" t="str">
        <f t="shared" si="507"/>
        <v>7,</v>
      </c>
      <c r="AP97" s="11" t="str">
        <f t="shared" si="508"/>
        <v>19,050</v>
      </c>
      <c r="AQ97" s="11">
        <f t="shared" si="509"/>
        <v>0.12195833333333334</v>
      </c>
      <c r="AR97" s="14">
        <f t="shared" si="510"/>
        <v>16.44004099760847</v>
      </c>
      <c r="AS97" s="39">
        <f t="shared" si="511"/>
        <v>-100</v>
      </c>
      <c r="AT97" s="40" t="str">
        <f t="shared" si="512"/>
        <v>NO CONFORME</v>
      </c>
      <c r="AU97" s="8" t="b">
        <f t="shared" si="434"/>
        <v>1</v>
      </c>
      <c r="AV97" s="8" t="b">
        <f t="shared" si="435"/>
        <v>0</v>
      </c>
      <c r="AW97" s="8" t="b">
        <f t="shared" si="436"/>
        <v>1</v>
      </c>
      <c r="AX97" s="8" t="str">
        <f t="shared" si="437"/>
        <v>Qcorrecto</v>
      </c>
      <c r="AY97" s="22" t="str">
        <f t="shared" si="417"/>
        <v>aceptable</v>
      </c>
      <c r="AZ97" s="22" t="str">
        <f t="shared" si="418"/>
        <v>aceptable</v>
      </c>
      <c r="BA97" s="22" t="str">
        <f t="shared" si="438"/>
        <v>aceptable</v>
      </c>
      <c r="BB97" s="25" t="str">
        <f t="shared" si="439"/>
        <v>NO CONFORME</v>
      </c>
      <c r="BC97" s="5" t="str">
        <f t="shared" si="440"/>
        <v>NO CONFORME</v>
      </c>
      <c r="BD97" s="15">
        <f t="shared" si="419"/>
        <v>-1</v>
      </c>
      <c r="BE97" s="15">
        <f t="shared" si="420"/>
        <v>-1</v>
      </c>
      <c r="BF97" s="15">
        <f t="shared" si="421"/>
        <v>-1</v>
      </c>
      <c r="BG97" s="15" t="str">
        <f t="shared" si="422"/>
        <v>-1-1-1</v>
      </c>
      <c r="BH97" s="15" t="str">
        <f t="shared" si="423"/>
        <v>SD</v>
      </c>
      <c r="BI97" s="15" t="str">
        <f t="shared" si="424"/>
        <v>SI</v>
      </c>
      <c r="BJ97" s="15" t="b">
        <f t="shared" si="425"/>
        <v>1</v>
      </c>
      <c r="BK97" s="15" t="str">
        <f t="shared" si="426"/>
        <v>SIGIGUALES</v>
      </c>
      <c r="BL97" s="22" t="str">
        <f t="shared" si="427"/>
        <v>NO CONFORME</v>
      </c>
    </row>
    <row r="98" spans="1:64" ht="14.4" x14ac:dyDescent="0.3">
      <c r="A98" s="91">
        <v>90</v>
      </c>
      <c r="B98" s="28">
        <f t="shared" ref="B98:D98" si="592">B97</f>
        <v>45920</v>
      </c>
      <c r="C98" s="28">
        <f t="shared" si="592"/>
        <v>45920</v>
      </c>
      <c r="D98" s="12">
        <f t="shared" si="592"/>
        <v>3</v>
      </c>
      <c r="E98" s="10">
        <f t="shared" si="301"/>
        <v>8</v>
      </c>
      <c r="F98" s="13"/>
      <c r="G98" s="157"/>
      <c r="H98" s="70">
        <f t="shared" ref="H98:L98" si="593">H97</f>
        <v>25.6</v>
      </c>
      <c r="I98" s="36">
        <f t="shared" si="593"/>
        <v>0</v>
      </c>
      <c r="J98" s="35">
        <f t="shared" si="593"/>
        <v>20.9</v>
      </c>
      <c r="K98" s="122">
        <f t="shared" si="593"/>
        <v>8.4730000000000008</v>
      </c>
      <c r="L98" s="122">
        <f t="shared" si="593"/>
        <v>0.52100000000000002</v>
      </c>
      <c r="M98" s="41"/>
      <c r="N98" s="41"/>
      <c r="O98" s="32">
        <f t="shared" ref="O98:P98" si="594">O97</f>
        <v>100.48</v>
      </c>
      <c r="P98" s="168" t="str">
        <f t="shared" si="594"/>
        <v>2,29,610</v>
      </c>
      <c r="Q98" s="11" t="str">
        <f t="shared" si="493"/>
        <v>2</v>
      </c>
      <c r="R98" s="11" t="str">
        <f t="shared" si="494"/>
        <v>29,610</v>
      </c>
      <c r="S98" s="11">
        <f t="shared" si="495"/>
        <v>4.1558333333333336E-2</v>
      </c>
      <c r="T98" s="14">
        <f t="shared" si="496"/>
        <v>2417.8062963705634</v>
      </c>
      <c r="U98" s="37">
        <f t="shared" si="497"/>
        <v>-100</v>
      </c>
      <c r="V98" s="38">
        <f t="shared" ref="V98:W98" si="595">V97</f>
        <v>21.3</v>
      </c>
      <c r="W98" s="124">
        <f t="shared" si="595"/>
        <v>1.0960000000000001</v>
      </c>
      <c r="X98" s="124">
        <f t="shared" si="552"/>
        <v>1.0880000000000001</v>
      </c>
      <c r="Y98" s="41"/>
      <c r="Z98" s="41"/>
      <c r="AA98" s="90">
        <f t="shared" ref="AA98:AB98" si="596">AA97</f>
        <v>5.01</v>
      </c>
      <c r="AB98" s="73" t="str">
        <f t="shared" si="596"/>
        <v>11,15,880</v>
      </c>
      <c r="AC98" s="11" t="str">
        <f t="shared" si="500"/>
        <v>11</v>
      </c>
      <c r="AD98" s="11" t="str">
        <f t="shared" si="501"/>
        <v>15,880</v>
      </c>
      <c r="AE98" s="11">
        <f t="shared" si="502"/>
        <v>0.18774444444444444</v>
      </c>
      <c r="AF98" s="14">
        <f t="shared" si="503"/>
        <v>26.685210392377346</v>
      </c>
      <c r="AG98" s="39">
        <f t="shared" si="504"/>
        <v>-100</v>
      </c>
      <c r="AH98" s="38">
        <f t="shared" si="560"/>
        <v>18.399999999999999</v>
      </c>
      <c r="AI98" s="124">
        <f t="shared" si="560"/>
        <v>1.0980000000000001</v>
      </c>
      <c r="AJ98" s="124">
        <f t="shared" si="560"/>
        <v>1.087</v>
      </c>
      <c r="AK98" s="41">
        <f t="shared" si="505"/>
        <v>0</v>
      </c>
      <c r="AL98" s="41"/>
      <c r="AM98" s="34">
        <f t="shared" ref="AM98:AN98" si="597">AM97</f>
        <v>2.0049999999999999</v>
      </c>
      <c r="AN98" s="33" t="str">
        <f t="shared" si="597"/>
        <v>7,19,050</v>
      </c>
      <c r="AO98" s="11" t="str">
        <f t="shared" si="507"/>
        <v>7,</v>
      </c>
      <c r="AP98" s="11" t="str">
        <f t="shared" si="508"/>
        <v>19,050</v>
      </c>
      <c r="AQ98" s="11">
        <f t="shared" si="509"/>
        <v>0.12195833333333334</v>
      </c>
      <c r="AR98" s="14">
        <f t="shared" si="510"/>
        <v>16.44004099760847</v>
      </c>
      <c r="AS98" s="39">
        <f t="shared" si="511"/>
        <v>-100</v>
      </c>
      <c r="AT98" s="40" t="str">
        <f t="shared" si="512"/>
        <v>NO CONFORME</v>
      </c>
      <c r="AU98" s="8" t="b">
        <f t="shared" si="434"/>
        <v>1</v>
      </c>
      <c r="AV98" s="8" t="b">
        <f t="shared" si="435"/>
        <v>0</v>
      </c>
      <c r="AW98" s="8" t="b">
        <f t="shared" si="436"/>
        <v>1</v>
      </c>
      <c r="AX98" s="8" t="str">
        <f t="shared" si="437"/>
        <v>Qcorrecto</v>
      </c>
      <c r="AY98" s="22" t="str">
        <f t="shared" si="417"/>
        <v>aceptable</v>
      </c>
      <c r="AZ98" s="22" t="str">
        <f t="shared" si="418"/>
        <v>aceptable</v>
      </c>
      <c r="BA98" s="22" t="str">
        <f t="shared" si="438"/>
        <v>aceptable</v>
      </c>
      <c r="BB98" s="25" t="str">
        <f t="shared" si="439"/>
        <v>NO CONFORME</v>
      </c>
      <c r="BC98" s="5" t="str">
        <f t="shared" si="440"/>
        <v>NO CONFORME</v>
      </c>
      <c r="BD98" s="15">
        <f t="shared" si="419"/>
        <v>-1</v>
      </c>
      <c r="BE98" s="15">
        <f t="shared" si="420"/>
        <v>-1</v>
      </c>
      <c r="BF98" s="15">
        <f t="shared" si="421"/>
        <v>-1</v>
      </c>
      <c r="BG98" s="15" t="str">
        <f t="shared" si="422"/>
        <v>-1-1-1</v>
      </c>
      <c r="BH98" s="15" t="str">
        <f t="shared" si="423"/>
        <v>SD</v>
      </c>
      <c r="BI98" s="15" t="str">
        <f t="shared" si="424"/>
        <v>SI</v>
      </c>
      <c r="BJ98" s="15" t="b">
        <f t="shared" si="425"/>
        <v>1</v>
      </c>
      <c r="BK98" s="15" t="str">
        <f t="shared" si="426"/>
        <v>SIGIGUALES</v>
      </c>
      <c r="BL98" s="22" t="str">
        <f t="shared" si="427"/>
        <v>NO CONFORME</v>
      </c>
    </row>
    <row r="99" spans="1:64" ht="14.4" x14ac:dyDescent="0.3">
      <c r="A99" s="91">
        <v>91</v>
      </c>
      <c r="B99" s="28">
        <f t="shared" ref="B99:D99" si="598">B98</f>
        <v>45920</v>
      </c>
      <c r="C99" s="28">
        <f t="shared" si="598"/>
        <v>45920</v>
      </c>
      <c r="D99" s="12">
        <f t="shared" si="598"/>
        <v>3</v>
      </c>
      <c r="E99" s="10">
        <f t="shared" si="301"/>
        <v>8</v>
      </c>
      <c r="F99" s="13"/>
      <c r="G99" s="157"/>
      <c r="H99" s="70">
        <f t="shared" ref="H99:L99" si="599">H98</f>
        <v>25.6</v>
      </c>
      <c r="I99" s="36">
        <f t="shared" si="599"/>
        <v>0</v>
      </c>
      <c r="J99" s="35">
        <f t="shared" si="599"/>
        <v>20.9</v>
      </c>
      <c r="K99" s="122">
        <f t="shared" si="599"/>
        <v>8.4730000000000008</v>
      </c>
      <c r="L99" s="122">
        <f t="shared" si="599"/>
        <v>0.52100000000000002</v>
      </c>
      <c r="M99" s="41"/>
      <c r="N99" s="41"/>
      <c r="O99" s="32">
        <f t="shared" ref="O99:P99" si="600">O98</f>
        <v>100.48</v>
      </c>
      <c r="P99" s="168" t="str">
        <f t="shared" si="600"/>
        <v>2,29,610</v>
      </c>
      <c r="Q99" s="11" t="str">
        <f t="shared" si="493"/>
        <v>2</v>
      </c>
      <c r="R99" s="11" t="str">
        <f t="shared" si="494"/>
        <v>29,610</v>
      </c>
      <c r="S99" s="11">
        <f t="shared" si="495"/>
        <v>4.1558333333333336E-2</v>
      </c>
      <c r="T99" s="14">
        <f t="shared" si="496"/>
        <v>2417.8062963705634</v>
      </c>
      <c r="U99" s="37">
        <f t="shared" si="497"/>
        <v>-100</v>
      </c>
      <c r="V99" s="38">
        <f t="shared" ref="V99:W99" si="601">V98</f>
        <v>21.3</v>
      </c>
      <c r="W99" s="124">
        <f t="shared" si="601"/>
        <v>1.0960000000000001</v>
      </c>
      <c r="X99" s="124">
        <f t="shared" si="552"/>
        <v>1.0880000000000001</v>
      </c>
      <c r="Y99" s="41"/>
      <c r="Z99" s="41"/>
      <c r="AA99" s="90">
        <f t="shared" ref="AA99:AB99" si="602">AA98</f>
        <v>5.01</v>
      </c>
      <c r="AB99" s="73" t="str">
        <f t="shared" si="602"/>
        <v>11,15,880</v>
      </c>
      <c r="AC99" s="11" t="str">
        <f t="shared" si="500"/>
        <v>11</v>
      </c>
      <c r="AD99" s="11" t="str">
        <f t="shared" si="501"/>
        <v>15,880</v>
      </c>
      <c r="AE99" s="11">
        <f t="shared" si="502"/>
        <v>0.18774444444444444</v>
      </c>
      <c r="AF99" s="14">
        <f t="shared" si="503"/>
        <v>26.685210392377346</v>
      </c>
      <c r="AG99" s="39">
        <f t="shared" si="504"/>
        <v>-100</v>
      </c>
      <c r="AH99" s="38">
        <f t="shared" si="560"/>
        <v>18.399999999999999</v>
      </c>
      <c r="AI99" s="124">
        <f t="shared" si="560"/>
        <v>1.0980000000000001</v>
      </c>
      <c r="AJ99" s="124">
        <f t="shared" si="560"/>
        <v>1.087</v>
      </c>
      <c r="AK99" s="41">
        <f t="shared" si="505"/>
        <v>0</v>
      </c>
      <c r="AL99" s="41"/>
      <c r="AM99" s="34">
        <f t="shared" ref="AM99:AN99" si="603">AM98</f>
        <v>2.0049999999999999</v>
      </c>
      <c r="AN99" s="33" t="str">
        <f t="shared" si="603"/>
        <v>7,19,050</v>
      </c>
      <c r="AO99" s="11" t="str">
        <f t="shared" si="507"/>
        <v>7,</v>
      </c>
      <c r="AP99" s="11" t="str">
        <f t="shared" si="508"/>
        <v>19,050</v>
      </c>
      <c r="AQ99" s="11">
        <f t="shared" si="509"/>
        <v>0.12195833333333334</v>
      </c>
      <c r="AR99" s="14">
        <f t="shared" si="510"/>
        <v>16.44004099760847</v>
      </c>
      <c r="AS99" s="39">
        <f t="shared" si="511"/>
        <v>-100</v>
      </c>
      <c r="AT99" s="40" t="str">
        <f t="shared" si="512"/>
        <v>NO CONFORME</v>
      </c>
      <c r="AU99" s="8" t="b">
        <f t="shared" si="434"/>
        <v>1</v>
      </c>
      <c r="AV99" s="8" t="b">
        <f t="shared" si="435"/>
        <v>0</v>
      </c>
      <c r="AW99" s="8" t="b">
        <f t="shared" si="436"/>
        <v>1</v>
      </c>
      <c r="AX99" s="8" t="str">
        <f t="shared" si="437"/>
        <v>Qcorrecto</v>
      </c>
      <c r="AY99" s="22" t="str">
        <f t="shared" si="417"/>
        <v>aceptable</v>
      </c>
      <c r="AZ99" s="22" t="str">
        <f t="shared" si="418"/>
        <v>aceptable</v>
      </c>
      <c r="BA99" s="22" t="str">
        <f t="shared" si="438"/>
        <v>aceptable</v>
      </c>
      <c r="BB99" s="25" t="str">
        <f t="shared" si="439"/>
        <v>NO CONFORME</v>
      </c>
      <c r="BC99" s="5" t="str">
        <f t="shared" si="440"/>
        <v>NO CONFORME</v>
      </c>
      <c r="BD99" s="15">
        <f t="shared" si="419"/>
        <v>-1</v>
      </c>
      <c r="BE99" s="15">
        <f t="shared" si="420"/>
        <v>-1</v>
      </c>
      <c r="BF99" s="15">
        <f t="shared" si="421"/>
        <v>-1</v>
      </c>
      <c r="BG99" s="15" t="str">
        <f t="shared" si="422"/>
        <v>-1-1-1</v>
      </c>
      <c r="BH99" s="15" t="str">
        <f t="shared" si="423"/>
        <v>SD</v>
      </c>
      <c r="BI99" s="15" t="str">
        <f t="shared" si="424"/>
        <v>SI</v>
      </c>
      <c r="BJ99" s="15" t="b">
        <f t="shared" si="425"/>
        <v>1</v>
      </c>
      <c r="BK99" s="15" t="str">
        <f t="shared" si="426"/>
        <v>SIGIGUALES</v>
      </c>
      <c r="BL99" s="22" t="str">
        <f t="shared" si="427"/>
        <v>NO CONFORME</v>
      </c>
    </row>
    <row r="100" spans="1:64" ht="14.4" x14ac:dyDescent="0.3">
      <c r="A100" s="91">
        <v>92</v>
      </c>
      <c r="B100" s="28">
        <f t="shared" ref="B100:D100" si="604">B99</f>
        <v>45920</v>
      </c>
      <c r="C100" s="28">
        <f t="shared" si="604"/>
        <v>45920</v>
      </c>
      <c r="D100" s="12">
        <f t="shared" si="604"/>
        <v>3</v>
      </c>
      <c r="E100" s="10">
        <f t="shared" si="301"/>
        <v>8</v>
      </c>
      <c r="F100" s="13"/>
      <c r="G100" s="157"/>
      <c r="H100" s="70">
        <f t="shared" ref="H100:L100" si="605">H99</f>
        <v>25.6</v>
      </c>
      <c r="I100" s="36">
        <f t="shared" si="605"/>
        <v>0</v>
      </c>
      <c r="J100" s="35">
        <f t="shared" si="605"/>
        <v>20.9</v>
      </c>
      <c r="K100" s="122">
        <f t="shared" si="605"/>
        <v>8.4730000000000008</v>
      </c>
      <c r="L100" s="122">
        <f t="shared" si="605"/>
        <v>0.52100000000000002</v>
      </c>
      <c r="M100" s="41"/>
      <c r="N100" s="41"/>
      <c r="O100" s="32">
        <f t="shared" ref="O100:P100" si="606">O99</f>
        <v>100.48</v>
      </c>
      <c r="P100" s="168" t="str">
        <f t="shared" si="606"/>
        <v>2,29,610</v>
      </c>
      <c r="Q100" s="11" t="str">
        <f t="shared" si="493"/>
        <v>2</v>
      </c>
      <c r="R100" s="11" t="str">
        <f t="shared" si="494"/>
        <v>29,610</v>
      </c>
      <c r="S100" s="11">
        <f t="shared" si="495"/>
        <v>4.1558333333333336E-2</v>
      </c>
      <c r="T100" s="14">
        <f t="shared" si="496"/>
        <v>2417.8062963705634</v>
      </c>
      <c r="U100" s="37">
        <f t="shared" si="497"/>
        <v>-100</v>
      </c>
      <c r="V100" s="38">
        <f t="shared" ref="V100:W100" si="607">V99</f>
        <v>21.3</v>
      </c>
      <c r="W100" s="124">
        <f t="shared" si="607"/>
        <v>1.0960000000000001</v>
      </c>
      <c r="X100" s="124">
        <f t="shared" si="552"/>
        <v>1.0880000000000001</v>
      </c>
      <c r="Y100" s="41"/>
      <c r="Z100" s="41"/>
      <c r="AA100" s="90">
        <f t="shared" ref="AA100:AB100" si="608">AA99</f>
        <v>5.01</v>
      </c>
      <c r="AB100" s="73" t="str">
        <f t="shared" si="608"/>
        <v>11,15,880</v>
      </c>
      <c r="AC100" s="11" t="str">
        <f t="shared" si="500"/>
        <v>11</v>
      </c>
      <c r="AD100" s="11" t="str">
        <f t="shared" si="501"/>
        <v>15,880</v>
      </c>
      <c r="AE100" s="11">
        <f t="shared" si="502"/>
        <v>0.18774444444444444</v>
      </c>
      <c r="AF100" s="14">
        <f t="shared" si="503"/>
        <v>26.685210392377346</v>
      </c>
      <c r="AG100" s="39">
        <f t="shared" si="504"/>
        <v>-100</v>
      </c>
      <c r="AH100" s="38">
        <f t="shared" si="560"/>
        <v>18.399999999999999</v>
      </c>
      <c r="AI100" s="124">
        <f t="shared" si="560"/>
        <v>1.0980000000000001</v>
      </c>
      <c r="AJ100" s="124">
        <f t="shared" si="560"/>
        <v>1.087</v>
      </c>
      <c r="AK100" s="41">
        <f t="shared" si="505"/>
        <v>0</v>
      </c>
      <c r="AL100" s="41"/>
      <c r="AM100" s="34">
        <f t="shared" ref="AM100:AN100" si="609">AM99</f>
        <v>2.0049999999999999</v>
      </c>
      <c r="AN100" s="33" t="str">
        <f t="shared" si="609"/>
        <v>7,19,050</v>
      </c>
      <c r="AO100" s="11" t="str">
        <f t="shared" si="507"/>
        <v>7,</v>
      </c>
      <c r="AP100" s="11" t="str">
        <f t="shared" si="508"/>
        <v>19,050</v>
      </c>
      <c r="AQ100" s="11">
        <f t="shared" si="509"/>
        <v>0.12195833333333334</v>
      </c>
      <c r="AR100" s="14">
        <f t="shared" si="510"/>
        <v>16.44004099760847</v>
      </c>
      <c r="AS100" s="39">
        <f t="shared" si="511"/>
        <v>-100</v>
      </c>
      <c r="AT100" s="40" t="str">
        <f t="shared" si="512"/>
        <v>NO CONFORME</v>
      </c>
      <c r="AU100" s="8" t="b">
        <f t="shared" si="434"/>
        <v>1</v>
      </c>
      <c r="AV100" s="8" t="b">
        <f t="shared" si="435"/>
        <v>0</v>
      </c>
      <c r="AW100" s="8" t="b">
        <f t="shared" si="436"/>
        <v>1</v>
      </c>
      <c r="AX100" s="8" t="str">
        <f t="shared" si="437"/>
        <v>Qcorrecto</v>
      </c>
      <c r="AY100" s="22" t="str">
        <f t="shared" si="417"/>
        <v>aceptable</v>
      </c>
      <c r="AZ100" s="22" t="str">
        <f t="shared" si="418"/>
        <v>aceptable</v>
      </c>
      <c r="BA100" s="22" t="str">
        <f t="shared" si="438"/>
        <v>aceptable</v>
      </c>
      <c r="BB100" s="25" t="str">
        <f t="shared" si="439"/>
        <v>NO CONFORME</v>
      </c>
      <c r="BC100" s="5" t="str">
        <f t="shared" si="440"/>
        <v>NO CONFORME</v>
      </c>
      <c r="BD100" s="15">
        <f t="shared" si="419"/>
        <v>-1</v>
      </c>
      <c r="BE100" s="15">
        <f t="shared" si="420"/>
        <v>-1</v>
      </c>
      <c r="BF100" s="15">
        <f t="shared" si="421"/>
        <v>-1</v>
      </c>
      <c r="BG100" s="15" t="str">
        <f t="shared" si="422"/>
        <v>-1-1-1</v>
      </c>
      <c r="BH100" s="15" t="str">
        <f t="shared" si="423"/>
        <v>SD</v>
      </c>
      <c r="BI100" s="15" t="str">
        <f t="shared" si="424"/>
        <v>SI</v>
      </c>
      <c r="BJ100" s="15" t="b">
        <f t="shared" si="425"/>
        <v>1</v>
      </c>
      <c r="BK100" s="15" t="str">
        <f t="shared" si="426"/>
        <v>SIGIGUALES</v>
      </c>
      <c r="BL100" s="22" t="str">
        <f t="shared" si="427"/>
        <v>NO CONFORME</v>
      </c>
    </row>
    <row r="101" spans="1:64" ht="14.4" x14ac:dyDescent="0.3">
      <c r="A101" s="91">
        <v>93</v>
      </c>
      <c r="B101" s="28">
        <f t="shared" ref="B101:D101" si="610">B100</f>
        <v>45920</v>
      </c>
      <c r="C101" s="28">
        <f t="shared" si="610"/>
        <v>45920</v>
      </c>
      <c r="D101" s="12">
        <f t="shared" si="610"/>
        <v>3</v>
      </c>
      <c r="E101" s="10">
        <f t="shared" si="301"/>
        <v>8</v>
      </c>
      <c r="F101" s="13"/>
      <c r="G101" s="157"/>
      <c r="H101" s="70">
        <f t="shared" ref="H101:L101" si="611">H100</f>
        <v>25.6</v>
      </c>
      <c r="I101" s="36">
        <f t="shared" si="611"/>
        <v>0</v>
      </c>
      <c r="J101" s="35">
        <f t="shared" si="611"/>
        <v>20.9</v>
      </c>
      <c r="K101" s="122">
        <f t="shared" si="611"/>
        <v>8.4730000000000008</v>
      </c>
      <c r="L101" s="122">
        <f t="shared" si="611"/>
        <v>0.52100000000000002</v>
      </c>
      <c r="M101" s="41"/>
      <c r="N101" s="41"/>
      <c r="O101" s="32">
        <f t="shared" ref="O101:P101" si="612">O100</f>
        <v>100.48</v>
      </c>
      <c r="P101" s="168" t="str">
        <f t="shared" si="612"/>
        <v>2,29,610</v>
      </c>
      <c r="Q101" s="11" t="str">
        <f t="shared" si="493"/>
        <v>2</v>
      </c>
      <c r="R101" s="11" t="str">
        <f t="shared" si="494"/>
        <v>29,610</v>
      </c>
      <c r="S101" s="11">
        <f t="shared" si="495"/>
        <v>4.1558333333333336E-2</v>
      </c>
      <c r="T101" s="14">
        <f t="shared" si="496"/>
        <v>2417.8062963705634</v>
      </c>
      <c r="U101" s="37">
        <f t="shared" si="497"/>
        <v>-100</v>
      </c>
      <c r="V101" s="38">
        <f t="shared" ref="V101:W101" si="613">V100</f>
        <v>21.3</v>
      </c>
      <c r="W101" s="124">
        <f t="shared" si="613"/>
        <v>1.0960000000000001</v>
      </c>
      <c r="X101" s="124">
        <f t="shared" si="552"/>
        <v>1.0880000000000001</v>
      </c>
      <c r="Y101" s="41"/>
      <c r="Z101" s="41"/>
      <c r="AA101" s="90">
        <f t="shared" ref="AA101:AB101" si="614">AA100</f>
        <v>5.01</v>
      </c>
      <c r="AB101" s="73" t="str">
        <f t="shared" si="614"/>
        <v>11,15,880</v>
      </c>
      <c r="AC101" s="11" t="str">
        <f t="shared" si="500"/>
        <v>11</v>
      </c>
      <c r="AD101" s="11" t="str">
        <f t="shared" si="501"/>
        <v>15,880</v>
      </c>
      <c r="AE101" s="11">
        <f t="shared" si="502"/>
        <v>0.18774444444444444</v>
      </c>
      <c r="AF101" s="14">
        <f t="shared" si="503"/>
        <v>26.685210392377346</v>
      </c>
      <c r="AG101" s="39">
        <f t="shared" si="504"/>
        <v>-100</v>
      </c>
      <c r="AH101" s="38">
        <f t="shared" si="560"/>
        <v>18.399999999999999</v>
      </c>
      <c r="AI101" s="124">
        <f t="shared" si="560"/>
        <v>1.0980000000000001</v>
      </c>
      <c r="AJ101" s="124">
        <f t="shared" si="560"/>
        <v>1.087</v>
      </c>
      <c r="AK101" s="41">
        <f t="shared" si="505"/>
        <v>0</v>
      </c>
      <c r="AL101" s="41"/>
      <c r="AM101" s="34">
        <f t="shared" ref="AM101:AN101" si="615">AM100</f>
        <v>2.0049999999999999</v>
      </c>
      <c r="AN101" s="33" t="str">
        <f t="shared" si="615"/>
        <v>7,19,050</v>
      </c>
      <c r="AO101" s="11" t="str">
        <f t="shared" si="507"/>
        <v>7,</v>
      </c>
      <c r="AP101" s="11" t="str">
        <f t="shared" si="508"/>
        <v>19,050</v>
      </c>
      <c r="AQ101" s="11">
        <f t="shared" si="509"/>
        <v>0.12195833333333334</v>
      </c>
      <c r="AR101" s="14">
        <f t="shared" si="510"/>
        <v>16.44004099760847</v>
      </c>
      <c r="AS101" s="39">
        <f t="shared" si="511"/>
        <v>-100</v>
      </c>
      <c r="AT101" s="40" t="str">
        <f t="shared" si="512"/>
        <v>NO CONFORME</v>
      </c>
      <c r="AU101" s="8" t="b">
        <f t="shared" si="434"/>
        <v>1</v>
      </c>
      <c r="AV101" s="8" t="b">
        <f t="shared" si="435"/>
        <v>0</v>
      </c>
      <c r="AW101" s="8" t="b">
        <f t="shared" si="436"/>
        <v>1</v>
      </c>
      <c r="AX101" s="8" t="str">
        <f t="shared" si="437"/>
        <v>Qcorrecto</v>
      </c>
      <c r="AY101" s="22" t="str">
        <f t="shared" si="417"/>
        <v>aceptable</v>
      </c>
      <c r="AZ101" s="22" t="str">
        <f t="shared" si="418"/>
        <v>aceptable</v>
      </c>
      <c r="BA101" s="22" t="str">
        <f t="shared" si="438"/>
        <v>aceptable</v>
      </c>
      <c r="BB101" s="25" t="str">
        <f t="shared" si="439"/>
        <v>NO CONFORME</v>
      </c>
      <c r="BC101" s="5" t="str">
        <f t="shared" si="440"/>
        <v>NO CONFORME</v>
      </c>
      <c r="BD101" s="15">
        <f t="shared" si="419"/>
        <v>-1</v>
      </c>
      <c r="BE101" s="15">
        <f t="shared" si="420"/>
        <v>-1</v>
      </c>
      <c r="BF101" s="15">
        <f t="shared" si="421"/>
        <v>-1</v>
      </c>
      <c r="BG101" s="15" t="str">
        <f t="shared" si="422"/>
        <v>-1-1-1</v>
      </c>
      <c r="BH101" s="15" t="str">
        <f t="shared" si="423"/>
        <v>SD</v>
      </c>
      <c r="BI101" s="15" t="str">
        <f t="shared" si="424"/>
        <v>SI</v>
      </c>
      <c r="BJ101" s="15" t="b">
        <f t="shared" si="425"/>
        <v>1</v>
      </c>
      <c r="BK101" s="15" t="str">
        <f t="shared" si="426"/>
        <v>SIGIGUALES</v>
      </c>
      <c r="BL101" s="22" t="str">
        <f t="shared" si="427"/>
        <v>NO CONFORME</v>
      </c>
    </row>
    <row r="102" spans="1:64" ht="14.4" x14ac:dyDescent="0.3">
      <c r="A102" s="91">
        <v>94</v>
      </c>
      <c r="B102" s="28">
        <f t="shared" ref="B102:D102" si="616">B101</f>
        <v>45920</v>
      </c>
      <c r="C102" s="28">
        <f t="shared" si="616"/>
        <v>45920</v>
      </c>
      <c r="D102" s="12">
        <f t="shared" si="616"/>
        <v>3</v>
      </c>
      <c r="E102" s="10">
        <f t="shared" si="301"/>
        <v>8</v>
      </c>
      <c r="F102" s="13"/>
      <c r="G102" s="157"/>
      <c r="H102" s="70">
        <f t="shared" ref="H102:L102" si="617">H101</f>
        <v>25.6</v>
      </c>
      <c r="I102" s="36">
        <f t="shared" si="617"/>
        <v>0</v>
      </c>
      <c r="J102" s="35">
        <f t="shared" si="617"/>
        <v>20.9</v>
      </c>
      <c r="K102" s="122">
        <f t="shared" si="617"/>
        <v>8.4730000000000008</v>
      </c>
      <c r="L102" s="122">
        <f t="shared" si="617"/>
        <v>0.52100000000000002</v>
      </c>
      <c r="M102" s="41"/>
      <c r="N102" s="41"/>
      <c r="O102" s="32">
        <f t="shared" ref="O102:P102" si="618">O101</f>
        <v>100.48</v>
      </c>
      <c r="P102" s="168" t="str">
        <f t="shared" si="618"/>
        <v>2,29,610</v>
      </c>
      <c r="Q102" s="11" t="str">
        <f t="shared" si="493"/>
        <v>2</v>
      </c>
      <c r="R102" s="11" t="str">
        <f t="shared" si="494"/>
        <v>29,610</v>
      </c>
      <c r="S102" s="11">
        <f t="shared" si="495"/>
        <v>4.1558333333333336E-2</v>
      </c>
      <c r="T102" s="14">
        <f t="shared" si="496"/>
        <v>2417.8062963705634</v>
      </c>
      <c r="U102" s="37">
        <f t="shared" si="497"/>
        <v>-100</v>
      </c>
      <c r="V102" s="38">
        <f t="shared" ref="V102:W102" si="619">V101</f>
        <v>21.3</v>
      </c>
      <c r="W102" s="124">
        <f t="shared" si="619"/>
        <v>1.0960000000000001</v>
      </c>
      <c r="X102" s="124">
        <f t="shared" si="552"/>
        <v>1.0880000000000001</v>
      </c>
      <c r="Y102" s="41"/>
      <c r="Z102" s="41"/>
      <c r="AA102" s="90">
        <f t="shared" ref="AA102:AB102" si="620">AA101</f>
        <v>5.01</v>
      </c>
      <c r="AB102" s="73" t="str">
        <f t="shared" si="620"/>
        <v>11,15,880</v>
      </c>
      <c r="AC102" s="11" t="str">
        <f t="shared" si="500"/>
        <v>11</v>
      </c>
      <c r="AD102" s="11" t="str">
        <f t="shared" si="501"/>
        <v>15,880</v>
      </c>
      <c r="AE102" s="11">
        <f t="shared" si="502"/>
        <v>0.18774444444444444</v>
      </c>
      <c r="AF102" s="14">
        <f t="shared" si="503"/>
        <v>26.685210392377346</v>
      </c>
      <c r="AG102" s="39">
        <f t="shared" si="504"/>
        <v>-100</v>
      </c>
      <c r="AH102" s="38">
        <f t="shared" si="560"/>
        <v>18.399999999999999</v>
      </c>
      <c r="AI102" s="124">
        <f t="shared" si="560"/>
        <v>1.0980000000000001</v>
      </c>
      <c r="AJ102" s="124">
        <f t="shared" si="560"/>
        <v>1.087</v>
      </c>
      <c r="AK102" s="41">
        <f t="shared" si="505"/>
        <v>0</v>
      </c>
      <c r="AL102" s="41"/>
      <c r="AM102" s="34">
        <f t="shared" ref="AM102:AN102" si="621">AM101</f>
        <v>2.0049999999999999</v>
      </c>
      <c r="AN102" s="33" t="str">
        <f t="shared" si="621"/>
        <v>7,19,050</v>
      </c>
      <c r="AO102" s="11" t="str">
        <f t="shared" si="507"/>
        <v>7,</v>
      </c>
      <c r="AP102" s="11" t="str">
        <f t="shared" si="508"/>
        <v>19,050</v>
      </c>
      <c r="AQ102" s="11">
        <f t="shared" si="509"/>
        <v>0.12195833333333334</v>
      </c>
      <c r="AR102" s="14">
        <f t="shared" si="510"/>
        <v>16.44004099760847</v>
      </c>
      <c r="AS102" s="39">
        <f t="shared" si="511"/>
        <v>-100</v>
      </c>
      <c r="AT102" s="40" t="str">
        <f t="shared" si="512"/>
        <v>NO CONFORME</v>
      </c>
      <c r="AU102" s="8" t="b">
        <f t="shared" si="434"/>
        <v>1</v>
      </c>
      <c r="AV102" s="8" t="b">
        <f t="shared" si="435"/>
        <v>0</v>
      </c>
      <c r="AW102" s="8" t="b">
        <f t="shared" si="436"/>
        <v>1</v>
      </c>
      <c r="AX102" s="8" t="str">
        <f t="shared" si="437"/>
        <v>Qcorrecto</v>
      </c>
      <c r="AY102" s="22" t="str">
        <f t="shared" si="417"/>
        <v>aceptable</v>
      </c>
      <c r="AZ102" s="22" t="str">
        <f t="shared" si="418"/>
        <v>aceptable</v>
      </c>
      <c r="BA102" s="22" t="str">
        <f t="shared" si="438"/>
        <v>aceptable</v>
      </c>
      <c r="BB102" s="25" t="str">
        <f t="shared" si="439"/>
        <v>NO CONFORME</v>
      </c>
      <c r="BC102" s="5" t="str">
        <f t="shared" si="440"/>
        <v>NO CONFORME</v>
      </c>
      <c r="BD102" s="15">
        <f t="shared" si="419"/>
        <v>-1</v>
      </c>
      <c r="BE102" s="15">
        <f t="shared" si="420"/>
        <v>-1</v>
      </c>
      <c r="BF102" s="15">
        <f t="shared" si="421"/>
        <v>-1</v>
      </c>
      <c r="BG102" s="15" t="str">
        <f t="shared" si="422"/>
        <v>-1-1-1</v>
      </c>
      <c r="BH102" s="15" t="str">
        <f t="shared" si="423"/>
        <v>SD</v>
      </c>
      <c r="BI102" s="15" t="str">
        <f t="shared" si="424"/>
        <v>SI</v>
      </c>
      <c r="BJ102" s="15" t="b">
        <f t="shared" si="425"/>
        <v>1</v>
      </c>
      <c r="BK102" s="15" t="str">
        <f t="shared" si="426"/>
        <v>SIGIGUALES</v>
      </c>
      <c r="BL102" s="22" t="str">
        <f t="shared" si="427"/>
        <v>NO CONFORME</v>
      </c>
    </row>
    <row r="103" spans="1:64" ht="14.4" x14ac:dyDescent="0.3">
      <c r="A103" s="91">
        <v>95</v>
      </c>
      <c r="B103" s="28">
        <f t="shared" ref="B103:D103" si="622">B102</f>
        <v>45920</v>
      </c>
      <c r="C103" s="28">
        <f t="shared" si="622"/>
        <v>45920</v>
      </c>
      <c r="D103" s="12">
        <f t="shared" si="622"/>
        <v>3</v>
      </c>
      <c r="E103" s="10">
        <f t="shared" si="301"/>
        <v>8</v>
      </c>
      <c r="F103" s="13"/>
      <c r="G103" s="157"/>
      <c r="H103" s="70">
        <f t="shared" ref="H103:L103" si="623">H102</f>
        <v>25.6</v>
      </c>
      <c r="I103" s="36">
        <f t="shared" si="623"/>
        <v>0</v>
      </c>
      <c r="J103" s="35">
        <f t="shared" si="623"/>
        <v>20.9</v>
      </c>
      <c r="K103" s="122">
        <f t="shared" si="623"/>
        <v>8.4730000000000008</v>
      </c>
      <c r="L103" s="122">
        <f t="shared" si="623"/>
        <v>0.52100000000000002</v>
      </c>
      <c r="M103" s="41"/>
      <c r="N103" s="41"/>
      <c r="O103" s="32">
        <f t="shared" ref="O103:P103" si="624">O102</f>
        <v>100.48</v>
      </c>
      <c r="P103" s="168" t="str">
        <f t="shared" si="624"/>
        <v>2,29,610</v>
      </c>
      <c r="Q103" s="11" t="str">
        <f t="shared" si="493"/>
        <v>2</v>
      </c>
      <c r="R103" s="11" t="str">
        <f t="shared" si="494"/>
        <v>29,610</v>
      </c>
      <c r="S103" s="11">
        <f t="shared" si="495"/>
        <v>4.1558333333333336E-2</v>
      </c>
      <c r="T103" s="14">
        <f t="shared" si="496"/>
        <v>2417.8062963705634</v>
      </c>
      <c r="U103" s="37">
        <f t="shared" si="497"/>
        <v>-100</v>
      </c>
      <c r="V103" s="38">
        <f t="shared" ref="V103:W103" si="625">V102</f>
        <v>21.3</v>
      </c>
      <c r="W103" s="124">
        <f t="shared" si="625"/>
        <v>1.0960000000000001</v>
      </c>
      <c r="X103" s="124">
        <f t="shared" si="552"/>
        <v>1.0880000000000001</v>
      </c>
      <c r="Y103" s="41"/>
      <c r="Z103" s="41"/>
      <c r="AA103" s="90">
        <f t="shared" ref="AA103:AB103" si="626">AA102</f>
        <v>5.01</v>
      </c>
      <c r="AB103" s="73" t="str">
        <f t="shared" si="626"/>
        <v>11,15,880</v>
      </c>
      <c r="AC103" s="11" t="str">
        <f t="shared" si="500"/>
        <v>11</v>
      </c>
      <c r="AD103" s="11" t="str">
        <f t="shared" si="501"/>
        <v>15,880</v>
      </c>
      <c r="AE103" s="11">
        <f t="shared" si="502"/>
        <v>0.18774444444444444</v>
      </c>
      <c r="AF103" s="14">
        <f t="shared" si="503"/>
        <v>26.685210392377346</v>
      </c>
      <c r="AG103" s="39">
        <f t="shared" si="504"/>
        <v>-100</v>
      </c>
      <c r="AH103" s="38">
        <f t="shared" si="560"/>
        <v>18.399999999999999</v>
      </c>
      <c r="AI103" s="124">
        <f t="shared" si="560"/>
        <v>1.0980000000000001</v>
      </c>
      <c r="AJ103" s="124">
        <f t="shared" si="560"/>
        <v>1.087</v>
      </c>
      <c r="AK103" s="41">
        <f t="shared" si="505"/>
        <v>0</v>
      </c>
      <c r="AL103" s="41"/>
      <c r="AM103" s="34">
        <f t="shared" ref="AM103:AN103" si="627">AM102</f>
        <v>2.0049999999999999</v>
      </c>
      <c r="AN103" s="33" t="str">
        <f t="shared" si="627"/>
        <v>7,19,050</v>
      </c>
      <c r="AO103" s="11" t="str">
        <f t="shared" si="507"/>
        <v>7,</v>
      </c>
      <c r="AP103" s="11" t="str">
        <f t="shared" si="508"/>
        <v>19,050</v>
      </c>
      <c r="AQ103" s="11">
        <f t="shared" si="509"/>
        <v>0.12195833333333334</v>
      </c>
      <c r="AR103" s="14">
        <f t="shared" si="510"/>
        <v>16.44004099760847</v>
      </c>
      <c r="AS103" s="39">
        <f t="shared" si="511"/>
        <v>-100</v>
      </c>
      <c r="AT103" s="40" t="str">
        <f t="shared" si="512"/>
        <v>NO CONFORME</v>
      </c>
      <c r="AU103" s="8" t="b">
        <f t="shared" si="434"/>
        <v>1</v>
      </c>
      <c r="AV103" s="8" t="b">
        <f t="shared" si="435"/>
        <v>0</v>
      </c>
      <c r="AW103" s="8" t="b">
        <f t="shared" si="436"/>
        <v>1</v>
      </c>
      <c r="AX103" s="8" t="str">
        <f t="shared" si="437"/>
        <v>Qcorrecto</v>
      </c>
      <c r="AY103" s="22" t="str">
        <f t="shared" si="417"/>
        <v>aceptable</v>
      </c>
      <c r="AZ103" s="22" t="str">
        <f t="shared" si="418"/>
        <v>aceptable</v>
      </c>
      <c r="BA103" s="22" t="str">
        <f t="shared" si="438"/>
        <v>aceptable</v>
      </c>
      <c r="BB103" s="25" t="str">
        <f t="shared" si="439"/>
        <v>NO CONFORME</v>
      </c>
      <c r="BC103" s="5" t="str">
        <f t="shared" si="440"/>
        <v>NO CONFORME</v>
      </c>
      <c r="BD103" s="15">
        <f t="shared" si="419"/>
        <v>-1</v>
      </c>
      <c r="BE103" s="15">
        <f t="shared" si="420"/>
        <v>-1</v>
      </c>
      <c r="BF103" s="15">
        <f t="shared" si="421"/>
        <v>-1</v>
      </c>
      <c r="BG103" s="15" t="str">
        <f t="shared" si="422"/>
        <v>-1-1-1</v>
      </c>
      <c r="BH103" s="15" t="str">
        <f t="shared" si="423"/>
        <v>SD</v>
      </c>
      <c r="BI103" s="15" t="str">
        <f t="shared" si="424"/>
        <v>SI</v>
      </c>
      <c r="BJ103" s="15" t="b">
        <f t="shared" si="425"/>
        <v>1</v>
      </c>
      <c r="BK103" s="15" t="str">
        <f t="shared" si="426"/>
        <v>SIGIGUALES</v>
      </c>
      <c r="BL103" s="22" t="str">
        <f t="shared" si="427"/>
        <v>NO CONFORME</v>
      </c>
    </row>
    <row r="104" spans="1:64" ht="14.4" x14ac:dyDescent="0.3">
      <c r="A104" s="91">
        <v>96</v>
      </c>
      <c r="B104" s="28">
        <f t="shared" ref="B104:D104" si="628">B103</f>
        <v>45920</v>
      </c>
      <c r="C104" s="28">
        <f t="shared" si="628"/>
        <v>45920</v>
      </c>
      <c r="D104" s="12">
        <f t="shared" si="628"/>
        <v>3</v>
      </c>
      <c r="E104" s="10">
        <f t="shared" si="301"/>
        <v>8</v>
      </c>
      <c r="F104" s="13"/>
      <c r="G104" s="157"/>
      <c r="H104" s="70">
        <f t="shared" ref="H104:L104" si="629">H103</f>
        <v>25.6</v>
      </c>
      <c r="I104" s="36">
        <f t="shared" si="629"/>
        <v>0</v>
      </c>
      <c r="J104" s="35">
        <f t="shared" si="629"/>
        <v>20.9</v>
      </c>
      <c r="K104" s="122">
        <f t="shared" si="629"/>
        <v>8.4730000000000008</v>
      </c>
      <c r="L104" s="122">
        <f t="shared" si="629"/>
        <v>0.52100000000000002</v>
      </c>
      <c r="M104" s="41"/>
      <c r="N104" s="41"/>
      <c r="O104" s="32">
        <f t="shared" ref="O104:P104" si="630">O103</f>
        <v>100.48</v>
      </c>
      <c r="P104" s="168" t="str">
        <f t="shared" si="630"/>
        <v>2,29,610</v>
      </c>
      <c r="Q104" s="11" t="str">
        <f t="shared" si="493"/>
        <v>2</v>
      </c>
      <c r="R104" s="11" t="str">
        <f t="shared" si="494"/>
        <v>29,610</v>
      </c>
      <c r="S104" s="11">
        <f t="shared" si="495"/>
        <v>4.1558333333333336E-2</v>
      </c>
      <c r="T104" s="14">
        <f t="shared" si="496"/>
        <v>2417.8062963705634</v>
      </c>
      <c r="U104" s="37">
        <f t="shared" si="497"/>
        <v>-100</v>
      </c>
      <c r="V104" s="38">
        <f t="shared" ref="V104:W104" si="631">V103</f>
        <v>21.3</v>
      </c>
      <c r="W104" s="124">
        <f t="shared" si="631"/>
        <v>1.0960000000000001</v>
      </c>
      <c r="X104" s="124">
        <f t="shared" si="552"/>
        <v>1.0880000000000001</v>
      </c>
      <c r="Y104" s="41"/>
      <c r="Z104" s="41"/>
      <c r="AA104" s="90">
        <f t="shared" ref="AA104:AB104" si="632">AA103</f>
        <v>5.01</v>
      </c>
      <c r="AB104" s="73" t="str">
        <f t="shared" si="632"/>
        <v>11,15,880</v>
      </c>
      <c r="AC104" s="11" t="str">
        <f t="shared" si="500"/>
        <v>11</v>
      </c>
      <c r="AD104" s="11" t="str">
        <f t="shared" si="501"/>
        <v>15,880</v>
      </c>
      <c r="AE104" s="11">
        <f t="shared" si="502"/>
        <v>0.18774444444444444</v>
      </c>
      <c r="AF104" s="14">
        <f t="shared" si="503"/>
        <v>26.685210392377346</v>
      </c>
      <c r="AG104" s="39">
        <f t="shared" si="504"/>
        <v>-100</v>
      </c>
      <c r="AH104" s="38">
        <f t="shared" si="560"/>
        <v>18.399999999999999</v>
      </c>
      <c r="AI104" s="124">
        <f t="shared" si="560"/>
        <v>1.0980000000000001</v>
      </c>
      <c r="AJ104" s="124">
        <f t="shared" si="560"/>
        <v>1.087</v>
      </c>
      <c r="AK104" s="41">
        <f t="shared" si="505"/>
        <v>0</v>
      </c>
      <c r="AL104" s="41"/>
      <c r="AM104" s="34">
        <f t="shared" ref="AM104:AN104" si="633">AM103</f>
        <v>2.0049999999999999</v>
      </c>
      <c r="AN104" s="33" t="str">
        <f t="shared" si="633"/>
        <v>7,19,050</v>
      </c>
      <c r="AO104" s="11" t="str">
        <f t="shared" si="507"/>
        <v>7,</v>
      </c>
      <c r="AP104" s="11" t="str">
        <f t="shared" si="508"/>
        <v>19,050</v>
      </c>
      <c r="AQ104" s="11">
        <f t="shared" si="509"/>
        <v>0.12195833333333334</v>
      </c>
      <c r="AR104" s="14">
        <f t="shared" si="510"/>
        <v>16.44004099760847</v>
      </c>
      <c r="AS104" s="39">
        <f t="shared" si="511"/>
        <v>-100</v>
      </c>
      <c r="AT104" s="40" t="str">
        <f t="shared" si="512"/>
        <v>NO CONFORME</v>
      </c>
      <c r="AU104" s="8" t="b">
        <f t="shared" si="434"/>
        <v>1</v>
      </c>
      <c r="AV104" s="8" t="b">
        <f t="shared" si="435"/>
        <v>0</v>
      </c>
      <c r="AW104" s="8" t="b">
        <f t="shared" si="436"/>
        <v>1</v>
      </c>
      <c r="AX104" s="8" t="str">
        <f t="shared" si="437"/>
        <v>Qcorrecto</v>
      </c>
      <c r="AY104" s="22" t="str">
        <f t="shared" si="417"/>
        <v>aceptable</v>
      </c>
      <c r="AZ104" s="22" t="str">
        <f t="shared" si="418"/>
        <v>aceptable</v>
      </c>
      <c r="BA104" s="22" t="str">
        <f t="shared" si="438"/>
        <v>aceptable</v>
      </c>
      <c r="BB104" s="25" t="str">
        <f t="shared" si="439"/>
        <v>NO CONFORME</v>
      </c>
      <c r="BC104" s="5" t="str">
        <f t="shared" si="440"/>
        <v>NO CONFORME</v>
      </c>
      <c r="BD104" s="15">
        <f t="shared" si="419"/>
        <v>-1</v>
      </c>
      <c r="BE104" s="15">
        <f t="shared" si="420"/>
        <v>-1</v>
      </c>
      <c r="BF104" s="15">
        <f t="shared" si="421"/>
        <v>-1</v>
      </c>
      <c r="BG104" s="15" t="str">
        <f t="shared" si="422"/>
        <v>-1-1-1</v>
      </c>
      <c r="BH104" s="15" t="str">
        <f t="shared" si="423"/>
        <v>SD</v>
      </c>
      <c r="BI104" s="15" t="str">
        <f t="shared" si="424"/>
        <v>SI</v>
      </c>
      <c r="BJ104" s="15" t="b">
        <f t="shared" si="425"/>
        <v>1</v>
      </c>
      <c r="BK104" s="15" t="str">
        <f t="shared" si="426"/>
        <v>SIGIGUALES</v>
      </c>
      <c r="BL104" s="22" t="str">
        <f t="shared" si="427"/>
        <v>NO CONFORME</v>
      </c>
    </row>
    <row r="105" spans="1:64" ht="14.4" x14ac:dyDescent="0.3">
      <c r="A105" s="91">
        <v>97</v>
      </c>
      <c r="B105" s="28">
        <f t="shared" ref="B105:D105" si="634">B104</f>
        <v>45920</v>
      </c>
      <c r="C105" s="28">
        <f t="shared" si="634"/>
        <v>45920</v>
      </c>
      <c r="D105" s="12">
        <f t="shared" si="634"/>
        <v>3</v>
      </c>
      <c r="E105" s="10">
        <f t="shared" si="301"/>
        <v>8</v>
      </c>
      <c r="F105" s="13"/>
      <c r="G105" s="157"/>
      <c r="H105" s="70">
        <f t="shared" ref="H105:L105" si="635">H104</f>
        <v>25.6</v>
      </c>
      <c r="I105" s="36">
        <f t="shared" si="635"/>
        <v>0</v>
      </c>
      <c r="J105" s="35">
        <f t="shared" si="635"/>
        <v>20.9</v>
      </c>
      <c r="K105" s="122">
        <f t="shared" si="635"/>
        <v>8.4730000000000008</v>
      </c>
      <c r="L105" s="122">
        <f t="shared" si="635"/>
        <v>0.52100000000000002</v>
      </c>
      <c r="M105" s="41"/>
      <c r="N105" s="41"/>
      <c r="O105" s="32">
        <f t="shared" ref="O105:P105" si="636">O104</f>
        <v>100.48</v>
      </c>
      <c r="P105" s="168" t="str">
        <f t="shared" si="636"/>
        <v>2,29,610</v>
      </c>
      <c r="Q105" s="11" t="str">
        <f t="shared" si="493"/>
        <v>2</v>
      </c>
      <c r="R105" s="11" t="str">
        <f t="shared" si="494"/>
        <v>29,610</v>
      </c>
      <c r="S105" s="11">
        <f t="shared" si="495"/>
        <v>4.1558333333333336E-2</v>
      </c>
      <c r="T105" s="14">
        <f t="shared" si="496"/>
        <v>2417.8062963705634</v>
      </c>
      <c r="U105" s="37">
        <f t="shared" si="497"/>
        <v>-100</v>
      </c>
      <c r="V105" s="38">
        <f t="shared" ref="V105:W105" si="637">V104</f>
        <v>21.3</v>
      </c>
      <c r="W105" s="124">
        <f t="shared" si="637"/>
        <v>1.0960000000000001</v>
      </c>
      <c r="X105" s="124">
        <f t="shared" si="552"/>
        <v>1.0880000000000001</v>
      </c>
      <c r="Y105" s="41"/>
      <c r="Z105" s="41"/>
      <c r="AA105" s="90">
        <f t="shared" ref="AA105:AB105" si="638">AA104</f>
        <v>5.01</v>
      </c>
      <c r="AB105" s="73" t="str">
        <f t="shared" si="638"/>
        <v>11,15,880</v>
      </c>
      <c r="AC105" s="11" t="str">
        <f t="shared" si="500"/>
        <v>11</v>
      </c>
      <c r="AD105" s="11" t="str">
        <f t="shared" si="501"/>
        <v>15,880</v>
      </c>
      <c r="AE105" s="11">
        <f t="shared" si="502"/>
        <v>0.18774444444444444</v>
      </c>
      <c r="AF105" s="14">
        <f t="shared" si="503"/>
        <v>26.685210392377346</v>
      </c>
      <c r="AG105" s="39">
        <f t="shared" si="504"/>
        <v>-100</v>
      </c>
      <c r="AH105" s="38">
        <f t="shared" si="560"/>
        <v>18.399999999999999</v>
      </c>
      <c r="AI105" s="124">
        <f t="shared" si="560"/>
        <v>1.0980000000000001</v>
      </c>
      <c r="AJ105" s="124">
        <f t="shared" si="560"/>
        <v>1.087</v>
      </c>
      <c r="AK105" s="41">
        <f t="shared" si="505"/>
        <v>0</v>
      </c>
      <c r="AL105" s="41"/>
      <c r="AM105" s="34">
        <f t="shared" ref="AM105:AN105" si="639">AM104</f>
        <v>2.0049999999999999</v>
      </c>
      <c r="AN105" s="33" t="str">
        <f t="shared" si="639"/>
        <v>7,19,050</v>
      </c>
      <c r="AO105" s="11" t="str">
        <f t="shared" si="507"/>
        <v>7,</v>
      </c>
      <c r="AP105" s="11" t="str">
        <f t="shared" si="508"/>
        <v>19,050</v>
      </c>
      <c r="AQ105" s="11">
        <f t="shared" si="509"/>
        <v>0.12195833333333334</v>
      </c>
      <c r="AR105" s="14">
        <f t="shared" si="510"/>
        <v>16.44004099760847</v>
      </c>
      <c r="AS105" s="39">
        <f t="shared" si="511"/>
        <v>-100</v>
      </c>
      <c r="AT105" s="40" t="str">
        <f t="shared" si="512"/>
        <v>NO CONFORME</v>
      </c>
      <c r="AU105" s="8" t="b">
        <f t="shared" si="434"/>
        <v>1</v>
      </c>
      <c r="AV105" s="8" t="b">
        <f t="shared" si="435"/>
        <v>0</v>
      </c>
      <c r="AW105" s="8" t="b">
        <f t="shared" si="436"/>
        <v>1</v>
      </c>
      <c r="AX105" s="8" t="str">
        <f t="shared" si="437"/>
        <v>Qcorrecto</v>
      </c>
      <c r="AY105" s="22" t="str">
        <f t="shared" si="417"/>
        <v>aceptable</v>
      </c>
      <c r="AZ105" s="22" t="str">
        <f t="shared" si="418"/>
        <v>aceptable</v>
      </c>
      <c r="BA105" s="22" t="str">
        <f t="shared" si="438"/>
        <v>aceptable</v>
      </c>
      <c r="BB105" s="25" t="str">
        <f t="shared" si="439"/>
        <v>NO CONFORME</v>
      </c>
      <c r="BC105" s="5" t="str">
        <f t="shared" si="440"/>
        <v>NO CONFORME</v>
      </c>
      <c r="BD105" s="15">
        <f t="shared" si="419"/>
        <v>-1</v>
      </c>
      <c r="BE105" s="15">
        <f t="shared" si="420"/>
        <v>-1</v>
      </c>
      <c r="BF105" s="15">
        <f t="shared" si="421"/>
        <v>-1</v>
      </c>
      <c r="BG105" s="15" t="str">
        <f t="shared" si="422"/>
        <v>-1-1-1</v>
      </c>
      <c r="BH105" s="15" t="str">
        <f t="shared" si="423"/>
        <v>SD</v>
      </c>
      <c r="BI105" s="15" t="str">
        <f t="shared" si="424"/>
        <v>SI</v>
      </c>
      <c r="BJ105" s="15" t="b">
        <f t="shared" si="425"/>
        <v>1</v>
      </c>
      <c r="BK105" s="15" t="str">
        <f t="shared" si="426"/>
        <v>SIGIGUALES</v>
      </c>
      <c r="BL105" s="22" t="str">
        <f t="shared" si="427"/>
        <v>NO CONFORME</v>
      </c>
    </row>
    <row r="106" spans="1:64" ht="14.4" x14ac:dyDescent="0.3">
      <c r="A106" s="91">
        <v>98</v>
      </c>
      <c r="B106" s="28">
        <f t="shared" ref="B106:D106" si="640">B105</f>
        <v>45920</v>
      </c>
      <c r="C106" s="28">
        <f t="shared" si="640"/>
        <v>45920</v>
      </c>
      <c r="D106" s="12">
        <f t="shared" si="640"/>
        <v>3</v>
      </c>
      <c r="E106" s="10">
        <f t="shared" si="301"/>
        <v>8</v>
      </c>
      <c r="F106" s="13"/>
      <c r="G106" s="157"/>
      <c r="H106" s="70">
        <f t="shared" ref="H106:L106" si="641">H105</f>
        <v>25.6</v>
      </c>
      <c r="I106" s="36">
        <f t="shared" si="641"/>
        <v>0</v>
      </c>
      <c r="J106" s="35">
        <f t="shared" si="641"/>
        <v>20.9</v>
      </c>
      <c r="K106" s="122">
        <f t="shared" si="641"/>
        <v>8.4730000000000008</v>
      </c>
      <c r="L106" s="122">
        <f t="shared" si="641"/>
        <v>0.52100000000000002</v>
      </c>
      <c r="M106" s="41"/>
      <c r="N106" s="41"/>
      <c r="O106" s="32">
        <f t="shared" ref="O106:P106" si="642">O105</f>
        <v>100.48</v>
      </c>
      <c r="P106" s="168" t="str">
        <f t="shared" si="642"/>
        <v>2,29,610</v>
      </c>
      <c r="Q106" s="11" t="str">
        <f t="shared" si="493"/>
        <v>2</v>
      </c>
      <c r="R106" s="11" t="str">
        <f t="shared" si="494"/>
        <v>29,610</v>
      </c>
      <c r="S106" s="11">
        <f t="shared" si="495"/>
        <v>4.1558333333333336E-2</v>
      </c>
      <c r="T106" s="14">
        <f t="shared" si="496"/>
        <v>2417.8062963705634</v>
      </c>
      <c r="U106" s="37">
        <f t="shared" si="497"/>
        <v>-100</v>
      </c>
      <c r="V106" s="38">
        <f t="shared" ref="V106:W106" si="643">V105</f>
        <v>21.3</v>
      </c>
      <c r="W106" s="124">
        <f t="shared" si="643"/>
        <v>1.0960000000000001</v>
      </c>
      <c r="X106" s="124">
        <f t="shared" si="552"/>
        <v>1.0880000000000001</v>
      </c>
      <c r="Y106" s="41"/>
      <c r="Z106" s="41"/>
      <c r="AA106" s="90">
        <f t="shared" ref="AA106:AB106" si="644">AA105</f>
        <v>5.01</v>
      </c>
      <c r="AB106" s="73" t="str">
        <f t="shared" si="644"/>
        <v>11,15,880</v>
      </c>
      <c r="AC106" s="11" t="str">
        <f t="shared" si="500"/>
        <v>11</v>
      </c>
      <c r="AD106" s="11" t="str">
        <f t="shared" si="501"/>
        <v>15,880</v>
      </c>
      <c r="AE106" s="11">
        <f t="shared" si="502"/>
        <v>0.18774444444444444</v>
      </c>
      <c r="AF106" s="14">
        <f t="shared" si="503"/>
        <v>26.685210392377346</v>
      </c>
      <c r="AG106" s="39">
        <f t="shared" si="504"/>
        <v>-100</v>
      </c>
      <c r="AH106" s="38">
        <f t="shared" si="560"/>
        <v>18.399999999999999</v>
      </c>
      <c r="AI106" s="124">
        <f t="shared" si="560"/>
        <v>1.0980000000000001</v>
      </c>
      <c r="AJ106" s="124">
        <f t="shared" si="560"/>
        <v>1.087</v>
      </c>
      <c r="AK106" s="41">
        <f t="shared" si="505"/>
        <v>0</v>
      </c>
      <c r="AL106" s="41"/>
      <c r="AM106" s="34">
        <f t="shared" ref="AM106:AN106" si="645">AM105</f>
        <v>2.0049999999999999</v>
      </c>
      <c r="AN106" s="33" t="str">
        <f t="shared" si="645"/>
        <v>7,19,050</v>
      </c>
      <c r="AO106" s="11" t="str">
        <f t="shared" si="507"/>
        <v>7,</v>
      </c>
      <c r="AP106" s="11" t="str">
        <f t="shared" si="508"/>
        <v>19,050</v>
      </c>
      <c r="AQ106" s="11">
        <f t="shared" si="509"/>
        <v>0.12195833333333334</v>
      </c>
      <c r="AR106" s="14">
        <f t="shared" si="510"/>
        <v>16.44004099760847</v>
      </c>
      <c r="AS106" s="39">
        <f t="shared" si="511"/>
        <v>-100</v>
      </c>
      <c r="AT106" s="40" t="str">
        <f t="shared" si="512"/>
        <v>NO CONFORME</v>
      </c>
      <c r="AU106" s="8" t="b">
        <f t="shared" si="434"/>
        <v>1</v>
      </c>
      <c r="AV106" s="8" t="b">
        <f t="shared" si="435"/>
        <v>0</v>
      </c>
      <c r="AW106" s="8" t="b">
        <f t="shared" si="436"/>
        <v>1</v>
      </c>
      <c r="AX106" s="8" t="str">
        <f t="shared" si="437"/>
        <v>Qcorrecto</v>
      </c>
      <c r="AY106" s="22" t="str">
        <f t="shared" si="417"/>
        <v>aceptable</v>
      </c>
      <c r="AZ106" s="22" t="str">
        <f t="shared" si="418"/>
        <v>aceptable</v>
      </c>
      <c r="BA106" s="22" t="str">
        <f t="shared" si="438"/>
        <v>aceptable</v>
      </c>
      <c r="BB106" s="25" t="str">
        <f t="shared" si="439"/>
        <v>NO CONFORME</v>
      </c>
      <c r="BC106" s="5" t="str">
        <f t="shared" si="440"/>
        <v>NO CONFORME</v>
      </c>
      <c r="BD106" s="15">
        <f t="shared" si="419"/>
        <v>-1</v>
      </c>
      <c r="BE106" s="15">
        <f t="shared" si="420"/>
        <v>-1</v>
      </c>
      <c r="BF106" s="15">
        <f t="shared" si="421"/>
        <v>-1</v>
      </c>
      <c r="BG106" s="15" t="str">
        <f t="shared" si="422"/>
        <v>-1-1-1</v>
      </c>
      <c r="BH106" s="15" t="str">
        <f t="shared" si="423"/>
        <v>SD</v>
      </c>
      <c r="BI106" s="15" t="str">
        <f t="shared" si="424"/>
        <v>SI</v>
      </c>
      <c r="BJ106" s="15" t="b">
        <f t="shared" si="425"/>
        <v>1</v>
      </c>
      <c r="BK106" s="15" t="str">
        <f t="shared" si="426"/>
        <v>SIGIGUALES</v>
      </c>
      <c r="BL106" s="22" t="str">
        <f t="shared" si="427"/>
        <v>NO CONFORME</v>
      </c>
    </row>
    <row r="107" spans="1:64" ht="14.4" x14ac:dyDescent="0.3">
      <c r="A107" s="91">
        <v>99</v>
      </c>
      <c r="B107" s="28">
        <f t="shared" ref="B107:D107" si="646">B106</f>
        <v>45920</v>
      </c>
      <c r="C107" s="28">
        <f t="shared" si="646"/>
        <v>45920</v>
      </c>
      <c r="D107" s="12">
        <f t="shared" si="646"/>
        <v>3</v>
      </c>
      <c r="E107" s="10">
        <f t="shared" si="301"/>
        <v>8</v>
      </c>
      <c r="F107" s="13"/>
      <c r="G107" s="157"/>
      <c r="H107" s="70">
        <f t="shared" ref="H107:L107" si="647">H106</f>
        <v>25.6</v>
      </c>
      <c r="I107" s="36">
        <f t="shared" si="647"/>
        <v>0</v>
      </c>
      <c r="J107" s="35">
        <f t="shared" si="647"/>
        <v>20.9</v>
      </c>
      <c r="K107" s="122">
        <f t="shared" si="647"/>
        <v>8.4730000000000008</v>
      </c>
      <c r="L107" s="122">
        <f t="shared" si="647"/>
        <v>0.52100000000000002</v>
      </c>
      <c r="M107" s="41"/>
      <c r="N107" s="41"/>
      <c r="O107" s="32">
        <f t="shared" ref="O107:P107" si="648">O106</f>
        <v>100.48</v>
      </c>
      <c r="P107" s="168" t="str">
        <f t="shared" si="648"/>
        <v>2,29,610</v>
      </c>
      <c r="Q107" s="11" t="str">
        <f t="shared" si="493"/>
        <v>2</v>
      </c>
      <c r="R107" s="11" t="str">
        <f t="shared" si="494"/>
        <v>29,610</v>
      </c>
      <c r="S107" s="11">
        <f t="shared" si="495"/>
        <v>4.1558333333333336E-2</v>
      </c>
      <c r="T107" s="14">
        <f t="shared" si="496"/>
        <v>2417.8062963705634</v>
      </c>
      <c r="U107" s="37">
        <f t="shared" si="497"/>
        <v>-100</v>
      </c>
      <c r="V107" s="38">
        <f t="shared" ref="V107:X122" si="649">V106</f>
        <v>21.3</v>
      </c>
      <c r="W107" s="124">
        <f t="shared" si="649"/>
        <v>1.0960000000000001</v>
      </c>
      <c r="X107" s="124">
        <f t="shared" si="649"/>
        <v>1.0880000000000001</v>
      </c>
      <c r="Y107" s="41"/>
      <c r="Z107" s="41"/>
      <c r="AA107" s="90">
        <f t="shared" ref="AA107:AB107" si="650">AA106</f>
        <v>5.01</v>
      </c>
      <c r="AB107" s="73" t="str">
        <f t="shared" si="650"/>
        <v>11,15,880</v>
      </c>
      <c r="AC107" s="11" t="str">
        <f t="shared" si="500"/>
        <v>11</v>
      </c>
      <c r="AD107" s="11" t="str">
        <f t="shared" si="501"/>
        <v>15,880</v>
      </c>
      <c r="AE107" s="11">
        <f t="shared" si="502"/>
        <v>0.18774444444444444</v>
      </c>
      <c r="AF107" s="14">
        <f t="shared" si="503"/>
        <v>26.685210392377346</v>
      </c>
      <c r="AG107" s="39">
        <f t="shared" si="504"/>
        <v>-100</v>
      </c>
      <c r="AH107" s="38">
        <f t="shared" si="560"/>
        <v>18.399999999999999</v>
      </c>
      <c r="AI107" s="124">
        <f t="shared" si="560"/>
        <v>1.0980000000000001</v>
      </c>
      <c r="AJ107" s="124">
        <f t="shared" si="560"/>
        <v>1.087</v>
      </c>
      <c r="AK107" s="41">
        <f t="shared" si="505"/>
        <v>0</v>
      </c>
      <c r="AL107" s="41"/>
      <c r="AM107" s="34">
        <f t="shared" ref="AM107:AN107" si="651">AM106</f>
        <v>2.0049999999999999</v>
      </c>
      <c r="AN107" s="33" t="str">
        <f t="shared" si="651"/>
        <v>7,19,050</v>
      </c>
      <c r="AO107" s="11" t="str">
        <f t="shared" si="507"/>
        <v>7,</v>
      </c>
      <c r="AP107" s="11" t="str">
        <f t="shared" si="508"/>
        <v>19,050</v>
      </c>
      <c r="AQ107" s="11">
        <f t="shared" si="509"/>
        <v>0.12195833333333334</v>
      </c>
      <c r="AR107" s="14">
        <f t="shared" si="510"/>
        <v>16.44004099760847</v>
      </c>
      <c r="AS107" s="39">
        <f t="shared" si="511"/>
        <v>-100</v>
      </c>
      <c r="AT107" s="40" t="str">
        <f t="shared" si="512"/>
        <v>NO CONFORME</v>
      </c>
      <c r="AU107" s="8" t="b">
        <f t="shared" si="434"/>
        <v>1</v>
      </c>
      <c r="AV107" s="8" t="b">
        <f t="shared" si="435"/>
        <v>0</v>
      </c>
      <c r="AW107" s="8" t="b">
        <f t="shared" si="436"/>
        <v>1</v>
      </c>
      <c r="AX107" s="8" t="str">
        <f t="shared" si="437"/>
        <v>Qcorrecto</v>
      </c>
      <c r="AY107" s="22" t="str">
        <f t="shared" si="417"/>
        <v>aceptable</v>
      </c>
      <c r="AZ107" s="22" t="str">
        <f t="shared" si="418"/>
        <v>aceptable</v>
      </c>
      <c r="BA107" s="22" t="str">
        <f t="shared" si="438"/>
        <v>aceptable</v>
      </c>
      <c r="BB107" s="25" t="str">
        <f t="shared" si="439"/>
        <v>NO CONFORME</v>
      </c>
      <c r="BC107" s="5" t="str">
        <f t="shared" si="440"/>
        <v>NO CONFORME</v>
      </c>
      <c r="BD107" s="15">
        <f t="shared" si="419"/>
        <v>-1</v>
      </c>
      <c r="BE107" s="15">
        <f t="shared" si="420"/>
        <v>-1</v>
      </c>
      <c r="BF107" s="15">
        <f t="shared" si="421"/>
        <v>-1</v>
      </c>
      <c r="BG107" s="15" t="str">
        <f t="shared" si="422"/>
        <v>-1-1-1</v>
      </c>
      <c r="BH107" s="15" t="str">
        <f t="shared" si="423"/>
        <v>SD</v>
      </c>
      <c r="BI107" s="15" t="str">
        <f t="shared" si="424"/>
        <v>SI</v>
      </c>
      <c r="BJ107" s="15" t="b">
        <f t="shared" si="425"/>
        <v>1</v>
      </c>
      <c r="BK107" s="15" t="str">
        <f t="shared" si="426"/>
        <v>SIGIGUALES</v>
      </c>
      <c r="BL107" s="22" t="str">
        <f t="shared" si="427"/>
        <v>NO CONFORME</v>
      </c>
    </row>
    <row r="108" spans="1:64" ht="14.4" x14ac:dyDescent="0.3">
      <c r="A108" s="91">
        <v>100</v>
      </c>
      <c r="B108" s="28">
        <f t="shared" ref="B108:D108" si="652">B107</f>
        <v>45920</v>
      </c>
      <c r="C108" s="28">
        <f t="shared" si="652"/>
        <v>45920</v>
      </c>
      <c r="D108" s="12">
        <f t="shared" si="652"/>
        <v>3</v>
      </c>
      <c r="E108" s="10">
        <f t="shared" si="301"/>
        <v>8</v>
      </c>
      <c r="F108" s="13"/>
      <c r="G108" s="157"/>
      <c r="H108" s="70">
        <f t="shared" ref="H108:L108" si="653">H107</f>
        <v>25.6</v>
      </c>
      <c r="I108" s="36">
        <f t="shared" si="653"/>
        <v>0</v>
      </c>
      <c r="J108" s="35">
        <f t="shared" si="653"/>
        <v>20.9</v>
      </c>
      <c r="K108" s="122">
        <f t="shared" si="653"/>
        <v>8.4730000000000008</v>
      </c>
      <c r="L108" s="122">
        <f t="shared" si="653"/>
        <v>0.52100000000000002</v>
      </c>
      <c r="M108" s="41"/>
      <c r="N108" s="41"/>
      <c r="O108" s="32">
        <f t="shared" ref="O108:P108" si="654">O107</f>
        <v>100.48</v>
      </c>
      <c r="P108" s="168" t="str">
        <f t="shared" si="654"/>
        <v>2,29,610</v>
      </c>
      <c r="Q108" s="11" t="str">
        <f t="shared" si="493"/>
        <v>2</v>
      </c>
      <c r="R108" s="11" t="str">
        <f t="shared" si="494"/>
        <v>29,610</v>
      </c>
      <c r="S108" s="11">
        <f t="shared" si="495"/>
        <v>4.1558333333333336E-2</v>
      </c>
      <c r="T108" s="14">
        <f t="shared" si="496"/>
        <v>2417.8062963705634</v>
      </c>
      <c r="U108" s="37">
        <f t="shared" si="497"/>
        <v>-100</v>
      </c>
      <c r="V108" s="38">
        <f t="shared" ref="V108:W108" si="655">V107</f>
        <v>21.3</v>
      </c>
      <c r="W108" s="124">
        <f t="shared" si="655"/>
        <v>1.0960000000000001</v>
      </c>
      <c r="X108" s="124">
        <f t="shared" si="649"/>
        <v>1.0880000000000001</v>
      </c>
      <c r="Y108" s="41"/>
      <c r="Z108" s="41"/>
      <c r="AA108" s="90">
        <f t="shared" ref="AA108:AB108" si="656">AA107</f>
        <v>5.01</v>
      </c>
      <c r="AB108" s="73" t="str">
        <f t="shared" si="656"/>
        <v>11,15,880</v>
      </c>
      <c r="AC108" s="11" t="str">
        <f t="shared" si="500"/>
        <v>11</v>
      </c>
      <c r="AD108" s="11" t="str">
        <f t="shared" si="501"/>
        <v>15,880</v>
      </c>
      <c r="AE108" s="11">
        <f t="shared" si="502"/>
        <v>0.18774444444444444</v>
      </c>
      <c r="AF108" s="14">
        <f t="shared" si="503"/>
        <v>26.685210392377346</v>
      </c>
      <c r="AG108" s="39">
        <f t="shared" si="504"/>
        <v>-100</v>
      </c>
      <c r="AH108" s="38">
        <f t="shared" ref="AH108:AJ123" si="657">AH107</f>
        <v>18.399999999999999</v>
      </c>
      <c r="AI108" s="124">
        <f t="shared" si="657"/>
        <v>1.0980000000000001</v>
      </c>
      <c r="AJ108" s="124">
        <f t="shared" si="657"/>
        <v>1.087</v>
      </c>
      <c r="AK108" s="41">
        <f t="shared" si="505"/>
        <v>0</v>
      </c>
      <c r="AL108" s="41"/>
      <c r="AM108" s="34">
        <f t="shared" ref="AM108:AN108" si="658">AM107</f>
        <v>2.0049999999999999</v>
      </c>
      <c r="AN108" s="33" t="str">
        <f t="shared" si="658"/>
        <v>7,19,050</v>
      </c>
      <c r="AO108" s="11" t="str">
        <f t="shared" si="507"/>
        <v>7,</v>
      </c>
      <c r="AP108" s="11" t="str">
        <f t="shared" si="508"/>
        <v>19,050</v>
      </c>
      <c r="AQ108" s="11">
        <f t="shared" si="509"/>
        <v>0.12195833333333334</v>
      </c>
      <c r="AR108" s="14">
        <f t="shared" si="510"/>
        <v>16.44004099760847</v>
      </c>
      <c r="AS108" s="39">
        <f t="shared" si="511"/>
        <v>-100</v>
      </c>
      <c r="AT108" s="40" t="str">
        <f t="shared" si="512"/>
        <v>NO CONFORME</v>
      </c>
      <c r="AU108" s="8" t="b">
        <f t="shared" si="434"/>
        <v>1</v>
      </c>
      <c r="AV108" s="8" t="b">
        <f t="shared" si="435"/>
        <v>0</v>
      </c>
      <c r="AW108" s="8" t="b">
        <f t="shared" si="436"/>
        <v>1</v>
      </c>
      <c r="AX108" s="8" t="str">
        <f t="shared" si="437"/>
        <v>Qcorrecto</v>
      </c>
      <c r="AY108" s="22" t="str">
        <f t="shared" si="417"/>
        <v>aceptable</v>
      </c>
      <c r="AZ108" s="22" t="str">
        <f t="shared" si="418"/>
        <v>aceptable</v>
      </c>
      <c r="BA108" s="22" t="str">
        <f t="shared" si="438"/>
        <v>aceptable</v>
      </c>
      <c r="BB108" s="25" t="str">
        <f t="shared" si="439"/>
        <v>NO CONFORME</v>
      </c>
      <c r="BC108" s="5" t="str">
        <f t="shared" si="440"/>
        <v>NO CONFORME</v>
      </c>
      <c r="BD108" s="15">
        <f t="shared" si="419"/>
        <v>-1</v>
      </c>
      <c r="BE108" s="15">
        <f t="shared" si="420"/>
        <v>-1</v>
      </c>
      <c r="BF108" s="15">
        <f t="shared" si="421"/>
        <v>-1</v>
      </c>
      <c r="BG108" s="15" t="str">
        <f t="shared" si="422"/>
        <v>-1-1-1</v>
      </c>
      <c r="BH108" s="15" t="str">
        <f t="shared" si="423"/>
        <v>SD</v>
      </c>
      <c r="BI108" s="15" t="str">
        <f t="shared" si="424"/>
        <v>SI</v>
      </c>
      <c r="BJ108" s="15" t="b">
        <f t="shared" si="425"/>
        <v>1</v>
      </c>
      <c r="BK108" s="15" t="str">
        <f t="shared" si="426"/>
        <v>SIGIGUALES</v>
      </c>
      <c r="BL108" s="22" t="str">
        <f t="shared" si="427"/>
        <v>NO CONFORME</v>
      </c>
    </row>
    <row r="109" spans="1:64" ht="14.4" x14ac:dyDescent="0.3">
      <c r="A109" s="91">
        <v>101</v>
      </c>
      <c r="B109" s="28">
        <f t="shared" ref="B109:D109" si="659">B108</f>
        <v>45920</v>
      </c>
      <c r="C109" s="28">
        <f t="shared" si="659"/>
        <v>45920</v>
      </c>
      <c r="D109" s="12">
        <f t="shared" si="659"/>
        <v>3</v>
      </c>
      <c r="E109" s="10">
        <f t="shared" si="301"/>
        <v>8</v>
      </c>
      <c r="F109" s="13"/>
      <c r="G109" s="157"/>
      <c r="H109" s="70">
        <f t="shared" ref="H109:L109" si="660">H108</f>
        <v>25.6</v>
      </c>
      <c r="I109" s="36">
        <f t="shared" si="660"/>
        <v>0</v>
      </c>
      <c r="J109" s="35">
        <f t="shared" si="660"/>
        <v>20.9</v>
      </c>
      <c r="K109" s="122">
        <f t="shared" si="660"/>
        <v>8.4730000000000008</v>
      </c>
      <c r="L109" s="122">
        <f t="shared" si="660"/>
        <v>0.52100000000000002</v>
      </c>
      <c r="M109" s="41"/>
      <c r="N109" s="41"/>
      <c r="O109" s="32">
        <f t="shared" ref="O109:P109" si="661">O108</f>
        <v>100.48</v>
      </c>
      <c r="P109" s="168" t="str">
        <f t="shared" si="661"/>
        <v>2,29,610</v>
      </c>
      <c r="Q109" s="11" t="str">
        <f t="shared" si="493"/>
        <v>2</v>
      </c>
      <c r="R109" s="11" t="str">
        <f t="shared" si="494"/>
        <v>29,610</v>
      </c>
      <c r="S109" s="11">
        <f t="shared" si="495"/>
        <v>4.1558333333333336E-2</v>
      </c>
      <c r="T109" s="14">
        <f t="shared" si="496"/>
        <v>2417.8062963705634</v>
      </c>
      <c r="U109" s="37">
        <f t="shared" si="497"/>
        <v>-100</v>
      </c>
      <c r="V109" s="38">
        <f t="shared" ref="V109:W109" si="662">V108</f>
        <v>21.3</v>
      </c>
      <c r="W109" s="124">
        <f t="shared" si="662"/>
        <v>1.0960000000000001</v>
      </c>
      <c r="X109" s="124">
        <f t="shared" si="649"/>
        <v>1.0880000000000001</v>
      </c>
      <c r="Y109" s="41"/>
      <c r="Z109" s="41"/>
      <c r="AA109" s="90">
        <f t="shared" ref="AA109:AB109" si="663">AA108</f>
        <v>5.01</v>
      </c>
      <c r="AB109" s="73" t="str">
        <f t="shared" si="663"/>
        <v>11,15,880</v>
      </c>
      <c r="AC109" s="11" t="str">
        <f t="shared" si="500"/>
        <v>11</v>
      </c>
      <c r="AD109" s="11" t="str">
        <f t="shared" si="501"/>
        <v>15,880</v>
      </c>
      <c r="AE109" s="11">
        <f t="shared" si="502"/>
        <v>0.18774444444444444</v>
      </c>
      <c r="AF109" s="14">
        <f t="shared" si="503"/>
        <v>26.685210392377346</v>
      </c>
      <c r="AG109" s="39">
        <f t="shared" si="504"/>
        <v>-100</v>
      </c>
      <c r="AH109" s="38">
        <f t="shared" si="657"/>
        <v>18.399999999999999</v>
      </c>
      <c r="AI109" s="124">
        <f t="shared" si="657"/>
        <v>1.0980000000000001</v>
      </c>
      <c r="AJ109" s="124">
        <f t="shared" si="657"/>
        <v>1.087</v>
      </c>
      <c r="AK109" s="41">
        <f t="shared" si="505"/>
        <v>0</v>
      </c>
      <c r="AL109" s="41"/>
      <c r="AM109" s="34">
        <f t="shared" ref="AM109:AN109" si="664">AM108</f>
        <v>2.0049999999999999</v>
      </c>
      <c r="AN109" s="33" t="str">
        <f t="shared" si="664"/>
        <v>7,19,050</v>
      </c>
      <c r="AO109" s="11" t="str">
        <f t="shared" si="507"/>
        <v>7,</v>
      </c>
      <c r="AP109" s="11" t="str">
        <f t="shared" si="508"/>
        <v>19,050</v>
      </c>
      <c r="AQ109" s="11">
        <f t="shared" si="509"/>
        <v>0.12195833333333334</v>
      </c>
      <c r="AR109" s="14">
        <f t="shared" si="510"/>
        <v>16.44004099760847</v>
      </c>
      <c r="AS109" s="39">
        <f t="shared" si="511"/>
        <v>-100</v>
      </c>
      <c r="AT109" s="40" t="str">
        <f t="shared" si="512"/>
        <v>NO CONFORME</v>
      </c>
      <c r="AU109" s="8" t="b">
        <f t="shared" si="434"/>
        <v>1</v>
      </c>
      <c r="AV109" s="8" t="b">
        <f t="shared" si="435"/>
        <v>0</v>
      </c>
      <c r="AW109" s="8" t="b">
        <f t="shared" si="436"/>
        <v>1</v>
      </c>
      <c r="AX109" s="8" t="str">
        <f t="shared" si="437"/>
        <v>Qcorrecto</v>
      </c>
      <c r="AY109" s="22" t="str">
        <f t="shared" si="417"/>
        <v>aceptable</v>
      </c>
      <c r="AZ109" s="22" t="str">
        <f t="shared" si="418"/>
        <v>aceptable</v>
      </c>
      <c r="BA109" s="22" t="str">
        <f t="shared" si="438"/>
        <v>aceptable</v>
      </c>
      <c r="BB109" s="25" t="str">
        <f t="shared" si="439"/>
        <v>NO CONFORME</v>
      </c>
      <c r="BC109" s="5" t="str">
        <f t="shared" si="440"/>
        <v>NO CONFORME</v>
      </c>
      <c r="BD109" s="15">
        <f t="shared" si="419"/>
        <v>-1</v>
      </c>
      <c r="BE109" s="15">
        <f t="shared" si="420"/>
        <v>-1</v>
      </c>
      <c r="BF109" s="15">
        <f t="shared" si="421"/>
        <v>-1</v>
      </c>
      <c r="BG109" s="15" t="str">
        <f t="shared" si="422"/>
        <v>-1-1-1</v>
      </c>
      <c r="BH109" s="15" t="str">
        <f t="shared" si="423"/>
        <v>SD</v>
      </c>
      <c r="BI109" s="15" t="str">
        <f t="shared" si="424"/>
        <v>SI</v>
      </c>
      <c r="BJ109" s="15" t="b">
        <f t="shared" si="425"/>
        <v>1</v>
      </c>
      <c r="BK109" s="15" t="str">
        <f t="shared" si="426"/>
        <v>SIGIGUALES</v>
      </c>
      <c r="BL109" s="22" t="str">
        <f t="shared" si="427"/>
        <v>NO CONFORME</v>
      </c>
    </row>
    <row r="110" spans="1:64" ht="14.4" x14ac:dyDescent="0.3">
      <c r="A110" s="91">
        <v>102</v>
      </c>
      <c r="B110" s="28">
        <f t="shared" ref="B110:D110" si="665">B109</f>
        <v>45920</v>
      </c>
      <c r="C110" s="28">
        <f t="shared" si="665"/>
        <v>45920</v>
      </c>
      <c r="D110" s="12">
        <f t="shared" si="665"/>
        <v>3</v>
      </c>
      <c r="E110" s="10">
        <f t="shared" si="301"/>
        <v>8</v>
      </c>
      <c r="F110" s="13"/>
      <c r="G110" s="157"/>
      <c r="H110" s="70">
        <f t="shared" ref="H110:L110" si="666">H109</f>
        <v>25.6</v>
      </c>
      <c r="I110" s="36">
        <f t="shared" si="666"/>
        <v>0</v>
      </c>
      <c r="J110" s="35">
        <f t="shared" si="666"/>
        <v>20.9</v>
      </c>
      <c r="K110" s="122">
        <f t="shared" si="666"/>
        <v>8.4730000000000008</v>
      </c>
      <c r="L110" s="122">
        <f t="shared" si="666"/>
        <v>0.52100000000000002</v>
      </c>
      <c r="M110" s="41"/>
      <c r="N110" s="41"/>
      <c r="O110" s="32">
        <f t="shared" ref="O110:P110" si="667">O109</f>
        <v>100.48</v>
      </c>
      <c r="P110" s="168" t="str">
        <f t="shared" si="667"/>
        <v>2,29,610</v>
      </c>
      <c r="Q110" s="11" t="str">
        <f t="shared" si="493"/>
        <v>2</v>
      </c>
      <c r="R110" s="11" t="str">
        <f t="shared" si="494"/>
        <v>29,610</v>
      </c>
      <c r="S110" s="11">
        <f t="shared" si="495"/>
        <v>4.1558333333333336E-2</v>
      </c>
      <c r="T110" s="14">
        <f t="shared" si="496"/>
        <v>2417.8062963705634</v>
      </c>
      <c r="U110" s="37">
        <f t="shared" si="497"/>
        <v>-100</v>
      </c>
      <c r="V110" s="38">
        <f t="shared" ref="V110:W110" si="668">V109</f>
        <v>21.3</v>
      </c>
      <c r="W110" s="124">
        <f t="shared" si="668"/>
        <v>1.0960000000000001</v>
      </c>
      <c r="X110" s="124">
        <f t="shared" si="649"/>
        <v>1.0880000000000001</v>
      </c>
      <c r="Y110" s="41"/>
      <c r="Z110" s="41"/>
      <c r="AA110" s="90">
        <f t="shared" ref="AA110:AB110" si="669">AA109</f>
        <v>5.01</v>
      </c>
      <c r="AB110" s="73" t="str">
        <f t="shared" si="669"/>
        <v>11,15,880</v>
      </c>
      <c r="AC110" s="11" t="str">
        <f t="shared" si="500"/>
        <v>11</v>
      </c>
      <c r="AD110" s="11" t="str">
        <f t="shared" si="501"/>
        <v>15,880</v>
      </c>
      <c r="AE110" s="11">
        <f t="shared" si="502"/>
        <v>0.18774444444444444</v>
      </c>
      <c r="AF110" s="14">
        <f t="shared" si="503"/>
        <v>26.685210392377346</v>
      </c>
      <c r="AG110" s="39">
        <f t="shared" si="504"/>
        <v>-100</v>
      </c>
      <c r="AH110" s="38">
        <f t="shared" si="657"/>
        <v>18.399999999999999</v>
      </c>
      <c r="AI110" s="124">
        <f t="shared" si="657"/>
        <v>1.0980000000000001</v>
      </c>
      <c r="AJ110" s="124">
        <f t="shared" si="657"/>
        <v>1.087</v>
      </c>
      <c r="AK110" s="41">
        <f t="shared" si="505"/>
        <v>0</v>
      </c>
      <c r="AL110" s="41"/>
      <c r="AM110" s="34">
        <f t="shared" ref="AM110:AN110" si="670">AM109</f>
        <v>2.0049999999999999</v>
      </c>
      <c r="AN110" s="33" t="str">
        <f t="shared" si="670"/>
        <v>7,19,050</v>
      </c>
      <c r="AO110" s="11" t="str">
        <f t="shared" si="507"/>
        <v>7,</v>
      </c>
      <c r="AP110" s="11" t="str">
        <f t="shared" si="508"/>
        <v>19,050</v>
      </c>
      <c r="AQ110" s="11">
        <f t="shared" si="509"/>
        <v>0.12195833333333334</v>
      </c>
      <c r="AR110" s="14">
        <f t="shared" si="510"/>
        <v>16.44004099760847</v>
      </c>
      <c r="AS110" s="39">
        <f t="shared" si="511"/>
        <v>-100</v>
      </c>
      <c r="AT110" s="40" t="str">
        <f t="shared" si="512"/>
        <v>NO CONFORME</v>
      </c>
      <c r="AU110" s="8" t="b">
        <f t="shared" si="434"/>
        <v>1</v>
      </c>
      <c r="AV110" s="8" t="b">
        <f t="shared" si="435"/>
        <v>0</v>
      </c>
      <c r="AW110" s="8" t="b">
        <f t="shared" si="436"/>
        <v>1</v>
      </c>
      <c r="AX110" s="8" t="str">
        <f t="shared" si="437"/>
        <v>Qcorrecto</v>
      </c>
      <c r="AY110" s="22" t="str">
        <f t="shared" si="417"/>
        <v>aceptable</v>
      </c>
      <c r="AZ110" s="22" t="str">
        <f t="shared" si="418"/>
        <v>aceptable</v>
      </c>
      <c r="BA110" s="22" t="str">
        <f t="shared" si="438"/>
        <v>aceptable</v>
      </c>
      <c r="BB110" s="25" t="str">
        <f t="shared" si="439"/>
        <v>NO CONFORME</v>
      </c>
      <c r="BC110" s="5" t="str">
        <f t="shared" si="440"/>
        <v>NO CONFORME</v>
      </c>
      <c r="BD110" s="15">
        <f t="shared" si="419"/>
        <v>-1</v>
      </c>
      <c r="BE110" s="15">
        <f t="shared" si="420"/>
        <v>-1</v>
      </c>
      <c r="BF110" s="15">
        <f t="shared" si="421"/>
        <v>-1</v>
      </c>
      <c r="BG110" s="15" t="str">
        <f t="shared" si="422"/>
        <v>-1-1-1</v>
      </c>
      <c r="BH110" s="15" t="str">
        <f t="shared" si="423"/>
        <v>SD</v>
      </c>
      <c r="BI110" s="15" t="str">
        <f t="shared" si="424"/>
        <v>SI</v>
      </c>
      <c r="BJ110" s="15" t="b">
        <f t="shared" si="425"/>
        <v>1</v>
      </c>
      <c r="BK110" s="15" t="str">
        <f t="shared" si="426"/>
        <v>SIGIGUALES</v>
      </c>
      <c r="BL110" s="22" t="str">
        <f t="shared" si="427"/>
        <v>NO CONFORME</v>
      </c>
    </row>
    <row r="111" spans="1:64" ht="14.4" x14ac:dyDescent="0.3">
      <c r="A111" s="91">
        <v>103</v>
      </c>
      <c r="B111" s="28">
        <f t="shared" ref="B111:D111" si="671">B110</f>
        <v>45920</v>
      </c>
      <c r="C111" s="28">
        <f t="shared" si="671"/>
        <v>45920</v>
      </c>
      <c r="D111" s="12">
        <f t="shared" si="671"/>
        <v>3</v>
      </c>
      <c r="E111" s="10">
        <f t="shared" si="301"/>
        <v>8</v>
      </c>
      <c r="F111" s="13"/>
      <c r="G111" s="157"/>
      <c r="H111" s="70">
        <f t="shared" ref="H111:L111" si="672">H110</f>
        <v>25.6</v>
      </c>
      <c r="I111" s="36">
        <f t="shared" si="672"/>
        <v>0</v>
      </c>
      <c r="J111" s="35">
        <f t="shared" si="672"/>
        <v>20.9</v>
      </c>
      <c r="K111" s="122">
        <f t="shared" si="672"/>
        <v>8.4730000000000008</v>
      </c>
      <c r="L111" s="122">
        <f t="shared" si="672"/>
        <v>0.52100000000000002</v>
      </c>
      <c r="M111" s="41"/>
      <c r="N111" s="41"/>
      <c r="O111" s="32">
        <f t="shared" ref="O111:P111" si="673">O110</f>
        <v>100.48</v>
      </c>
      <c r="P111" s="168" t="str">
        <f t="shared" si="673"/>
        <v>2,29,610</v>
      </c>
      <c r="Q111" s="11" t="str">
        <f t="shared" si="493"/>
        <v>2</v>
      </c>
      <c r="R111" s="11" t="str">
        <f t="shared" si="494"/>
        <v>29,610</v>
      </c>
      <c r="S111" s="11">
        <f t="shared" si="495"/>
        <v>4.1558333333333336E-2</v>
      </c>
      <c r="T111" s="14">
        <f t="shared" si="496"/>
        <v>2417.8062963705634</v>
      </c>
      <c r="U111" s="37">
        <f t="shared" si="497"/>
        <v>-100</v>
      </c>
      <c r="V111" s="38">
        <f t="shared" ref="V111:W111" si="674">V110</f>
        <v>21.3</v>
      </c>
      <c r="W111" s="124">
        <f t="shared" si="674"/>
        <v>1.0960000000000001</v>
      </c>
      <c r="X111" s="124">
        <f t="shared" si="649"/>
        <v>1.0880000000000001</v>
      </c>
      <c r="Y111" s="41"/>
      <c r="Z111" s="41"/>
      <c r="AA111" s="90">
        <f t="shared" ref="AA111:AB111" si="675">AA110</f>
        <v>5.01</v>
      </c>
      <c r="AB111" s="73" t="str">
        <f t="shared" si="675"/>
        <v>11,15,880</v>
      </c>
      <c r="AC111" s="11" t="str">
        <f t="shared" si="500"/>
        <v>11</v>
      </c>
      <c r="AD111" s="11" t="str">
        <f t="shared" si="501"/>
        <v>15,880</v>
      </c>
      <c r="AE111" s="11">
        <f t="shared" si="502"/>
        <v>0.18774444444444444</v>
      </c>
      <c r="AF111" s="14">
        <f t="shared" si="503"/>
        <v>26.685210392377346</v>
      </c>
      <c r="AG111" s="39">
        <f t="shared" si="504"/>
        <v>-100</v>
      </c>
      <c r="AH111" s="38">
        <f t="shared" si="657"/>
        <v>18.399999999999999</v>
      </c>
      <c r="AI111" s="124">
        <f t="shared" si="657"/>
        <v>1.0980000000000001</v>
      </c>
      <c r="AJ111" s="124">
        <f t="shared" si="657"/>
        <v>1.087</v>
      </c>
      <c r="AK111" s="41">
        <f t="shared" si="505"/>
        <v>0</v>
      </c>
      <c r="AL111" s="41"/>
      <c r="AM111" s="34">
        <f t="shared" ref="AM111:AN111" si="676">AM110</f>
        <v>2.0049999999999999</v>
      </c>
      <c r="AN111" s="33" t="str">
        <f t="shared" si="676"/>
        <v>7,19,050</v>
      </c>
      <c r="AO111" s="11" t="str">
        <f t="shared" si="507"/>
        <v>7,</v>
      </c>
      <c r="AP111" s="11" t="str">
        <f t="shared" si="508"/>
        <v>19,050</v>
      </c>
      <c r="AQ111" s="11">
        <f t="shared" si="509"/>
        <v>0.12195833333333334</v>
      </c>
      <c r="AR111" s="14">
        <f t="shared" si="510"/>
        <v>16.44004099760847</v>
      </c>
      <c r="AS111" s="39">
        <f t="shared" si="511"/>
        <v>-100</v>
      </c>
      <c r="AT111" s="40" t="str">
        <f t="shared" si="512"/>
        <v>NO CONFORME</v>
      </c>
      <c r="AU111" s="8" t="b">
        <f t="shared" si="434"/>
        <v>1</v>
      </c>
      <c r="AV111" s="8" t="b">
        <f t="shared" si="435"/>
        <v>0</v>
      </c>
      <c r="AW111" s="8" t="b">
        <f t="shared" si="436"/>
        <v>1</v>
      </c>
      <c r="AX111" s="8" t="str">
        <f t="shared" si="437"/>
        <v>Qcorrecto</v>
      </c>
      <c r="AY111" s="22" t="str">
        <f t="shared" si="417"/>
        <v>aceptable</v>
      </c>
      <c r="AZ111" s="22" t="str">
        <f t="shared" si="418"/>
        <v>aceptable</v>
      </c>
      <c r="BA111" s="22" t="str">
        <f t="shared" si="438"/>
        <v>aceptable</v>
      </c>
      <c r="BB111" s="25" t="str">
        <f t="shared" si="439"/>
        <v>NO CONFORME</v>
      </c>
      <c r="BC111" s="5" t="str">
        <f t="shared" si="440"/>
        <v>NO CONFORME</v>
      </c>
      <c r="BD111" s="15">
        <f t="shared" si="419"/>
        <v>-1</v>
      </c>
      <c r="BE111" s="15">
        <f t="shared" si="420"/>
        <v>-1</v>
      </c>
      <c r="BF111" s="15">
        <f t="shared" si="421"/>
        <v>-1</v>
      </c>
      <c r="BG111" s="15" t="str">
        <f t="shared" si="422"/>
        <v>-1-1-1</v>
      </c>
      <c r="BH111" s="15" t="str">
        <f t="shared" si="423"/>
        <v>SD</v>
      </c>
      <c r="BI111" s="15" t="str">
        <f t="shared" si="424"/>
        <v>SI</v>
      </c>
      <c r="BJ111" s="15" t="b">
        <f t="shared" si="425"/>
        <v>1</v>
      </c>
      <c r="BK111" s="15" t="str">
        <f t="shared" si="426"/>
        <v>SIGIGUALES</v>
      </c>
      <c r="BL111" s="22" t="str">
        <f t="shared" si="427"/>
        <v>NO CONFORME</v>
      </c>
    </row>
    <row r="112" spans="1:64" ht="14.4" x14ac:dyDescent="0.3">
      <c r="A112" s="91">
        <v>104</v>
      </c>
      <c r="B112" s="28">
        <f t="shared" ref="B112:D112" si="677">B111</f>
        <v>45920</v>
      </c>
      <c r="C112" s="28">
        <f t="shared" si="677"/>
        <v>45920</v>
      </c>
      <c r="D112" s="12">
        <f t="shared" si="677"/>
        <v>3</v>
      </c>
      <c r="E112" s="10">
        <f t="shared" si="301"/>
        <v>8</v>
      </c>
      <c r="F112" s="13"/>
      <c r="G112" s="157"/>
      <c r="H112" s="70">
        <f t="shared" ref="H112:L112" si="678">H111</f>
        <v>25.6</v>
      </c>
      <c r="I112" s="36">
        <f t="shared" si="678"/>
        <v>0</v>
      </c>
      <c r="J112" s="35">
        <f t="shared" si="678"/>
        <v>20.9</v>
      </c>
      <c r="K112" s="122">
        <f t="shared" si="678"/>
        <v>8.4730000000000008</v>
      </c>
      <c r="L112" s="122">
        <f t="shared" si="678"/>
        <v>0.52100000000000002</v>
      </c>
      <c r="M112" s="41"/>
      <c r="N112" s="41"/>
      <c r="O112" s="32">
        <f t="shared" ref="O112:P112" si="679">O111</f>
        <v>100.48</v>
      </c>
      <c r="P112" s="168" t="str">
        <f t="shared" si="679"/>
        <v>2,29,610</v>
      </c>
      <c r="Q112" s="11" t="str">
        <f t="shared" si="493"/>
        <v>2</v>
      </c>
      <c r="R112" s="11" t="str">
        <f t="shared" si="494"/>
        <v>29,610</v>
      </c>
      <c r="S112" s="11">
        <f t="shared" si="495"/>
        <v>4.1558333333333336E-2</v>
      </c>
      <c r="T112" s="14">
        <f t="shared" si="496"/>
        <v>2417.8062963705634</v>
      </c>
      <c r="U112" s="37">
        <f t="shared" si="497"/>
        <v>-100</v>
      </c>
      <c r="V112" s="38">
        <f t="shared" ref="V112:W112" si="680">V111</f>
        <v>21.3</v>
      </c>
      <c r="W112" s="124">
        <f t="shared" si="680"/>
        <v>1.0960000000000001</v>
      </c>
      <c r="X112" s="124">
        <f t="shared" si="649"/>
        <v>1.0880000000000001</v>
      </c>
      <c r="Y112" s="41"/>
      <c r="Z112" s="41"/>
      <c r="AA112" s="90">
        <f t="shared" ref="AA112:AB112" si="681">AA111</f>
        <v>5.01</v>
      </c>
      <c r="AB112" s="73" t="str">
        <f t="shared" si="681"/>
        <v>11,15,880</v>
      </c>
      <c r="AC112" s="11" t="str">
        <f t="shared" si="500"/>
        <v>11</v>
      </c>
      <c r="AD112" s="11" t="str">
        <f t="shared" si="501"/>
        <v>15,880</v>
      </c>
      <c r="AE112" s="11">
        <f t="shared" si="502"/>
        <v>0.18774444444444444</v>
      </c>
      <c r="AF112" s="14">
        <f t="shared" si="503"/>
        <v>26.685210392377346</v>
      </c>
      <c r="AG112" s="39">
        <f t="shared" si="504"/>
        <v>-100</v>
      </c>
      <c r="AH112" s="38">
        <f t="shared" si="657"/>
        <v>18.399999999999999</v>
      </c>
      <c r="AI112" s="124">
        <f t="shared" si="657"/>
        <v>1.0980000000000001</v>
      </c>
      <c r="AJ112" s="124">
        <f t="shared" si="657"/>
        <v>1.087</v>
      </c>
      <c r="AK112" s="41">
        <f t="shared" si="505"/>
        <v>0</v>
      </c>
      <c r="AL112" s="41"/>
      <c r="AM112" s="34">
        <f t="shared" ref="AM112:AN112" si="682">AM111</f>
        <v>2.0049999999999999</v>
      </c>
      <c r="AN112" s="33" t="str">
        <f t="shared" si="682"/>
        <v>7,19,050</v>
      </c>
      <c r="AO112" s="11" t="str">
        <f t="shared" si="507"/>
        <v>7,</v>
      </c>
      <c r="AP112" s="11" t="str">
        <f t="shared" si="508"/>
        <v>19,050</v>
      </c>
      <c r="AQ112" s="11">
        <f t="shared" si="509"/>
        <v>0.12195833333333334</v>
      </c>
      <c r="AR112" s="14">
        <f t="shared" si="510"/>
        <v>16.44004099760847</v>
      </c>
      <c r="AS112" s="39">
        <f t="shared" si="511"/>
        <v>-100</v>
      </c>
      <c r="AT112" s="40" t="str">
        <f t="shared" si="512"/>
        <v>NO CONFORME</v>
      </c>
      <c r="AU112" s="8" t="b">
        <f t="shared" si="434"/>
        <v>1</v>
      </c>
      <c r="AV112" s="8" t="b">
        <f t="shared" si="435"/>
        <v>0</v>
      </c>
      <c r="AW112" s="8" t="b">
        <f t="shared" si="436"/>
        <v>1</v>
      </c>
      <c r="AX112" s="8" t="str">
        <f t="shared" si="437"/>
        <v>Qcorrecto</v>
      </c>
      <c r="AY112" s="22" t="str">
        <f t="shared" si="417"/>
        <v>aceptable</v>
      </c>
      <c r="AZ112" s="22" t="str">
        <f t="shared" si="418"/>
        <v>aceptable</v>
      </c>
      <c r="BA112" s="22" t="str">
        <f t="shared" si="438"/>
        <v>aceptable</v>
      </c>
      <c r="BB112" s="25" t="str">
        <f t="shared" si="439"/>
        <v>NO CONFORME</v>
      </c>
      <c r="BC112" s="5" t="str">
        <f t="shared" si="440"/>
        <v>NO CONFORME</v>
      </c>
      <c r="BD112" s="15">
        <f t="shared" si="419"/>
        <v>-1</v>
      </c>
      <c r="BE112" s="15">
        <f t="shared" si="420"/>
        <v>-1</v>
      </c>
      <c r="BF112" s="15">
        <f t="shared" si="421"/>
        <v>-1</v>
      </c>
      <c r="BG112" s="15" t="str">
        <f t="shared" si="422"/>
        <v>-1-1-1</v>
      </c>
      <c r="BH112" s="15" t="str">
        <f t="shared" si="423"/>
        <v>SD</v>
      </c>
      <c r="BI112" s="15" t="str">
        <f t="shared" si="424"/>
        <v>SI</v>
      </c>
      <c r="BJ112" s="15" t="b">
        <f t="shared" si="425"/>
        <v>1</v>
      </c>
      <c r="BK112" s="15" t="str">
        <f t="shared" si="426"/>
        <v>SIGIGUALES</v>
      </c>
      <c r="BL112" s="22" t="str">
        <f t="shared" si="427"/>
        <v>NO CONFORME</v>
      </c>
    </row>
    <row r="113" spans="1:64" ht="14.4" x14ac:dyDescent="0.3">
      <c r="A113" s="91">
        <v>105</v>
      </c>
      <c r="B113" s="28">
        <f t="shared" ref="B113:D113" si="683">B112</f>
        <v>45920</v>
      </c>
      <c r="C113" s="28">
        <f t="shared" si="683"/>
        <v>45920</v>
      </c>
      <c r="D113" s="12">
        <f t="shared" si="683"/>
        <v>3</v>
      </c>
      <c r="E113" s="10">
        <f t="shared" si="301"/>
        <v>8</v>
      </c>
      <c r="F113" s="13"/>
      <c r="G113" s="157"/>
      <c r="H113" s="70">
        <f t="shared" ref="H113:L113" si="684">H112</f>
        <v>25.6</v>
      </c>
      <c r="I113" s="36">
        <f t="shared" si="684"/>
        <v>0</v>
      </c>
      <c r="J113" s="35">
        <f t="shared" si="684"/>
        <v>20.9</v>
      </c>
      <c r="K113" s="122">
        <f t="shared" si="684"/>
        <v>8.4730000000000008</v>
      </c>
      <c r="L113" s="122">
        <f t="shared" si="684"/>
        <v>0.52100000000000002</v>
      </c>
      <c r="M113" s="41"/>
      <c r="N113" s="41"/>
      <c r="O113" s="32">
        <f t="shared" ref="O113:P113" si="685">O112</f>
        <v>100.48</v>
      </c>
      <c r="P113" s="168" t="str">
        <f t="shared" si="685"/>
        <v>2,29,610</v>
      </c>
      <c r="Q113" s="11" t="str">
        <f t="shared" si="493"/>
        <v>2</v>
      </c>
      <c r="R113" s="11" t="str">
        <f t="shared" si="494"/>
        <v>29,610</v>
      </c>
      <c r="S113" s="11">
        <f t="shared" si="495"/>
        <v>4.1558333333333336E-2</v>
      </c>
      <c r="T113" s="14">
        <f t="shared" si="496"/>
        <v>2417.8062963705634</v>
      </c>
      <c r="U113" s="37">
        <f t="shared" si="497"/>
        <v>-100</v>
      </c>
      <c r="V113" s="38">
        <f t="shared" ref="V113:W113" si="686">V112</f>
        <v>21.3</v>
      </c>
      <c r="W113" s="124">
        <f t="shared" si="686"/>
        <v>1.0960000000000001</v>
      </c>
      <c r="X113" s="124">
        <f t="shared" si="649"/>
        <v>1.0880000000000001</v>
      </c>
      <c r="Y113" s="41"/>
      <c r="Z113" s="41"/>
      <c r="AA113" s="90">
        <f t="shared" ref="AA113:AB113" si="687">AA112</f>
        <v>5.01</v>
      </c>
      <c r="AB113" s="73" t="str">
        <f t="shared" si="687"/>
        <v>11,15,880</v>
      </c>
      <c r="AC113" s="11" t="str">
        <f t="shared" si="500"/>
        <v>11</v>
      </c>
      <c r="AD113" s="11" t="str">
        <f t="shared" si="501"/>
        <v>15,880</v>
      </c>
      <c r="AE113" s="11">
        <f t="shared" si="502"/>
        <v>0.18774444444444444</v>
      </c>
      <c r="AF113" s="14">
        <f t="shared" si="503"/>
        <v>26.685210392377346</v>
      </c>
      <c r="AG113" s="39">
        <f t="shared" si="504"/>
        <v>-100</v>
      </c>
      <c r="AH113" s="38">
        <f t="shared" si="657"/>
        <v>18.399999999999999</v>
      </c>
      <c r="AI113" s="124">
        <f t="shared" si="657"/>
        <v>1.0980000000000001</v>
      </c>
      <c r="AJ113" s="124">
        <f t="shared" si="657"/>
        <v>1.087</v>
      </c>
      <c r="AK113" s="41">
        <f t="shared" si="505"/>
        <v>0</v>
      </c>
      <c r="AL113" s="41"/>
      <c r="AM113" s="34">
        <f t="shared" ref="AM113:AN113" si="688">AM112</f>
        <v>2.0049999999999999</v>
      </c>
      <c r="AN113" s="33" t="str">
        <f t="shared" si="688"/>
        <v>7,19,050</v>
      </c>
      <c r="AO113" s="11" t="str">
        <f t="shared" si="507"/>
        <v>7,</v>
      </c>
      <c r="AP113" s="11" t="str">
        <f t="shared" si="508"/>
        <v>19,050</v>
      </c>
      <c r="AQ113" s="11">
        <f t="shared" si="509"/>
        <v>0.12195833333333334</v>
      </c>
      <c r="AR113" s="14">
        <f t="shared" si="510"/>
        <v>16.44004099760847</v>
      </c>
      <c r="AS113" s="39">
        <f t="shared" si="511"/>
        <v>-100</v>
      </c>
      <c r="AT113" s="40" t="str">
        <f t="shared" si="512"/>
        <v>NO CONFORME</v>
      </c>
      <c r="AU113" s="8" t="b">
        <f t="shared" si="434"/>
        <v>1</v>
      </c>
      <c r="AV113" s="8" t="b">
        <f t="shared" si="435"/>
        <v>0</v>
      </c>
      <c r="AW113" s="8" t="b">
        <f t="shared" si="436"/>
        <v>1</v>
      </c>
      <c r="AX113" s="8" t="str">
        <f t="shared" si="437"/>
        <v>Qcorrecto</v>
      </c>
      <c r="AY113" s="22" t="str">
        <f t="shared" si="417"/>
        <v>aceptable</v>
      </c>
      <c r="AZ113" s="22" t="str">
        <f t="shared" si="418"/>
        <v>aceptable</v>
      </c>
      <c r="BA113" s="22" t="str">
        <f t="shared" si="438"/>
        <v>aceptable</v>
      </c>
      <c r="BB113" s="25" t="str">
        <f t="shared" si="439"/>
        <v>NO CONFORME</v>
      </c>
      <c r="BC113" s="5" t="str">
        <f t="shared" si="440"/>
        <v>NO CONFORME</v>
      </c>
      <c r="BD113" s="15">
        <f t="shared" si="419"/>
        <v>-1</v>
      </c>
      <c r="BE113" s="15">
        <f t="shared" si="420"/>
        <v>-1</v>
      </c>
      <c r="BF113" s="15">
        <f t="shared" si="421"/>
        <v>-1</v>
      </c>
      <c r="BG113" s="15" t="str">
        <f t="shared" si="422"/>
        <v>-1-1-1</v>
      </c>
      <c r="BH113" s="15" t="str">
        <f t="shared" si="423"/>
        <v>SD</v>
      </c>
      <c r="BI113" s="15" t="str">
        <f t="shared" si="424"/>
        <v>SI</v>
      </c>
      <c r="BJ113" s="15" t="b">
        <f t="shared" si="425"/>
        <v>1</v>
      </c>
      <c r="BK113" s="15" t="str">
        <f t="shared" si="426"/>
        <v>SIGIGUALES</v>
      </c>
      <c r="BL113" s="22" t="str">
        <f t="shared" si="427"/>
        <v>NO CONFORME</v>
      </c>
    </row>
    <row r="114" spans="1:64" ht="14.4" x14ac:dyDescent="0.3">
      <c r="A114" s="91">
        <v>106</v>
      </c>
      <c r="B114" s="28">
        <f t="shared" ref="B114:D114" si="689">B113</f>
        <v>45920</v>
      </c>
      <c r="C114" s="28">
        <f t="shared" si="689"/>
        <v>45920</v>
      </c>
      <c r="D114" s="12">
        <f t="shared" si="689"/>
        <v>3</v>
      </c>
      <c r="E114" s="10">
        <f t="shared" si="301"/>
        <v>8</v>
      </c>
      <c r="F114" s="13"/>
      <c r="G114" s="157"/>
      <c r="H114" s="70">
        <f t="shared" ref="H114:L114" si="690">H113</f>
        <v>25.6</v>
      </c>
      <c r="I114" s="36">
        <f t="shared" si="690"/>
        <v>0</v>
      </c>
      <c r="J114" s="35">
        <f t="shared" si="690"/>
        <v>20.9</v>
      </c>
      <c r="K114" s="122">
        <f t="shared" si="690"/>
        <v>8.4730000000000008</v>
      </c>
      <c r="L114" s="122">
        <f t="shared" si="690"/>
        <v>0.52100000000000002</v>
      </c>
      <c r="M114" s="41"/>
      <c r="N114" s="41"/>
      <c r="O114" s="32">
        <f t="shared" ref="O114:P114" si="691">O113</f>
        <v>100.48</v>
      </c>
      <c r="P114" s="168" t="str">
        <f t="shared" si="691"/>
        <v>2,29,610</v>
      </c>
      <c r="Q114" s="11" t="str">
        <f t="shared" si="493"/>
        <v>2</v>
      </c>
      <c r="R114" s="11" t="str">
        <f t="shared" si="494"/>
        <v>29,610</v>
      </c>
      <c r="S114" s="11">
        <f t="shared" si="495"/>
        <v>4.1558333333333336E-2</v>
      </c>
      <c r="T114" s="14">
        <f t="shared" si="496"/>
        <v>2417.8062963705634</v>
      </c>
      <c r="U114" s="37">
        <f t="shared" si="497"/>
        <v>-100</v>
      </c>
      <c r="V114" s="38">
        <f t="shared" ref="V114:W114" si="692">V113</f>
        <v>21.3</v>
      </c>
      <c r="W114" s="124">
        <f t="shared" si="692"/>
        <v>1.0960000000000001</v>
      </c>
      <c r="X114" s="124">
        <f t="shared" si="649"/>
        <v>1.0880000000000001</v>
      </c>
      <c r="Y114" s="41"/>
      <c r="Z114" s="41"/>
      <c r="AA114" s="90">
        <f t="shared" ref="AA114:AB114" si="693">AA113</f>
        <v>5.01</v>
      </c>
      <c r="AB114" s="73" t="str">
        <f t="shared" si="693"/>
        <v>11,15,880</v>
      </c>
      <c r="AC114" s="11" t="str">
        <f t="shared" si="500"/>
        <v>11</v>
      </c>
      <c r="AD114" s="11" t="str">
        <f t="shared" si="501"/>
        <v>15,880</v>
      </c>
      <c r="AE114" s="11">
        <f t="shared" si="502"/>
        <v>0.18774444444444444</v>
      </c>
      <c r="AF114" s="14">
        <f t="shared" si="503"/>
        <v>26.685210392377346</v>
      </c>
      <c r="AG114" s="39">
        <f t="shared" si="504"/>
        <v>-100</v>
      </c>
      <c r="AH114" s="38">
        <f t="shared" si="657"/>
        <v>18.399999999999999</v>
      </c>
      <c r="AI114" s="124">
        <f t="shared" si="657"/>
        <v>1.0980000000000001</v>
      </c>
      <c r="AJ114" s="124">
        <f t="shared" si="657"/>
        <v>1.087</v>
      </c>
      <c r="AK114" s="41">
        <f t="shared" si="505"/>
        <v>0</v>
      </c>
      <c r="AL114" s="41"/>
      <c r="AM114" s="34">
        <f t="shared" ref="AM114:AN114" si="694">AM113</f>
        <v>2.0049999999999999</v>
      </c>
      <c r="AN114" s="33" t="str">
        <f t="shared" si="694"/>
        <v>7,19,050</v>
      </c>
      <c r="AO114" s="11" t="str">
        <f t="shared" si="507"/>
        <v>7,</v>
      </c>
      <c r="AP114" s="11" t="str">
        <f t="shared" si="508"/>
        <v>19,050</v>
      </c>
      <c r="AQ114" s="11">
        <f t="shared" si="509"/>
        <v>0.12195833333333334</v>
      </c>
      <c r="AR114" s="14">
        <f t="shared" si="510"/>
        <v>16.44004099760847</v>
      </c>
      <c r="AS114" s="39">
        <f t="shared" si="511"/>
        <v>-100</v>
      </c>
      <c r="AT114" s="40" t="str">
        <f t="shared" si="512"/>
        <v>NO CONFORME</v>
      </c>
      <c r="AU114" s="8" t="b">
        <f t="shared" si="434"/>
        <v>1</v>
      </c>
      <c r="AV114" s="8" t="b">
        <f t="shared" si="435"/>
        <v>0</v>
      </c>
      <c r="AW114" s="8" t="b">
        <f t="shared" si="436"/>
        <v>1</v>
      </c>
      <c r="AX114" s="8" t="str">
        <f t="shared" si="437"/>
        <v>Qcorrecto</v>
      </c>
      <c r="AY114" s="22" t="str">
        <f t="shared" si="417"/>
        <v>aceptable</v>
      </c>
      <c r="AZ114" s="22" t="str">
        <f t="shared" si="418"/>
        <v>aceptable</v>
      </c>
      <c r="BA114" s="22" t="str">
        <f t="shared" si="438"/>
        <v>aceptable</v>
      </c>
      <c r="BB114" s="25" t="str">
        <f t="shared" si="439"/>
        <v>NO CONFORME</v>
      </c>
      <c r="BC114" s="5" t="str">
        <f t="shared" si="440"/>
        <v>NO CONFORME</v>
      </c>
      <c r="BD114" s="15">
        <f t="shared" si="419"/>
        <v>-1</v>
      </c>
      <c r="BE114" s="15">
        <f t="shared" si="420"/>
        <v>-1</v>
      </c>
      <c r="BF114" s="15">
        <f t="shared" si="421"/>
        <v>-1</v>
      </c>
      <c r="BG114" s="15" t="str">
        <f t="shared" si="422"/>
        <v>-1-1-1</v>
      </c>
      <c r="BH114" s="15" t="str">
        <f t="shared" si="423"/>
        <v>SD</v>
      </c>
      <c r="BI114" s="15" t="str">
        <f t="shared" si="424"/>
        <v>SI</v>
      </c>
      <c r="BJ114" s="15" t="b">
        <f t="shared" si="425"/>
        <v>1</v>
      </c>
      <c r="BK114" s="15" t="str">
        <f t="shared" si="426"/>
        <v>SIGIGUALES</v>
      </c>
      <c r="BL114" s="22" t="str">
        <f t="shared" si="427"/>
        <v>NO CONFORME</v>
      </c>
    </row>
    <row r="115" spans="1:64" ht="14.4" x14ac:dyDescent="0.3">
      <c r="A115" s="91">
        <v>107</v>
      </c>
      <c r="B115" s="28">
        <f t="shared" ref="B115:D115" si="695">B114</f>
        <v>45920</v>
      </c>
      <c r="C115" s="28">
        <f t="shared" si="695"/>
        <v>45920</v>
      </c>
      <c r="D115" s="12">
        <f t="shared" si="695"/>
        <v>3</v>
      </c>
      <c r="E115" s="10">
        <f t="shared" si="301"/>
        <v>8</v>
      </c>
      <c r="F115" s="13"/>
      <c r="G115" s="157"/>
      <c r="H115" s="70">
        <f t="shared" ref="H115:L115" si="696">H114</f>
        <v>25.6</v>
      </c>
      <c r="I115" s="36">
        <f t="shared" si="696"/>
        <v>0</v>
      </c>
      <c r="J115" s="35">
        <f t="shared" si="696"/>
        <v>20.9</v>
      </c>
      <c r="K115" s="122">
        <f t="shared" si="696"/>
        <v>8.4730000000000008</v>
      </c>
      <c r="L115" s="122">
        <f t="shared" si="696"/>
        <v>0.52100000000000002</v>
      </c>
      <c r="M115" s="41"/>
      <c r="N115" s="41"/>
      <c r="O115" s="32">
        <f t="shared" ref="O115:P115" si="697">O114</f>
        <v>100.48</v>
      </c>
      <c r="P115" s="168" t="str">
        <f t="shared" si="697"/>
        <v>2,29,610</v>
      </c>
      <c r="Q115" s="11" t="str">
        <f t="shared" si="493"/>
        <v>2</v>
      </c>
      <c r="R115" s="11" t="str">
        <f t="shared" si="494"/>
        <v>29,610</v>
      </c>
      <c r="S115" s="11">
        <f t="shared" si="495"/>
        <v>4.1558333333333336E-2</v>
      </c>
      <c r="T115" s="14">
        <f t="shared" si="496"/>
        <v>2417.8062963705634</v>
      </c>
      <c r="U115" s="37">
        <f t="shared" si="497"/>
        <v>-100</v>
      </c>
      <c r="V115" s="38">
        <f t="shared" ref="V115:W115" si="698">V114</f>
        <v>21.3</v>
      </c>
      <c r="W115" s="124">
        <f t="shared" si="698"/>
        <v>1.0960000000000001</v>
      </c>
      <c r="X115" s="124">
        <f t="shared" si="649"/>
        <v>1.0880000000000001</v>
      </c>
      <c r="Y115" s="41"/>
      <c r="Z115" s="41"/>
      <c r="AA115" s="90">
        <f t="shared" ref="AA115:AB115" si="699">AA114</f>
        <v>5.01</v>
      </c>
      <c r="AB115" s="73" t="str">
        <f t="shared" si="699"/>
        <v>11,15,880</v>
      </c>
      <c r="AC115" s="11" t="str">
        <f t="shared" si="500"/>
        <v>11</v>
      </c>
      <c r="AD115" s="11" t="str">
        <f t="shared" si="501"/>
        <v>15,880</v>
      </c>
      <c r="AE115" s="11">
        <f t="shared" si="502"/>
        <v>0.18774444444444444</v>
      </c>
      <c r="AF115" s="14">
        <f t="shared" si="503"/>
        <v>26.685210392377346</v>
      </c>
      <c r="AG115" s="39">
        <f t="shared" si="504"/>
        <v>-100</v>
      </c>
      <c r="AH115" s="38">
        <f t="shared" si="657"/>
        <v>18.399999999999999</v>
      </c>
      <c r="AI115" s="124">
        <f t="shared" si="657"/>
        <v>1.0980000000000001</v>
      </c>
      <c r="AJ115" s="124">
        <f t="shared" si="657"/>
        <v>1.087</v>
      </c>
      <c r="AK115" s="41">
        <f t="shared" si="505"/>
        <v>0</v>
      </c>
      <c r="AL115" s="41"/>
      <c r="AM115" s="34">
        <f t="shared" ref="AM115:AN115" si="700">AM114</f>
        <v>2.0049999999999999</v>
      </c>
      <c r="AN115" s="33" t="str">
        <f t="shared" si="700"/>
        <v>7,19,050</v>
      </c>
      <c r="AO115" s="11" t="str">
        <f t="shared" si="507"/>
        <v>7,</v>
      </c>
      <c r="AP115" s="11" t="str">
        <f t="shared" si="508"/>
        <v>19,050</v>
      </c>
      <c r="AQ115" s="11">
        <f t="shared" si="509"/>
        <v>0.12195833333333334</v>
      </c>
      <c r="AR115" s="14">
        <f t="shared" si="510"/>
        <v>16.44004099760847</v>
      </c>
      <c r="AS115" s="39">
        <f t="shared" si="511"/>
        <v>-100</v>
      </c>
      <c r="AT115" s="40" t="str">
        <f t="shared" si="512"/>
        <v>NO CONFORME</v>
      </c>
      <c r="AU115" s="8" t="b">
        <f t="shared" si="434"/>
        <v>1</v>
      </c>
      <c r="AV115" s="8" t="b">
        <f t="shared" si="435"/>
        <v>0</v>
      </c>
      <c r="AW115" s="8" t="b">
        <f t="shared" si="436"/>
        <v>1</v>
      </c>
      <c r="AX115" s="8" t="str">
        <f t="shared" si="437"/>
        <v>Qcorrecto</v>
      </c>
      <c r="AY115" s="22" t="str">
        <f t="shared" si="417"/>
        <v>aceptable</v>
      </c>
      <c r="AZ115" s="22" t="str">
        <f t="shared" si="418"/>
        <v>aceptable</v>
      </c>
      <c r="BA115" s="22" t="str">
        <f t="shared" si="438"/>
        <v>aceptable</v>
      </c>
      <c r="BB115" s="25" t="str">
        <f t="shared" si="439"/>
        <v>NO CONFORME</v>
      </c>
      <c r="BC115" s="5" t="str">
        <f t="shared" si="440"/>
        <v>NO CONFORME</v>
      </c>
      <c r="BD115" s="15">
        <f t="shared" si="419"/>
        <v>-1</v>
      </c>
      <c r="BE115" s="15">
        <f t="shared" si="420"/>
        <v>-1</v>
      </c>
      <c r="BF115" s="15">
        <f t="shared" si="421"/>
        <v>-1</v>
      </c>
      <c r="BG115" s="15" t="str">
        <f t="shared" si="422"/>
        <v>-1-1-1</v>
      </c>
      <c r="BH115" s="15" t="str">
        <f t="shared" si="423"/>
        <v>SD</v>
      </c>
      <c r="BI115" s="15" t="str">
        <f t="shared" si="424"/>
        <v>SI</v>
      </c>
      <c r="BJ115" s="15" t="b">
        <f t="shared" si="425"/>
        <v>1</v>
      </c>
      <c r="BK115" s="15" t="str">
        <f t="shared" si="426"/>
        <v>SIGIGUALES</v>
      </c>
      <c r="BL115" s="22" t="str">
        <f t="shared" si="427"/>
        <v>NO CONFORME</v>
      </c>
    </row>
    <row r="116" spans="1:64" ht="14.4" x14ac:dyDescent="0.3">
      <c r="A116" s="91">
        <v>108</v>
      </c>
      <c r="B116" s="28">
        <f t="shared" ref="B116:D116" si="701">B115</f>
        <v>45920</v>
      </c>
      <c r="C116" s="28">
        <f t="shared" si="701"/>
        <v>45920</v>
      </c>
      <c r="D116" s="12">
        <f t="shared" si="701"/>
        <v>3</v>
      </c>
      <c r="E116" s="10">
        <f t="shared" si="301"/>
        <v>8</v>
      </c>
      <c r="F116" s="13"/>
      <c r="G116" s="157"/>
      <c r="H116" s="70">
        <f t="shared" ref="H116:L116" si="702">H115</f>
        <v>25.6</v>
      </c>
      <c r="I116" s="36">
        <f t="shared" si="702"/>
        <v>0</v>
      </c>
      <c r="J116" s="35">
        <f t="shared" si="702"/>
        <v>20.9</v>
      </c>
      <c r="K116" s="122">
        <f t="shared" si="702"/>
        <v>8.4730000000000008</v>
      </c>
      <c r="L116" s="122">
        <f t="shared" si="702"/>
        <v>0.52100000000000002</v>
      </c>
      <c r="M116" s="41"/>
      <c r="N116" s="41"/>
      <c r="O116" s="32">
        <f t="shared" ref="O116:P116" si="703">O115</f>
        <v>100.48</v>
      </c>
      <c r="P116" s="168" t="str">
        <f t="shared" si="703"/>
        <v>2,29,610</v>
      </c>
      <c r="Q116" s="11" t="str">
        <f t="shared" si="493"/>
        <v>2</v>
      </c>
      <c r="R116" s="11" t="str">
        <f t="shared" si="494"/>
        <v>29,610</v>
      </c>
      <c r="S116" s="11">
        <f t="shared" si="495"/>
        <v>4.1558333333333336E-2</v>
      </c>
      <c r="T116" s="14">
        <f t="shared" si="496"/>
        <v>2417.8062963705634</v>
      </c>
      <c r="U116" s="37">
        <f t="shared" si="497"/>
        <v>-100</v>
      </c>
      <c r="V116" s="38">
        <f t="shared" ref="V116:W116" si="704">V115</f>
        <v>21.3</v>
      </c>
      <c r="W116" s="124">
        <f t="shared" si="704"/>
        <v>1.0960000000000001</v>
      </c>
      <c r="X116" s="124">
        <f t="shared" si="649"/>
        <v>1.0880000000000001</v>
      </c>
      <c r="Y116" s="41"/>
      <c r="Z116" s="41"/>
      <c r="AA116" s="90">
        <f t="shared" ref="AA116:AB116" si="705">AA115</f>
        <v>5.01</v>
      </c>
      <c r="AB116" s="73" t="str">
        <f t="shared" si="705"/>
        <v>11,15,880</v>
      </c>
      <c r="AC116" s="11" t="str">
        <f t="shared" si="500"/>
        <v>11</v>
      </c>
      <c r="AD116" s="11" t="str">
        <f t="shared" si="501"/>
        <v>15,880</v>
      </c>
      <c r="AE116" s="11">
        <f t="shared" si="502"/>
        <v>0.18774444444444444</v>
      </c>
      <c r="AF116" s="14">
        <f t="shared" si="503"/>
        <v>26.685210392377346</v>
      </c>
      <c r="AG116" s="39">
        <f t="shared" si="504"/>
        <v>-100</v>
      </c>
      <c r="AH116" s="38">
        <f t="shared" si="657"/>
        <v>18.399999999999999</v>
      </c>
      <c r="AI116" s="124">
        <f t="shared" si="657"/>
        <v>1.0980000000000001</v>
      </c>
      <c r="AJ116" s="124">
        <f t="shared" si="657"/>
        <v>1.087</v>
      </c>
      <c r="AK116" s="41">
        <f t="shared" si="505"/>
        <v>0</v>
      </c>
      <c r="AL116" s="41"/>
      <c r="AM116" s="34">
        <f t="shared" ref="AM116:AN116" si="706">AM115</f>
        <v>2.0049999999999999</v>
      </c>
      <c r="AN116" s="33" t="str">
        <f t="shared" si="706"/>
        <v>7,19,050</v>
      </c>
      <c r="AO116" s="11" t="str">
        <f t="shared" si="507"/>
        <v>7,</v>
      </c>
      <c r="AP116" s="11" t="str">
        <f t="shared" si="508"/>
        <v>19,050</v>
      </c>
      <c r="AQ116" s="11">
        <f t="shared" si="509"/>
        <v>0.12195833333333334</v>
      </c>
      <c r="AR116" s="14">
        <f t="shared" si="510"/>
        <v>16.44004099760847</v>
      </c>
      <c r="AS116" s="39">
        <f t="shared" si="511"/>
        <v>-100</v>
      </c>
      <c r="AT116" s="40" t="str">
        <f t="shared" si="512"/>
        <v>NO CONFORME</v>
      </c>
      <c r="AU116" s="8" t="b">
        <f t="shared" si="434"/>
        <v>1</v>
      </c>
      <c r="AV116" s="8" t="b">
        <f t="shared" si="435"/>
        <v>0</v>
      </c>
      <c r="AW116" s="8" t="b">
        <f t="shared" si="436"/>
        <v>1</v>
      </c>
      <c r="AX116" s="8" t="str">
        <f t="shared" si="437"/>
        <v>Qcorrecto</v>
      </c>
      <c r="AY116" s="22" t="str">
        <f t="shared" si="417"/>
        <v>aceptable</v>
      </c>
      <c r="AZ116" s="22" t="str">
        <f t="shared" si="418"/>
        <v>aceptable</v>
      </c>
      <c r="BA116" s="22" t="str">
        <f t="shared" si="438"/>
        <v>aceptable</v>
      </c>
      <c r="BB116" s="25" t="str">
        <f t="shared" si="439"/>
        <v>NO CONFORME</v>
      </c>
      <c r="BC116" s="5" t="str">
        <f t="shared" si="440"/>
        <v>NO CONFORME</v>
      </c>
      <c r="BD116" s="15">
        <f t="shared" si="419"/>
        <v>-1</v>
      </c>
      <c r="BE116" s="15">
        <f t="shared" si="420"/>
        <v>-1</v>
      </c>
      <c r="BF116" s="15">
        <f t="shared" si="421"/>
        <v>-1</v>
      </c>
      <c r="BG116" s="15" t="str">
        <f t="shared" si="422"/>
        <v>-1-1-1</v>
      </c>
      <c r="BH116" s="15" t="str">
        <f t="shared" si="423"/>
        <v>SD</v>
      </c>
      <c r="BI116" s="15" t="str">
        <f t="shared" si="424"/>
        <v>SI</v>
      </c>
      <c r="BJ116" s="15" t="b">
        <f t="shared" si="425"/>
        <v>1</v>
      </c>
      <c r="BK116" s="15" t="str">
        <f t="shared" si="426"/>
        <v>SIGIGUALES</v>
      </c>
      <c r="BL116" s="22" t="str">
        <f t="shared" si="427"/>
        <v>NO CONFORME</v>
      </c>
    </row>
    <row r="117" spans="1:64" ht="14.4" x14ac:dyDescent="0.3">
      <c r="A117" s="91">
        <v>109</v>
      </c>
      <c r="B117" s="28">
        <f t="shared" ref="B117:D117" si="707">B116</f>
        <v>45920</v>
      </c>
      <c r="C117" s="28">
        <f t="shared" si="707"/>
        <v>45920</v>
      </c>
      <c r="D117" s="12">
        <f t="shared" si="707"/>
        <v>3</v>
      </c>
      <c r="E117" s="10">
        <f t="shared" si="301"/>
        <v>8</v>
      </c>
      <c r="F117" s="13"/>
      <c r="G117" s="157"/>
      <c r="H117" s="70">
        <f t="shared" ref="H117:L117" si="708">H116</f>
        <v>25.6</v>
      </c>
      <c r="I117" s="36">
        <f t="shared" si="708"/>
        <v>0</v>
      </c>
      <c r="J117" s="35">
        <f t="shared" si="708"/>
        <v>20.9</v>
      </c>
      <c r="K117" s="122">
        <f t="shared" si="708"/>
        <v>8.4730000000000008</v>
      </c>
      <c r="L117" s="122">
        <f t="shared" si="708"/>
        <v>0.52100000000000002</v>
      </c>
      <c r="M117" s="41"/>
      <c r="N117" s="41"/>
      <c r="O117" s="32">
        <f t="shared" ref="O117:P117" si="709">O116</f>
        <v>100.48</v>
      </c>
      <c r="P117" s="168" t="str">
        <f t="shared" si="709"/>
        <v>2,29,610</v>
      </c>
      <c r="Q117" s="11" t="str">
        <f t="shared" si="493"/>
        <v>2</v>
      </c>
      <c r="R117" s="11" t="str">
        <f t="shared" si="494"/>
        <v>29,610</v>
      </c>
      <c r="S117" s="11">
        <f t="shared" si="495"/>
        <v>4.1558333333333336E-2</v>
      </c>
      <c r="T117" s="14">
        <f t="shared" si="496"/>
        <v>2417.8062963705634</v>
      </c>
      <c r="U117" s="37">
        <f t="shared" si="497"/>
        <v>-100</v>
      </c>
      <c r="V117" s="38">
        <f t="shared" ref="V117:W117" si="710">V116</f>
        <v>21.3</v>
      </c>
      <c r="W117" s="124">
        <f t="shared" si="710"/>
        <v>1.0960000000000001</v>
      </c>
      <c r="X117" s="124">
        <f t="shared" si="649"/>
        <v>1.0880000000000001</v>
      </c>
      <c r="Y117" s="41"/>
      <c r="Z117" s="41"/>
      <c r="AA117" s="90">
        <f t="shared" ref="AA117:AB117" si="711">AA116</f>
        <v>5.01</v>
      </c>
      <c r="AB117" s="73" t="str">
        <f t="shared" si="711"/>
        <v>11,15,880</v>
      </c>
      <c r="AC117" s="11" t="str">
        <f t="shared" si="500"/>
        <v>11</v>
      </c>
      <c r="AD117" s="11" t="str">
        <f t="shared" si="501"/>
        <v>15,880</v>
      </c>
      <c r="AE117" s="11">
        <f t="shared" si="502"/>
        <v>0.18774444444444444</v>
      </c>
      <c r="AF117" s="14">
        <f t="shared" si="503"/>
        <v>26.685210392377346</v>
      </c>
      <c r="AG117" s="39">
        <f t="shared" si="504"/>
        <v>-100</v>
      </c>
      <c r="AH117" s="38">
        <f t="shared" si="657"/>
        <v>18.399999999999999</v>
      </c>
      <c r="AI117" s="124">
        <f t="shared" si="657"/>
        <v>1.0980000000000001</v>
      </c>
      <c r="AJ117" s="124">
        <f t="shared" si="657"/>
        <v>1.087</v>
      </c>
      <c r="AK117" s="41">
        <f t="shared" si="505"/>
        <v>0</v>
      </c>
      <c r="AL117" s="41"/>
      <c r="AM117" s="34">
        <f t="shared" ref="AM117:AN117" si="712">AM116</f>
        <v>2.0049999999999999</v>
      </c>
      <c r="AN117" s="33" t="str">
        <f t="shared" si="712"/>
        <v>7,19,050</v>
      </c>
      <c r="AO117" s="11" t="str">
        <f t="shared" si="507"/>
        <v>7,</v>
      </c>
      <c r="AP117" s="11" t="str">
        <f t="shared" si="508"/>
        <v>19,050</v>
      </c>
      <c r="AQ117" s="11">
        <f t="shared" si="509"/>
        <v>0.12195833333333334</v>
      </c>
      <c r="AR117" s="14">
        <f t="shared" si="510"/>
        <v>16.44004099760847</v>
      </c>
      <c r="AS117" s="39">
        <f t="shared" si="511"/>
        <v>-100</v>
      </c>
      <c r="AT117" s="40" t="str">
        <f t="shared" si="512"/>
        <v>NO CONFORME</v>
      </c>
      <c r="AU117" s="8" t="b">
        <f t="shared" si="434"/>
        <v>1</v>
      </c>
      <c r="AV117" s="8" t="b">
        <f t="shared" si="435"/>
        <v>0</v>
      </c>
      <c r="AW117" s="8" t="b">
        <f t="shared" si="436"/>
        <v>1</v>
      </c>
      <c r="AX117" s="8" t="str">
        <f t="shared" si="437"/>
        <v>Qcorrecto</v>
      </c>
      <c r="AY117" s="22" t="str">
        <f t="shared" si="417"/>
        <v>aceptable</v>
      </c>
      <c r="AZ117" s="22" t="str">
        <f t="shared" si="418"/>
        <v>aceptable</v>
      </c>
      <c r="BA117" s="22" t="str">
        <f t="shared" si="438"/>
        <v>aceptable</v>
      </c>
      <c r="BB117" s="25" t="str">
        <f t="shared" si="439"/>
        <v>NO CONFORME</v>
      </c>
      <c r="BC117" s="5" t="str">
        <f t="shared" si="440"/>
        <v>NO CONFORME</v>
      </c>
      <c r="BD117" s="15">
        <f t="shared" si="419"/>
        <v>-1</v>
      </c>
      <c r="BE117" s="15">
        <f t="shared" si="420"/>
        <v>-1</v>
      </c>
      <c r="BF117" s="15">
        <f t="shared" si="421"/>
        <v>-1</v>
      </c>
      <c r="BG117" s="15" t="str">
        <f t="shared" si="422"/>
        <v>-1-1-1</v>
      </c>
      <c r="BH117" s="15" t="str">
        <f t="shared" si="423"/>
        <v>SD</v>
      </c>
      <c r="BI117" s="15" t="str">
        <f t="shared" si="424"/>
        <v>SI</v>
      </c>
      <c r="BJ117" s="15" t="b">
        <f t="shared" si="425"/>
        <v>1</v>
      </c>
      <c r="BK117" s="15" t="str">
        <f t="shared" si="426"/>
        <v>SIGIGUALES</v>
      </c>
      <c r="BL117" s="22" t="str">
        <f t="shared" si="427"/>
        <v>NO CONFORME</v>
      </c>
    </row>
    <row r="118" spans="1:64" ht="14.4" x14ac:dyDescent="0.3">
      <c r="A118" s="91">
        <v>110</v>
      </c>
      <c r="B118" s="28">
        <f t="shared" ref="B118:D118" si="713">B117</f>
        <v>45920</v>
      </c>
      <c r="C118" s="28">
        <f t="shared" si="713"/>
        <v>45920</v>
      </c>
      <c r="D118" s="12">
        <f t="shared" si="713"/>
        <v>3</v>
      </c>
      <c r="E118" s="10">
        <f t="shared" si="301"/>
        <v>8</v>
      </c>
      <c r="F118" s="13"/>
      <c r="G118" s="157"/>
      <c r="H118" s="70">
        <f t="shared" ref="H118:L118" si="714">H117</f>
        <v>25.6</v>
      </c>
      <c r="I118" s="36">
        <f t="shared" si="714"/>
        <v>0</v>
      </c>
      <c r="J118" s="35">
        <f t="shared" si="714"/>
        <v>20.9</v>
      </c>
      <c r="K118" s="122">
        <f t="shared" si="714"/>
        <v>8.4730000000000008</v>
      </c>
      <c r="L118" s="122">
        <f t="shared" si="714"/>
        <v>0.52100000000000002</v>
      </c>
      <c r="M118" s="41"/>
      <c r="N118" s="41"/>
      <c r="O118" s="32">
        <f t="shared" ref="O118:P118" si="715">O117</f>
        <v>100.48</v>
      </c>
      <c r="P118" s="168" t="str">
        <f t="shared" si="715"/>
        <v>2,29,610</v>
      </c>
      <c r="Q118" s="11" t="str">
        <f t="shared" si="493"/>
        <v>2</v>
      </c>
      <c r="R118" s="11" t="str">
        <f t="shared" si="494"/>
        <v>29,610</v>
      </c>
      <c r="S118" s="11">
        <f t="shared" si="495"/>
        <v>4.1558333333333336E-2</v>
      </c>
      <c r="T118" s="14">
        <f t="shared" si="496"/>
        <v>2417.8062963705634</v>
      </c>
      <c r="U118" s="37">
        <f t="shared" si="497"/>
        <v>-100</v>
      </c>
      <c r="V118" s="38">
        <f t="shared" ref="V118:W118" si="716">V117</f>
        <v>21.3</v>
      </c>
      <c r="W118" s="124">
        <f t="shared" si="716"/>
        <v>1.0960000000000001</v>
      </c>
      <c r="X118" s="124">
        <f t="shared" si="649"/>
        <v>1.0880000000000001</v>
      </c>
      <c r="Y118" s="41"/>
      <c r="Z118" s="41"/>
      <c r="AA118" s="90">
        <f t="shared" ref="AA118:AB118" si="717">AA117</f>
        <v>5.01</v>
      </c>
      <c r="AB118" s="73" t="str">
        <f t="shared" si="717"/>
        <v>11,15,880</v>
      </c>
      <c r="AC118" s="11" t="str">
        <f t="shared" si="500"/>
        <v>11</v>
      </c>
      <c r="AD118" s="11" t="str">
        <f t="shared" si="501"/>
        <v>15,880</v>
      </c>
      <c r="AE118" s="11">
        <f t="shared" si="502"/>
        <v>0.18774444444444444</v>
      </c>
      <c r="AF118" s="14">
        <f t="shared" si="503"/>
        <v>26.685210392377346</v>
      </c>
      <c r="AG118" s="39">
        <f t="shared" si="504"/>
        <v>-100</v>
      </c>
      <c r="AH118" s="38">
        <f t="shared" si="657"/>
        <v>18.399999999999999</v>
      </c>
      <c r="AI118" s="124">
        <f t="shared" si="657"/>
        <v>1.0980000000000001</v>
      </c>
      <c r="AJ118" s="124">
        <f t="shared" si="657"/>
        <v>1.087</v>
      </c>
      <c r="AK118" s="41">
        <f t="shared" si="505"/>
        <v>0</v>
      </c>
      <c r="AL118" s="41"/>
      <c r="AM118" s="34">
        <f t="shared" ref="AM118:AN118" si="718">AM117</f>
        <v>2.0049999999999999</v>
      </c>
      <c r="AN118" s="33" t="str">
        <f t="shared" si="718"/>
        <v>7,19,050</v>
      </c>
      <c r="AO118" s="11" t="str">
        <f t="shared" si="507"/>
        <v>7,</v>
      </c>
      <c r="AP118" s="11" t="str">
        <f t="shared" si="508"/>
        <v>19,050</v>
      </c>
      <c r="AQ118" s="11">
        <f t="shared" si="509"/>
        <v>0.12195833333333334</v>
      </c>
      <c r="AR118" s="14">
        <f t="shared" si="510"/>
        <v>16.44004099760847</v>
      </c>
      <c r="AS118" s="39">
        <f t="shared" si="511"/>
        <v>-100</v>
      </c>
      <c r="AT118" s="40" t="str">
        <f t="shared" si="512"/>
        <v>NO CONFORME</v>
      </c>
      <c r="AU118" s="8" t="b">
        <f t="shared" si="434"/>
        <v>1</v>
      </c>
      <c r="AV118" s="8" t="b">
        <f t="shared" si="435"/>
        <v>0</v>
      </c>
      <c r="AW118" s="8" t="b">
        <f t="shared" si="436"/>
        <v>1</v>
      </c>
      <c r="AX118" s="8" t="str">
        <f t="shared" si="437"/>
        <v>Qcorrecto</v>
      </c>
      <c r="AY118" s="22" t="str">
        <f t="shared" si="417"/>
        <v>aceptable</v>
      </c>
      <c r="AZ118" s="22" t="str">
        <f t="shared" si="418"/>
        <v>aceptable</v>
      </c>
      <c r="BA118" s="22" t="str">
        <f t="shared" si="438"/>
        <v>aceptable</v>
      </c>
      <c r="BB118" s="25" t="str">
        <f t="shared" si="439"/>
        <v>NO CONFORME</v>
      </c>
      <c r="BC118" s="5" t="str">
        <f t="shared" si="440"/>
        <v>NO CONFORME</v>
      </c>
      <c r="BD118" s="15">
        <f t="shared" si="419"/>
        <v>-1</v>
      </c>
      <c r="BE118" s="15">
        <f t="shared" si="420"/>
        <v>-1</v>
      </c>
      <c r="BF118" s="15">
        <f t="shared" si="421"/>
        <v>-1</v>
      </c>
      <c r="BG118" s="15" t="str">
        <f t="shared" si="422"/>
        <v>-1-1-1</v>
      </c>
      <c r="BH118" s="15" t="str">
        <f t="shared" si="423"/>
        <v>SD</v>
      </c>
      <c r="BI118" s="15" t="str">
        <f t="shared" si="424"/>
        <v>SI</v>
      </c>
      <c r="BJ118" s="15" t="b">
        <f t="shared" si="425"/>
        <v>1</v>
      </c>
      <c r="BK118" s="15" t="str">
        <f t="shared" si="426"/>
        <v>SIGIGUALES</v>
      </c>
      <c r="BL118" s="22" t="str">
        <f t="shared" si="427"/>
        <v>NO CONFORME</v>
      </c>
    </row>
    <row r="119" spans="1:64" ht="14.4" x14ac:dyDescent="0.3">
      <c r="A119" s="91">
        <v>111</v>
      </c>
      <c r="B119" s="28">
        <f t="shared" ref="B119:E119" si="719">B118</f>
        <v>45920</v>
      </c>
      <c r="C119" s="28">
        <f t="shared" si="719"/>
        <v>45920</v>
      </c>
      <c r="D119" s="12">
        <f t="shared" si="719"/>
        <v>3</v>
      </c>
      <c r="E119" s="10">
        <f t="shared" si="719"/>
        <v>8</v>
      </c>
      <c r="F119" s="13"/>
      <c r="G119" s="157"/>
      <c r="H119" s="70">
        <f t="shared" ref="H119:L119" si="720">H118</f>
        <v>25.6</v>
      </c>
      <c r="I119" s="36">
        <f t="shared" si="720"/>
        <v>0</v>
      </c>
      <c r="J119" s="35">
        <f t="shared" si="720"/>
        <v>20.9</v>
      </c>
      <c r="K119" s="122">
        <f t="shared" si="720"/>
        <v>8.4730000000000008</v>
      </c>
      <c r="L119" s="122">
        <f t="shared" si="720"/>
        <v>0.52100000000000002</v>
      </c>
      <c r="M119" s="41"/>
      <c r="N119" s="41"/>
      <c r="O119" s="32">
        <f t="shared" ref="O119:P119" si="721">O118</f>
        <v>100.48</v>
      </c>
      <c r="P119" s="168" t="str">
        <f t="shared" si="721"/>
        <v>2,29,610</v>
      </c>
      <c r="Q119" s="11" t="str">
        <f t="shared" si="493"/>
        <v>2</v>
      </c>
      <c r="R119" s="11" t="str">
        <f t="shared" si="494"/>
        <v>29,610</v>
      </c>
      <c r="S119" s="11">
        <f t="shared" si="495"/>
        <v>4.1558333333333336E-2</v>
      </c>
      <c r="T119" s="14">
        <f t="shared" si="496"/>
        <v>2417.8062963705634</v>
      </c>
      <c r="U119" s="37">
        <f t="shared" si="497"/>
        <v>-100</v>
      </c>
      <c r="V119" s="38">
        <f t="shared" ref="V119:W119" si="722">V118</f>
        <v>21.3</v>
      </c>
      <c r="W119" s="124">
        <f t="shared" si="722"/>
        <v>1.0960000000000001</v>
      </c>
      <c r="X119" s="124">
        <f t="shared" si="649"/>
        <v>1.0880000000000001</v>
      </c>
      <c r="Y119" s="41"/>
      <c r="Z119" s="41"/>
      <c r="AA119" s="90">
        <f t="shared" ref="AA119:AB119" si="723">AA118</f>
        <v>5.01</v>
      </c>
      <c r="AB119" s="73" t="str">
        <f t="shared" si="723"/>
        <v>11,15,880</v>
      </c>
      <c r="AC119" s="11" t="str">
        <f t="shared" si="500"/>
        <v>11</v>
      </c>
      <c r="AD119" s="11" t="str">
        <f t="shared" si="501"/>
        <v>15,880</v>
      </c>
      <c r="AE119" s="11">
        <f t="shared" si="502"/>
        <v>0.18774444444444444</v>
      </c>
      <c r="AF119" s="14">
        <f t="shared" si="503"/>
        <v>26.685210392377346</v>
      </c>
      <c r="AG119" s="39">
        <f t="shared" si="504"/>
        <v>-100</v>
      </c>
      <c r="AH119" s="38">
        <f t="shared" si="657"/>
        <v>18.399999999999999</v>
      </c>
      <c r="AI119" s="124">
        <f t="shared" si="657"/>
        <v>1.0980000000000001</v>
      </c>
      <c r="AJ119" s="124">
        <f t="shared" si="657"/>
        <v>1.087</v>
      </c>
      <c r="AK119" s="41">
        <f t="shared" si="505"/>
        <v>0</v>
      </c>
      <c r="AL119" s="41"/>
      <c r="AM119" s="34">
        <f t="shared" ref="AM119:AN119" si="724">AM118</f>
        <v>2.0049999999999999</v>
      </c>
      <c r="AN119" s="33" t="str">
        <f t="shared" si="724"/>
        <v>7,19,050</v>
      </c>
      <c r="AO119" s="11" t="str">
        <f t="shared" si="507"/>
        <v>7,</v>
      </c>
      <c r="AP119" s="11" t="str">
        <f t="shared" si="508"/>
        <v>19,050</v>
      </c>
      <c r="AQ119" s="11">
        <f t="shared" si="509"/>
        <v>0.12195833333333334</v>
      </c>
      <c r="AR119" s="14">
        <f t="shared" si="510"/>
        <v>16.44004099760847</v>
      </c>
      <c r="AS119" s="39">
        <f t="shared" si="511"/>
        <v>-100</v>
      </c>
      <c r="AT119" s="40" t="str">
        <f t="shared" si="512"/>
        <v>NO CONFORME</v>
      </c>
      <c r="AU119" s="8" t="b">
        <f t="shared" si="434"/>
        <v>1</v>
      </c>
      <c r="AV119" s="8" t="b">
        <f t="shared" si="435"/>
        <v>0</v>
      </c>
      <c r="AW119" s="8" t="b">
        <f t="shared" si="436"/>
        <v>1</v>
      </c>
      <c r="AX119" s="8" t="str">
        <f t="shared" si="437"/>
        <v>Qcorrecto</v>
      </c>
      <c r="AY119" s="22" t="str">
        <f t="shared" si="417"/>
        <v>aceptable</v>
      </c>
      <c r="AZ119" s="22" t="str">
        <f t="shared" si="418"/>
        <v>aceptable</v>
      </c>
      <c r="BA119" s="22" t="str">
        <f t="shared" si="438"/>
        <v>aceptable</v>
      </c>
      <c r="BB119" s="25" t="str">
        <f t="shared" si="439"/>
        <v>NO CONFORME</v>
      </c>
      <c r="BC119" s="5" t="str">
        <f t="shared" si="440"/>
        <v>NO CONFORME</v>
      </c>
      <c r="BD119" s="15">
        <f t="shared" si="419"/>
        <v>-1</v>
      </c>
      <c r="BE119" s="15">
        <f t="shared" si="420"/>
        <v>-1</v>
      </c>
      <c r="BF119" s="15">
        <f t="shared" si="421"/>
        <v>-1</v>
      </c>
      <c r="BG119" s="15" t="str">
        <f t="shared" si="422"/>
        <v>-1-1-1</v>
      </c>
      <c r="BH119" s="15" t="str">
        <f t="shared" si="423"/>
        <v>SD</v>
      </c>
      <c r="BI119" s="15" t="str">
        <f t="shared" si="424"/>
        <v>SI</v>
      </c>
      <c r="BJ119" s="15" t="b">
        <f t="shared" si="425"/>
        <v>1</v>
      </c>
      <c r="BK119" s="15" t="str">
        <f t="shared" si="426"/>
        <v>SIGIGUALES</v>
      </c>
      <c r="BL119" s="22" t="str">
        <f t="shared" si="427"/>
        <v>NO CONFORME</v>
      </c>
    </row>
    <row r="120" spans="1:64" ht="14.4" x14ac:dyDescent="0.3">
      <c r="A120" s="91">
        <v>112</v>
      </c>
      <c r="B120" s="28">
        <f t="shared" ref="B120:E120" si="725">B119</f>
        <v>45920</v>
      </c>
      <c r="C120" s="28">
        <f t="shared" si="725"/>
        <v>45920</v>
      </c>
      <c r="D120" s="12">
        <f t="shared" si="725"/>
        <v>3</v>
      </c>
      <c r="E120" s="10">
        <f t="shared" si="725"/>
        <v>8</v>
      </c>
      <c r="F120" s="13"/>
      <c r="G120" s="157"/>
      <c r="H120" s="70">
        <f t="shared" ref="H120:L120" si="726">H119</f>
        <v>25.6</v>
      </c>
      <c r="I120" s="36">
        <f t="shared" si="726"/>
        <v>0</v>
      </c>
      <c r="J120" s="35">
        <f t="shared" si="726"/>
        <v>20.9</v>
      </c>
      <c r="K120" s="122">
        <f t="shared" si="726"/>
        <v>8.4730000000000008</v>
      </c>
      <c r="L120" s="122">
        <f t="shared" si="726"/>
        <v>0.52100000000000002</v>
      </c>
      <c r="M120" s="41"/>
      <c r="N120" s="41"/>
      <c r="O120" s="32">
        <f t="shared" ref="O120:P120" si="727">O119</f>
        <v>100.48</v>
      </c>
      <c r="P120" s="168" t="str">
        <f t="shared" si="727"/>
        <v>2,29,610</v>
      </c>
      <c r="Q120" s="11" t="str">
        <f t="shared" si="493"/>
        <v>2</v>
      </c>
      <c r="R120" s="11" t="str">
        <f t="shared" si="494"/>
        <v>29,610</v>
      </c>
      <c r="S120" s="11">
        <f t="shared" si="495"/>
        <v>4.1558333333333336E-2</v>
      </c>
      <c r="T120" s="14">
        <f t="shared" si="496"/>
        <v>2417.8062963705634</v>
      </c>
      <c r="U120" s="37">
        <f t="shared" si="497"/>
        <v>-100</v>
      </c>
      <c r="V120" s="38">
        <f t="shared" ref="V120:W120" si="728">V119</f>
        <v>21.3</v>
      </c>
      <c r="W120" s="124">
        <f t="shared" si="728"/>
        <v>1.0960000000000001</v>
      </c>
      <c r="X120" s="124">
        <f t="shared" si="649"/>
        <v>1.0880000000000001</v>
      </c>
      <c r="Y120" s="41"/>
      <c r="Z120" s="41"/>
      <c r="AA120" s="90">
        <f t="shared" ref="AA120:AB120" si="729">AA119</f>
        <v>5.01</v>
      </c>
      <c r="AB120" s="73" t="str">
        <f t="shared" si="729"/>
        <v>11,15,880</v>
      </c>
      <c r="AC120" s="11" t="str">
        <f t="shared" si="500"/>
        <v>11</v>
      </c>
      <c r="AD120" s="11" t="str">
        <f t="shared" si="501"/>
        <v>15,880</v>
      </c>
      <c r="AE120" s="11">
        <f t="shared" si="502"/>
        <v>0.18774444444444444</v>
      </c>
      <c r="AF120" s="14">
        <f t="shared" si="503"/>
        <v>26.685210392377346</v>
      </c>
      <c r="AG120" s="39">
        <f t="shared" si="504"/>
        <v>-100</v>
      </c>
      <c r="AH120" s="38">
        <f t="shared" si="657"/>
        <v>18.399999999999999</v>
      </c>
      <c r="AI120" s="124">
        <f t="shared" si="657"/>
        <v>1.0980000000000001</v>
      </c>
      <c r="AJ120" s="124">
        <f t="shared" si="657"/>
        <v>1.087</v>
      </c>
      <c r="AK120" s="41">
        <f t="shared" si="505"/>
        <v>0</v>
      </c>
      <c r="AL120" s="41"/>
      <c r="AM120" s="34">
        <f t="shared" ref="AM120:AN120" si="730">AM119</f>
        <v>2.0049999999999999</v>
      </c>
      <c r="AN120" s="33" t="str">
        <f t="shared" si="730"/>
        <v>7,19,050</v>
      </c>
      <c r="AO120" s="11" t="str">
        <f t="shared" si="507"/>
        <v>7,</v>
      </c>
      <c r="AP120" s="11" t="str">
        <f t="shared" si="508"/>
        <v>19,050</v>
      </c>
      <c r="AQ120" s="11">
        <f t="shared" si="509"/>
        <v>0.12195833333333334</v>
      </c>
      <c r="AR120" s="14">
        <f t="shared" si="510"/>
        <v>16.44004099760847</v>
      </c>
      <c r="AS120" s="39">
        <f t="shared" si="511"/>
        <v>-100</v>
      </c>
      <c r="AT120" s="40" t="str">
        <f t="shared" si="512"/>
        <v>NO CONFORME</v>
      </c>
      <c r="AU120" s="8" t="b">
        <f t="shared" si="434"/>
        <v>1</v>
      </c>
      <c r="AV120" s="8" t="b">
        <f t="shared" si="435"/>
        <v>0</v>
      </c>
      <c r="AW120" s="8" t="b">
        <f t="shared" si="436"/>
        <v>1</v>
      </c>
      <c r="AX120" s="8" t="str">
        <f t="shared" si="437"/>
        <v>Qcorrecto</v>
      </c>
      <c r="AY120" s="22" t="str">
        <f t="shared" si="417"/>
        <v>aceptable</v>
      </c>
      <c r="AZ120" s="22" t="str">
        <f t="shared" si="418"/>
        <v>aceptable</v>
      </c>
      <c r="BA120" s="22" t="str">
        <f t="shared" si="438"/>
        <v>aceptable</v>
      </c>
      <c r="BB120" s="25" t="str">
        <f t="shared" si="439"/>
        <v>NO CONFORME</v>
      </c>
      <c r="BC120" s="5" t="str">
        <f t="shared" si="440"/>
        <v>NO CONFORME</v>
      </c>
      <c r="BD120" s="15">
        <f t="shared" si="419"/>
        <v>-1</v>
      </c>
      <c r="BE120" s="15">
        <f t="shared" si="420"/>
        <v>-1</v>
      </c>
      <c r="BF120" s="15">
        <f t="shared" si="421"/>
        <v>-1</v>
      </c>
      <c r="BG120" s="15" t="str">
        <f t="shared" si="422"/>
        <v>-1-1-1</v>
      </c>
      <c r="BH120" s="15" t="str">
        <f t="shared" si="423"/>
        <v>SD</v>
      </c>
      <c r="BI120" s="15" t="str">
        <f t="shared" si="424"/>
        <v>SI</v>
      </c>
      <c r="BJ120" s="15" t="b">
        <f t="shared" si="425"/>
        <v>1</v>
      </c>
      <c r="BK120" s="15" t="str">
        <f t="shared" si="426"/>
        <v>SIGIGUALES</v>
      </c>
      <c r="BL120" s="22" t="str">
        <f t="shared" si="427"/>
        <v>NO CONFORME</v>
      </c>
    </row>
    <row r="121" spans="1:64" ht="14.4" x14ac:dyDescent="0.3">
      <c r="A121" s="91">
        <v>113</v>
      </c>
      <c r="B121" s="28">
        <f t="shared" ref="B121:E121" si="731">B120</f>
        <v>45920</v>
      </c>
      <c r="C121" s="28">
        <f t="shared" si="731"/>
        <v>45920</v>
      </c>
      <c r="D121" s="12">
        <f t="shared" si="731"/>
        <v>3</v>
      </c>
      <c r="E121" s="10">
        <f t="shared" si="731"/>
        <v>8</v>
      </c>
      <c r="F121" s="13"/>
      <c r="G121" s="157"/>
      <c r="H121" s="70">
        <f t="shared" ref="H121:L121" si="732">H120</f>
        <v>25.6</v>
      </c>
      <c r="I121" s="36">
        <f t="shared" si="732"/>
        <v>0</v>
      </c>
      <c r="J121" s="35">
        <f t="shared" si="732"/>
        <v>20.9</v>
      </c>
      <c r="K121" s="122">
        <f t="shared" si="732"/>
        <v>8.4730000000000008</v>
      </c>
      <c r="L121" s="122">
        <f t="shared" si="732"/>
        <v>0.52100000000000002</v>
      </c>
      <c r="M121" s="41"/>
      <c r="N121" s="41"/>
      <c r="O121" s="32">
        <f t="shared" ref="O121:P121" si="733">O120</f>
        <v>100.48</v>
      </c>
      <c r="P121" s="168" t="str">
        <f t="shared" si="733"/>
        <v>2,29,610</v>
      </c>
      <c r="Q121" s="11" t="str">
        <f t="shared" si="493"/>
        <v>2</v>
      </c>
      <c r="R121" s="11" t="str">
        <f t="shared" si="494"/>
        <v>29,610</v>
      </c>
      <c r="S121" s="11">
        <f t="shared" si="495"/>
        <v>4.1558333333333336E-2</v>
      </c>
      <c r="T121" s="14">
        <f t="shared" si="496"/>
        <v>2417.8062963705634</v>
      </c>
      <c r="U121" s="37">
        <f t="shared" si="497"/>
        <v>-100</v>
      </c>
      <c r="V121" s="38">
        <f t="shared" ref="V121:W121" si="734">V120</f>
        <v>21.3</v>
      </c>
      <c r="W121" s="124">
        <f t="shared" si="734"/>
        <v>1.0960000000000001</v>
      </c>
      <c r="X121" s="124">
        <f t="shared" si="649"/>
        <v>1.0880000000000001</v>
      </c>
      <c r="Y121" s="41"/>
      <c r="Z121" s="41"/>
      <c r="AA121" s="90">
        <f t="shared" ref="AA121:AB121" si="735">AA120</f>
        <v>5.01</v>
      </c>
      <c r="AB121" s="73" t="str">
        <f t="shared" si="735"/>
        <v>11,15,880</v>
      </c>
      <c r="AC121" s="11" t="str">
        <f t="shared" si="500"/>
        <v>11</v>
      </c>
      <c r="AD121" s="11" t="str">
        <f t="shared" si="501"/>
        <v>15,880</v>
      </c>
      <c r="AE121" s="11">
        <f t="shared" si="502"/>
        <v>0.18774444444444444</v>
      </c>
      <c r="AF121" s="14">
        <f t="shared" si="503"/>
        <v>26.685210392377346</v>
      </c>
      <c r="AG121" s="39">
        <f t="shared" si="504"/>
        <v>-100</v>
      </c>
      <c r="AH121" s="38">
        <f t="shared" si="657"/>
        <v>18.399999999999999</v>
      </c>
      <c r="AI121" s="124">
        <f t="shared" si="657"/>
        <v>1.0980000000000001</v>
      </c>
      <c r="AJ121" s="124">
        <f t="shared" si="657"/>
        <v>1.087</v>
      </c>
      <c r="AK121" s="41">
        <f t="shared" si="505"/>
        <v>0</v>
      </c>
      <c r="AL121" s="41"/>
      <c r="AM121" s="34">
        <f t="shared" ref="AM121:AN121" si="736">AM120</f>
        <v>2.0049999999999999</v>
      </c>
      <c r="AN121" s="33" t="str">
        <f t="shared" si="736"/>
        <v>7,19,050</v>
      </c>
      <c r="AO121" s="11" t="str">
        <f t="shared" si="507"/>
        <v>7,</v>
      </c>
      <c r="AP121" s="11" t="str">
        <f t="shared" si="508"/>
        <v>19,050</v>
      </c>
      <c r="AQ121" s="11">
        <f t="shared" si="509"/>
        <v>0.12195833333333334</v>
      </c>
      <c r="AR121" s="14">
        <f t="shared" si="510"/>
        <v>16.44004099760847</v>
      </c>
      <c r="AS121" s="39">
        <f t="shared" si="511"/>
        <v>-100</v>
      </c>
      <c r="AT121" s="40" t="str">
        <f t="shared" si="512"/>
        <v>NO CONFORME</v>
      </c>
      <c r="AU121" s="8" t="b">
        <f t="shared" si="434"/>
        <v>1</v>
      </c>
      <c r="AV121" s="8" t="b">
        <f t="shared" si="435"/>
        <v>0</v>
      </c>
      <c r="AW121" s="8" t="b">
        <f t="shared" si="436"/>
        <v>1</v>
      </c>
      <c r="AX121" s="8" t="str">
        <f t="shared" si="437"/>
        <v>Qcorrecto</v>
      </c>
      <c r="AY121" s="22" t="str">
        <f t="shared" si="417"/>
        <v>aceptable</v>
      </c>
      <c r="AZ121" s="22" t="str">
        <f t="shared" si="418"/>
        <v>aceptable</v>
      </c>
      <c r="BA121" s="22" t="str">
        <f t="shared" si="438"/>
        <v>aceptable</v>
      </c>
      <c r="BB121" s="25" t="str">
        <f t="shared" si="439"/>
        <v>NO CONFORME</v>
      </c>
      <c r="BC121" s="5" t="str">
        <f t="shared" si="440"/>
        <v>NO CONFORME</v>
      </c>
      <c r="BD121" s="15">
        <f t="shared" si="419"/>
        <v>-1</v>
      </c>
      <c r="BE121" s="15">
        <f t="shared" si="420"/>
        <v>-1</v>
      </c>
      <c r="BF121" s="15">
        <f t="shared" si="421"/>
        <v>-1</v>
      </c>
      <c r="BG121" s="15" t="str">
        <f t="shared" si="422"/>
        <v>-1-1-1</v>
      </c>
      <c r="BH121" s="15" t="str">
        <f t="shared" si="423"/>
        <v>SD</v>
      </c>
      <c r="BI121" s="15" t="str">
        <f t="shared" si="424"/>
        <v>SI</v>
      </c>
      <c r="BJ121" s="15" t="b">
        <f t="shared" si="425"/>
        <v>1</v>
      </c>
      <c r="BK121" s="15" t="str">
        <f t="shared" si="426"/>
        <v>SIGIGUALES</v>
      </c>
      <c r="BL121" s="22" t="str">
        <f t="shared" si="427"/>
        <v>NO CONFORME</v>
      </c>
    </row>
    <row r="122" spans="1:64" ht="14.4" x14ac:dyDescent="0.3">
      <c r="A122" s="91">
        <v>114</v>
      </c>
      <c r="B122" s="28">
        <f t="shared" ref="B122:E122" si="737">B121</f>
        <v>45920</v>
      </c>
      <c r="C122" s="28">
        <f t="shared" si="737"/>
        <v>45920</v>
      </c>
      <c r="D122" s="12">
        <f t="shared" si="737"/>
        <v>3</v>
      </c>
      <c r="E122" s="10">
        <f t="shared" si="737"/>
        <v>8</v>
      </c>
      <c r="F122" s="13"/>
      <c r="G122" s="157"/>
      <c r="H122" s="70">
        <f t="shared" ref="H122:L122" si="738">H121</f>
        <v>25.6</v>
      </c>
      <c r="I122" s="36">
        <f t="shared" si="738"/>
        <v>0</v>
      </c>
      <c r="J122" s="35">
        <f t="shared" si="738"/>
        <v>20.9</v>
      </c>
      <c r="K122" s="122">
        <f t="shared" si="738"/>
        <v>8.4730000000000008</v>
      </c>
      <c r="L122" s="122">
        <f t="shared" si="738"/>
        <v>0.52100000000000002</v>
      </c>
      <c r="M122" s="41"/>
      <c r="N122" s="41"/>
      <c r="O122" s="32">
        <f t="shared" ref="O122:P122" si="739">O121</f>
        <v>100.48</v>
      </c>
      <c r="P122" s="168" t="str">
        <f t="shared" si="739"/>
        <v>2,29,610</v>
      </c>
      <c r="Q122" s="11" t="str">
        <f t="shared" si="493"/>
        <v>2</v>
      </c>
      <c r="R122" s="11" t="str">
        <f t="shared" si="494"/>
        <v>29,610</v>
      </c>
      <c r="S122" s="11">
        <f t="shared" si="495"/>
        <v>4.1558333333333336E-2</v>
      </c>
      <c r="T122" s="14">
        <f t="shared" si="496"/>
        <v>2417.8062963705634</v>
      </c>
      <c r="U122" s="37">
        <f t="shared" si="497"/>
        <v>-100</v>
      </c>
      <c r="V122" s="38">
        <f t="shared" ref="V122:W122" si="740">V121</f>
        <v>21.3</v>
      </c>
      <c r="W122" s="124">
        <f t="shared" si="740"/>
        <v>1.0960000000000001</v>
      </c>
      <c r="X122" s="124">
        <f t="shared" si="649"/>
        <v>1.0880000000000001</v>
      </c>
      <c r="Y122" s="41"/>
      <c r="Z122" s="41"/>
      <c r="AA122" s="90">
        <f t="shared" ref="AA122:AB122" si="741">AA121</f>
        <v>5.01</v>
      </c>
      <c r="AB122" s="73" t="str">
        <f t="shared" si="741"/>
        <v>11,15,880</v>
      </c>
      <c r="AC122" s="11" t="str">
        <f t="shared" si="500"/>
        <v>11</v>
      </c>
      <c r="AD122" s="11" t="str">
        <f t="shared" si="501"/>
        <v>15,880</v>
      </c>
      <c r="AE122" s="11">
        <f t="shared" si="502"/>
        <v>0.18774444444444444</v>
      </c>
      <c r="AF122" s="14">
        <f t="shared" si="503"/>
        <v>26.685210392377346</v>
      </c>
      <c r="AG122" s="39">
        <f t="shared" si="504"/>
        <v>-100</v>
      </c>
      <c r="AH122" s="38">
        <f t="shared" si="657"/>
        <v>18.399999999999999</v>
      </c>
      <c r="AI122" s="124">
        <f t="shared" si="657"/>
        <v>1.0980000000000001</v>
      </c>
      <c r="AJ122" s="124">
        <f t="shared" si="657"/>
        <v>1.087</v>
      </c>
      <c r="AK122" s="41">
        <f t="shared" si="505"/>
        <v>0</v>
      </c>
      <c r="AL122" s="41"/>
      <c r="AM122" s="34">
        <f t="shared" ref="AM122:AN122" si="742">AM121</f>
        <v>2.0049999999999999</v>
      </c>
      <c r="AN122" s="33" t="str">
        <f t="shared" si="742"/>
        <v>7,19,050</v>
      </c>
      <c r="AO122" s="11" t="str">
        <f t="shared" si="507"/>
        <v>7,</v>
      </c>
      <c r="AP122" s="11" t="str">
        <f t="shared" si="508"/>
        <v>19,050</v>
      </c>
      <c r="AQ122" s="11">
        <f t="shared" si="509"/>
        <v>0.12195833333333334</v>
      </c>
      <c r="AR122" s="14">
        <f t="shared" si="510"/>
        <v>16.44004099760847</v>
      </c>
      <c r="AS122" s="39">
        <f t="shared" si="511"/>
        <v>-100</v>
      </c>
      <c r="AT122" s="40" t="str">
        <f t="shared" si="512"/>
        <v>NO CONFORME</v>
      </c>
      <c r="AU122" s="8" t="b">
        <f t="shared" si="434"/>
        <v>1</v>
      </c>
      <c r="AV122" s="8" t="b">
        <f t="shared" si="435"/>
        <v>0</v>
      </c>
      <c r="AW122" s="8" t="b">
        <f t="shared" si="436"/>
        <v>1</v>
      </c>
      <c r="AX122" s="8" t="str">
        <f t="shared" si="437"/>
        <v>Qcorrecto</v>
      </c>
      <c r="AY122" s="22" t="str">
        <f t="shared" si="417"/>
        <v>aceptable</v>
      </c>
      <c r="AZ122" s="22" t="str">
        <f t="shared" si="418"/>
        <v>aceptable</v>
      </c>
      <c r="BA122" s="22" t="str">
        <f t="shared" si="438"/>
        <v>aceptable</v>
      </c>
      <c r="BB122" s="25" t="str">
        <f t="shared" si="439"/>
        <v>NO CONFORME</v>
      </c>
      <c r="BC122" s="5" t="str">
        <f t="shared" si="440"/>
        <v>NO CONFORME</v>
      </c>
      <c r="BD122" s="15">
        <f t="shared" si="419"/>
        <v>-1</v>
      </c>
      <c r="BE122" s="15">
        <f t="shared" si="420"/>
        <v>-1</v>
      </c>
      <c r="BF122" s="15">
        <f t="shared" si="421"/>
        <v>-1</v>
      </c>
      <c r="BG122" s="15" t="str">
        <f t="shared" si="422"/>
        <v>-1-1-1</v>
      </c>
      <c r="BH122" s="15" t="str">
        <f t="shared" si="423"/>
        <v>SD</v>
      </c>
      <c r="BI122" s="15" t="str">
        <f t="shared" si="424"/>
        <v>SI</v>
      </c>
      <c r="BJ122" s="15" t="b">
        <f t="shared" si="425"/>
        <v>1</v>
      </c>
      <c r="BK122" s="15" t="str">
        <f t="shared" si="426"/>
        <v>SIGIGUALES</v>
      </c>
      <c r="BL122" s="22" t="str">
        <f t="shared" si="427"/>
        <v>NO CONFORME</v>
      </c>
    </row>
    <row r="123" spans="1:64" ht="14.4" x14ac:dyDescent="0.3">
      <c r="A123" s="91">
        <v>115</v>
      </c>
      <c r="B123" s="28">
        <f t="shared" ref="B123:E123" si="743">B122</f>
        <v>45920</v>
      </c>
      <c r="C123" s="28">
        <f t="shared" si="743"/>
        <v>45920</v>
      </c>
      <c r="D123" s="12">
        <f t="shared" si="743"/>
        <v>3</v>
      </c>
      <c r="E123" s="10">
        <f t="shared" si="743"/>
        <v>8</v>
      </c>
      <c r="F123" s="13"/>
      <c r="G123" s="157"/>
      <c r="H123" s="70">
        <f t="shared" ref="H123:L123" si="744">H122</f>
        <v>25.6</v>
      </c>
      <c r="I123" s="36">
        <f t="shared" si="744"/>
        <v>0</v>
      </c>
      <c r="J123" s="35">
        <f t="shared" si="744"/>
        <v>20.9</v>
      </c>
      <c r="K123" s="122">
        <f t="shared" si="744"/>
        <v>8.4730000000000008</v>
      </c>
      <c r="L123" s="122">
        <f t="shared" si="744"/>
        <v>0.52100000000000002</v>
      </c>
      <c r="M123" s="41"/>
      <c r="N123" s="41"/>
      <c r="O123" s="32">
        <f t="shared" ref="O123:P123" si="745">O122</f>
        <v>100.48</v>
      </c>
      <c r="P123" s="168" t="str">
        <f t="shared" si="745"/>
        <v>2,29,610</v>
      </c>
      <c r="Q123" s="11" t="str">
        <f t="shared" si="493"/>
        <v>2</v>
      </c>
      <c r="R123" s="11" t="str">
        <f t="shared" si="494"/>
        <v>29,610</v>
      </c>
      <c r="S123" s="11">
        <f t="shared" si="495"/>
        <v>4.1558333333333336E-2</v>
      </c>
      <c r="T123" s="14">
        <f t="shared" si="496"/>
        <v>2417.8062963705634</v>
      </c>
      <c r="U123" s="37">
        <f t="shared" si="497"/>
        <v>-100</v>
      </c>
      <c r="V123" s="38">
        <f t="shared" ref="V123:X138" si="746">V122</f>
        <v>21.3</v>
      </c>
      <c r="W123" s="124">
        <f t="shared" si="746"/>
        <v>1.0960000000000001</v>
      </c>
      <c r="X123" s="124">
        <f t="shared" si="746"/>
        <v>1.0880000000000001</v>
      </c>
      <c r="Y123" s="41"/>
      <c r="Z123" s="41"/>
      <c r="AA123" s="90">
        <f t="shared" ref="AA123:AB123" si="747">AA122</f>
        <v>5.01</v>
      </c>
      <c r="AB123" s="73" t="str">
        <f t="shared" si="747"/>
        <v>11,15,880</v>
      </c>
      <c r="AC123" s="11" t="str">
        <f t="shared" si="500"/>
        <v>11</v>
      </c>
      <c r="AD123" s="11" t="str">
        <f t="shared" si="501"/>
        <v>15,880</v>
      </c>
      <c r="AE123" s="11">
        <f t="shared" si="502"/>
        <v>0.18774444444444444</v>
      </c>
      <c r="AF123" s="14">
        <f t="shared" si="503"/>
        <v>26.685210392377346</v>
      </c>
      <c r="AG123" s="39">
        <f t="shared" si="504"/>
        <v>-100</v>
      </c>
      <c r="AH123" s="38">
        <f t="shared" si="657"/>
        <v>18.399999999999999</v>
      </c>
      <c r="AI123" s="124">
        <f t="shared" si="657"/>
        <v>1.0980000000000001</v>
      </c>
      <c r="AJ123" s="124">
        <f t="shared" si="657"/>
        <v>1.087</v>
      </c>
      <c r="AK123" s="41">
        <f t="shared" si="505"/>
        <v>0</v>
      </c>
      <c r="AL123" s="41"/>
      <c r="AM123" s="34">
        <f t="shared" ref="AM123:AN123" si="748">AM122</f>
        <v>2.0049999999999999</v>
      </c>
      <c r="AN123" s="33" t="str">
        <f t="shared" si="748"/>
        <v>7,19,050</v>
      </c>
      <c r="AO123" s="11" t="str">
        <f t="shared" si="507"/>
        <v>7,</v>
      </c>
      <c r="AP123" s="11" t="str">
        <f t="shared" si="508"/>
        <v>19,050</v>
      </c>
      <c r="AQ123" s="11">
        <f t="shared" si="509"/>
        <v>0.12195833333333334</v>
      </c>
      <c r="AR123" s="14">
        <f t="shared" si="510"/>
        <v>16.44004099760847</v>
      </c>
      <c r="AS123" s="39">
        <f t="shared" si="511"/>
        <v>-100</v>
      </c>
      <c r="AT123" s="40" t="str">
        <f t="shared" si="512"/>
        <v>NO CONFORME</v>
      </c>
      <c r="AU123" s="8" t="b">
        <f t="shared" si="434"/>
        <v>1</v>
      </c>
      <c r="AV123" s="8" t="b">
        <f t="shared" si="435"/>
        <v>0</v>
      </c>
      <c r="AW123" s="8" t="b">
        <f t="shared" si="436"/>
        <v>1</v>
      </c>
      <c r="AX123" s="8" t="str">
        <f t="shared" si="437"/>
        <v>Qcorrecto</v>
      </c>
      <c r="AY123" s="22" t="str">
        <f t="shared" si="417"/>
        <v>aceptable</v>
      </c>
      <c r="AZ123" s="22" t="str">
        <f t="shared" si="418"/>
        <v>aceptable</v>
      </c>
      <c r="BA123" s="22" t="str">
        <f t="shared" si="438"/>
        <v>aceptable</v>
      </c>
      <c r="BB123" s="25" t="str">
        <f t="shared" si="439"/>
        <v>NO CONFORME</v>
      </c>
      <c r="BC123" s="5" t="str">
        <f t="shared" si="440"/>
        <v>NO CONFORME</v>
      </c>
      <c r="BD123" s="15">
        <f t="shared" si="419"/>
        <v>-1</v>
      </c>
      <c r="BE123" s="15">
        <f t="shared" si="420"/>
        <v>-1</v>
      </c>
      <c r="BF123" s="15">
        <f t="shared" si="421"/>
        <v>-1</v>
      </c>
      <c r="BG123" s="15" t="str">
        <f t="shared" si="422"/>
        <v>-1-1-1</v>
      </c>
      <c r="BH123" s="15" t="str">
        <f t="shared" si="423"/>
        <v>SD</v>
      </c>
      <c r="BI123" s="15" t="str">
        <f t="shared" si="424"/>
        <v>SI</v>
      </c>
      <c r="BJ123" s="15" t="b">
        <f t="shared" si="425"/>
        <v>1</v>
      </c>
      <c r="BK123" s="15" t="str">
        <f t="shared" si="426"/>
        <v>SIGIGUALES</v>
      </c>
      <c r="BL123" s="22" t="str">
        <f t="shared" si="427"/>
        <v>NO CONFORME</v>
      </c>
    </row>
    <row r="124" spans="1:64" ht="14.4" x14ac:dyDescent="0.3">
      <c r="A124" s="91">
        <v>116</v>
      </c>
      <c r="B124" s="28">
        <f t="shared" ref="B124:E124" si="749">B123</f>
        <v>45920</v>
      </c>
      <c r="C124" s="28">
        <f t="shared" si="749"/>
        <v>45920</v>
      </c>
      <c r="D124" s="12">
        <f t="shared" si="749"/>
        <v>3</v>
      </c>
      <c r="E124" s="10">
        <f t="shared" si="749"/>
        <v>8</v>
      </c>
      <c r="F124" s="13"/>
      <c r="G124" s="157"/>
      <c r="H124" s="70">
        <f t="shared" ref="H124:L124" si="750">H123</f>
        <v>25.6</v>
      </c>
      <c r="I124" s="36">
        <f t="shared" si="750"/>
        <v>0</v>
      </c>
      <c r="J124" s="35">
        <f t="shared" si="750"/>
        <v>20.9</v>
      </c>
      <c r="K124" s="122">
        <f t="shared" si="750"/>
        <v>8.4730000000000008</v>
      </c>
      <c r="L124" s="122">
        <f t="shared" si="750"/>
        <v>0.52100000000000002</v>
      </c>
      <c r="M124" s="41"/>
      <c r="N124" s="41"/>
      <c r="O124" s="32">
        <f t="shared" ref="O124:P124" si="751">O123</f>
        <v>100.48</v>
      </c>
      <c r="P124" s="168" t="str">
        <f t="shared" si="751"/>
        <v>2,29,610</v>
      </c>
      <c r="Q124" s="11" t="str">
        <f t="shared" si="493"/>
        <v>2</v>
      </c>
      <c r="R124" s="11" t="str">
        <f t="shared" si="494"/>
        <v>29,610</v>
      </c>
      <c r="S124" s="11">
        <f t="shared" si="495"/>
        <v>4.1558333333333336E-2</v>
      </c>
      <c r="T124" s="14">
        <f t="shared" si="496"/>
        <v>2417.8062963705634</v>
      </c>
      <c r="U124" s="37">
        <f t="shared" si="497"/>
        <v>-100</v>
      </c>
      <c r="V124" s="38">
        <f t="shared" ref="V124:W124" si="752">V123</f>
        <v>21.3</v>
      </c>
      <c r="W124" s="124">
        <f t="shared" si="752"/>
        <v>1.0960000000000001</v>
      </c>
      <c r="X124" s="124">
        <f t="shared" si="746"/>
        <v>1.0880000000000001</v>
      </c>
      <c r="Y124" s="41"/>
      <c r="Z124" s="41"/>
      <c r="AA124" s="90">
        <f t="shared" ref="AA124:AB124" si="753">AA123</f>
        <v>5.01</v>
      </c>
      <c r="AB124" s="73" t="str">
        <f t="shared" si="753"/>
        <v>11,15,880</v>
      </c>
      <c r="AC124" s="11" t="str">
        <f t="shared" si="500"/>
        <v>11</v>
      </c>
      <c r="AD124" s="11" t="str">
        <f t="shared" si="501"/>
        <v>15,880</v>
      </c>
      <c r="AE124" s="11">
        <f t="shared" si="502"/>
        <v>0.18774444444444444</v>
      </c>
      <c r="AF124" s="14">
        <f t="shared" si="503"/>
        <v>26.685210392377346</v>
      </c>
      <c r="AG124" s="39">
        <f t="shared" si="504"/>
        <v>-100</v>
      </c>
      <c r="AH124" s="38">
        <f t="shared" ref="AH124:AJ139" si="754">AH123</f>
        <v>18.399999999999999</v>
      </c>
      <c r="AI124" s="124">
        <f t="shared" si="754"/>
        <v>1.0980000000000001</v>
      </c>
      <c r="AJ124" s="124">
        <f t="shared" si="754"/>
        <v>1.087</v>
      </c>
      <c r="AK124" s="41">
        <f t="shared" si="505"/>
        <v>0</v>
      </c>
      <c r="AL124" s="41"/>
      <c r="AM124" s="34">
        <f t="shared" ref="AM124:AN124" si="755">AM123</f>
        <v>2.0049999999999999</v>
      </c>
      <c r="AN124" s="33" t="str">
        <f t="shared" si="755"/>
        <v>7,19,050</v>
      </c>
      <c r="AO124" s="11" t="str">
        <f t="shared" si="507"/>
        <v>7,</v>
      </c>
      <c r="AP124" s="11" t="str">
        <f t="shared" si="508"/>
        <v>19,050</v>
      </c>
      <c r="AQ124" s="11">
        <f t="shared" si="509"/>
        <v>0.12195833333333334</v>
      </c>
      <c r="AR124" s="14">
        <f t="shared" si="510"/>
        <v>16.44004099760847</v>
      </c>
      <c r="AS124" s="39">
        <f t="shared" si="511"/>
        <v>-100</v>
      </c>
      <c r="AT124" s="40" t="str">
        <f t="shared" si="512"/>
        <v>NO CONFORME</v>
      </c>
      <c r="AU124" s="8" t="b">
        <f t="shared" si="434"/>
        <v>1</v>
      </c>
      <c r="AV124" s="8" t="b">
        <f t="shared" si="435"/>
        <v>0</v>
      </c>
      <c r="AW124" s="8" t="b">
        <f t="shared" si="436"/>
        <v>1</v>
      </c>
      <c r="AX124" s="8" t="str">
        <f t="shared" si="437"/>
        <v>Qcorrecto</v>
      </c>
      <c r="AY124" s="22" t="str">
        <f t="shared" si="417"/>
        <v>aceptable</v>
      </c>
      <c r="AZ124" s="22" t="str">
        <f t="shared" si="418"/>
        <v>aceptable</v>
      </c>
      <c r="BA124" s="22" t="str">
        <f t="shared" si="438"/>
        <v>aceptable</v>
      </c>
      <c r="BB124" s="25" t="str">
        <f t="shared" si="439"/>
        <v>NO CONFORME</v>
      </c>
      <c r="BC124" s="5" t="str">
        <f t="shared" si="440"/>
        <v>NO CONFORME</v>
      </c>
      <c r="BD124" s="15">
        <f t="shared" si="419"/>
        <v>-1</v>
      </c>
      <c r="BE124" s="15">
        <f t="shared" si="420"/>
        <v>-1</v>
      </c>
      <c r="BF124" s="15">
        <f t="shared" si="421"/>
        <v>-1</v>
      </c>
      <c r="BG124" s="15" t="str">
        <f t="shared" si="422"/>
        <v>-1-1-1</v>
      </c>
      <c r="BH124" s="15" t="str">
        <f t="shared" si="423"/>
        <v>SD</v>
      </c>
      <c r="BI124" s="15" t="str">
        <f t="shared" si="424"/>
        <v>SI</v>
      </c>
      <c r="BJ124" s="15" t="b">
        <f t="shared" si="425"/>
        <v>1</v>
      </c>
      <c r="BK124" s="15" t="str">
        <f t="shared" si="426"/>
        <v>SIGIGUALES</v>
      </c>
      <c r="BL124" s="22" t="str">
        <f t="shared" si="427"/>
        <v>NO CONFORME</v>
      </c>
    </row>
    <row r="125" spans="1:64" ht="14.4" x14ac:dyDescent="0.3">
      <c r="A125" s="91">
        <v>117</v>
      </c>
      <c r="B125" s="28">
        <f t="shared" ref="B125:E125" si="756">B124</f>
        <v>45920</v>
      </c>
      <c r="C125" s="28">
        <f t="shared" si="756"/>
        <v>45920</v>
      </c>
      <c r="D125" s="12">
        <f t="shared" si="756"/>
        <v>3</v>
      </c>
      <c r="E125" s="10">
        <f t="shared" si="756"/>
        <v>8</v>
      </c>
      <c r="F125" s="13"/>
      <c r="G125" s="157"/>
      <c r="H125" s="70">
        <f t="shared" ref="H125:L125" si="757">H124</f>
        <v>25.6</v>
      </c>
      <c r="I125" s="36">
        <f t="shared" si="757"/>
        <v>0</v>
      </c>
      <c r="J125" s="35">
        <f t="shared" si="757"/>
        <v>20.9</v>
      </c>
      <c r="K125" s="122">
        <f t="shared" si="757"/>
        <v>8.4730000000000008</v>
      </c>
      <c r="L125" s="122">
        <f t="shared" si="757"/>
        <v>0.52100000000000002</v>
      </c>
      <c r="M125" s="41"/>
      <c r="N125" s="41"/>
      <c r="O125" s="32">
        <f t="shared" ref="O125:P125" si="758">O124</f>
        <v>100.48</v>
      </c>
      <c r="P125" s="168" t="str">
        <f t="shared" si="758"/>
        <v>2,29,610</v>
      </c>
      <c r="Q125" s="11" t="str">
        <f t="shared" si="493"/>
        <v>2</v>
      </c>
      <c r="R125" s="11" t="str">
        <f t="shared" si="494"/>
        <v>29,610</v>
      </c>
      <c r="S125" s="11">
        <f t="shared" si="495"/>
        <v>4.1558333333333336E-2</v>
      </c>
      <c r="T125" s="14">
        <f t="shared" si="496"/>
        <v>2417.8062963705634</v>
      </c>
      <c r="U125" s="37">
        <f t="shared" si="497"/>
        <v>-100</v>
      </c>
      <c r="V125" s="38">
        <f t="shared" ref="V125:W125" si="759">V124</f>
        <v>21.3</v>
      </c>
      <c r="W125" s="124">
        <f t="shared" si="759"/>
        <v>1.0960000000000001</v>
      </c>
      <c r="X125" s="124">
        <f t="shared" si="746"/>
        <v>1.0880000000000001</v>
      </c>
      <c r="Y125" s="41"/>
      <c r="Z125" s="41"/>
      <c r="AA125" s="90">
        <f t="shared" ref="AA125:AB125" si="760">AA124</f>
        <v>5.01</v>
      </c>
      <c r="AB125" s="73" t="str">
        <f t="shared" si="760"/>
        <v>11,15,880</v>
      </c>
      <c r="AC125" s="11" t="str">
        <f t="shared" si="500"/>
        <v>11</v>
      </c>
      <c r="AD125" s="11" t="str">
        <f t="shared" si="501"/>
        <v>15,880</v>
      </c>
      <c r="AE125" s="11">
        <f t="shared" si="502"/>
        <v>0.18774444444444444</v>
      </c>
      <c r="AF125" s="14">
        <f t="shared" si="503"/>
        <v>26.685210392377346</v>
      </c>
      <c r="AG125" s="39">
        <f t="shared" si="504"/>
        <v>-100</v>
      </c>
      <c r="AH125" s="38">
        <f t="shared" si="754"/>
        <v>18.399999999999999</v>
      </c>
      <c r="AI125" s="124">
        <f t="shared" si="754"/>
        <v>1.0980000000000001</v>
      </c>
      <c r="AJ125" s="124">
        <f t="shared" si="754"/>
        <v>1.087</v>
      </c>
      <c r="AK125" s="41">
        <f t="shared" si="505"/>
        <v>0</v>
      </c>
      <c r="AL125" s="41"/>
      <c r="AM125" s="34">
        <f t="shared" ref="AM125:AN125" si="761">AM124</f>
        <v>2.0049999999999999</v>
      </c>
      <c r="AN125" s="33" t="str">
        <f t="shared" si="761"/>
        <v>7,19,050</v>
      </c>
      <c r="AO125" s="11" t="str">
        <f t="shared" si="507"/>
        <v>7,</v>
      </c>
      <c r="AP125" s="11" t="str">
        <f t="shared" si="508"/>
        <v>19,050</v>
      </c>
      <c r="AQ125" s="11">
        <f t="shared" si="509"/>
        <v>0.12195833333333334</v>
      </c>
      <c r="AR125" s="14">
        <f t="shared" si="510"/>
        <v>16.44004099760847</v>
      </c>
      <c r="AS125" s="39">
        <f t="shared" si="511"/>
        <v>-100</v>
      </c>
      <c r="AT125" s="40" t="str">
        <f t="shared" si="512"/>
        <v>NO CONFORME</v>
      </c>
      <c r="AU125" s="8" t="b">
        <f t="shared" si="434"/>
        <v>1</v>
      </c>
      <c r="AV125" s="8" t="b">
        <f t="shared" si="435"/>
        <v>0</v>
      </c>
      <c r="AW125" s="8" t="b">
        <f t="shared" si="436"/>
        <v>1</v>
      </c>
      <c r="AX125" s="8" t="str">
        <f t="shared" si="437"/>
        <v>Qcorrecto</v>
      </c>
      <c r="AY125" s="22" t="str">
        <f t="shared" si="417"/>
        <v>aceptable</v>
      </c>
      <c r="AZ125" s="22" t="str">
        <f t="shared" si="418"/>
        <v>aceptable</v>
      </c>
      <c r="BA125" s="22" t="str">
        <f t="shared" si="438"/>
        <v>aceptable</v>
      </c>
      <c r="BB125" s="25" t="str">
        <f t="shared" si="439"/>
        <v>NO CONFORME</v>
      </c>
      <c r="BC125" s="5" t="str">
        <f t="shared" si="440"/>
        <v>NO CONFORME</v>
      </c>
      <c r="BD125" s="15">
        <f t="shared" si="419"/>
        <v>-1</v>
      </c>
      <c r="BE125" s="15">
        <f t="shared" si="420"/>
        <v>-1</v>
      </c>
      <c r="BF125" s="15">
        <f t="shared" si="421"/>
        <v>-1</v>
      </c>
      <c r="BG125" s="15" t="str">
        <f t="shared" si="422"/>
        <v>-1-1-1</v>
      </c>
      <c r="BH125" s="15" t="str">
        <f t="shared" si="423"/>
        <v>SD</v>
      </c>
      <c r="BI125" s="15" t="str">
        <f t="shared" si="424"/>
        <v>SI</v>
      </c>
      <c r="BJ125" s="15" t="b">
        <f t="shared" si="425"/>
        <v>1</v>
      </c>
      <c r="BK125" s="15" t="str">
        <f t="shared" si="426"/>
        <v>SIGIGUALES</v>
      </c>
      <c r="BL125" s="22" t="str">
        <f t="shared" si="427"/>
        <v>NO CONFORME</v>
      </c>
    </row>
    <row r="126" spans="1:64" ht="14.4" x14ac:dyDescent="0.3">
      <c r="A126" s="91">
        <v>118</v>
      </c>
      <c r="B126" s="28">
        <f t="shared" ref="B126:E126" si="762">B125</f>
        <v>45920</v>
      </c>
      <c r="C126" s="28">
        <f t="shared" si="762"/>
        <v>45920</v>
      </c>
      <c r="D126" s="12">
        <f t="shared" si="762"/>
        <v>3</v>
      </c>
      <c r="E126" s="10">
        <f t="shared" si="762"/>
        <v>8</v>
      </c>
      <c r="F126" s="13"/>
      <c r="G126" s="157"/>
      <c r="H126" s="70">
        <f t="shared" ref="H126:L126" si="763">H125</f>
        <v>25.6</v>
      </c>
      <c r="I126" s="36">
        <f t="shared" si="763"/>
        <v>0</v>
      </c>
      <c r="J126" s="35">
        <f t="shared" si="763"/>
        <v>20.9</v>
      </c>
      <c r="K126" s="122">
        <f t="shared" si="763"/>
        <v>8.4730000000000008</v>
      </c>
      <c r="L126" s="122">
        <f t="shared" si="763"/>
        <v>0.52100000000000002</v>
      </c>
      <c r="M126" s="41"/>
      <c r="N126" s="41"/>
      <c r="O126" s="32">
        <f t="shared" ref="O126:P126" si="764">O125</f>
        <v>100.48</v>
      </c>
      <c r="P126" s="168" t="str">
        <f t="shared" si="764"/>
        <v>2,29,610</v>
      </c>
      <c r="Q126" s="11" t="str">
        <f t="shared" si="493"/>
        <v>2</v>
      </c>
      <c r="R126" s="11" t="str">
        <f t="shared" si="494"/>
        <v>29,610</v>
      </c>
      <c r="S126" s="11">
        <f t="shared" si="495"/>
        <v>4.1558333333333336E-2</v>
      </c>
      <c r="T126" s="14">
        <f t="shared" si="496"/>
        <v>2417.8062963705634</v>
      </c>
      <c r="U126" s="37">
        <f t="shared" si="497"/>
        <v>-100</v>
      </c>
      <c r="V126" s="38">
        <f t="shared" ref="V126:W126" si="765">V125</f>
        <v>21.3</v>
      </c>
      <c r="W126" s="124">
        <f t="shared" si="765"/>
        <v>1.0960000000000001</v>
      </c>
      <c r="X126" s="124">
        <f t="shared" si="746"/>
        <v>1.0880000000000001</v>
      </c>
      <c r="Y126" s="41"/>
      <c r="Z126" s="41"/>
      <c r="AA126" s="90">
        <f t="shared" ref="AA126:AB126" si="766">AA125</f>
        <v>5.01</v>
      </c>
      <c r="AB126" s="73" t="str">
        <f t="shared" si="766"/>
        <v>11,15,880</v>
      </c>
      <c r="AC126" s="11" t="str">
        <f t="shared" si="500"/>
        <v>11</v>
      </c>
      <c r="AD126" s="11" t="str">
        <f t="shared" si="501"/>
        <v>15,880</v>
      </c>
      <c r="AE126" s="11">
        <f t="shared" si="502"/>
        <v>0.18774444444444444</v>
      </c>
      <c r="AF126" s="14">
        <f t="shared" si="503"/>
        <v>26.685210392377346</v>
      </c>
      <c r="AG126" s="39">
        <f t="shared" si="504"/>
        <v>-100</v>
      </c>
      <c r="AH126" s="38">
        <f t="shared" si="754"/>
        <v>18.399999999999999</v>
      </c>
      <c r="AI126" s="124">
        <f t="shared" si="754"/>
        <v>1.0980000000000001</v>
      </c>
      <c r="AJ126" s="124">
        <f t="shared" si="754"/>
        <v>1.087</v>
      </c>
      <c r="AK126" s="41">
        <f t="shared" si="505"/>
        <v>0</v>
      </c>
      <c r="AL126" s="41"/>
      <c r="AM126" s="34">
        <f t="shared" ref="AM126:AN126" si="767">AM125</f>
        <v>2.0049999999999999</v>
      </c>
      <c r="AN126" s="33" t="str">
        <f t="shared" si="767"/>
        <v>7,19,050</v>
      </c>
      <c r="AO126" s="11" t="str">
        <f t="shared" si="507"/>
        <v>7,</v>
      </c>
      <c r="AP126" s="11" t="str">
        <f t="shared" si="508"/>
        <v>19,050</v>
      </c>
      <c r="AQ126" s="11">
        <f t="shared" si="509"/>
        <v>0.12195833333333334</v>
      </c>
      <c r="AR126" s="14">
        <f t="shared" si="510"/>
        <v>16.44004099760847</v>
      </c>
      <c r="AS126" s="39">
        <f t="shared" si="511"/>
        <v>-100</v>
      </c>
      <c r="AT126" s="40" t="str">
        <f t="shared" si="512"/>
        <v>NO CONFORME</v>
      </c>
      <c r="AU126" s="8" t="b">
        <f t="shared" si="434"/>
        <v>1</v>
      </c>
      <c r="AV126" s="8" t="b">
        <f t="shared" si="435"/>
        <v>0</v>
      </c>
      <c r="AW126" s="8" t="b">
        <f t="shared" si="436"/>
        <v>1</v>
      </c>
      <c r="AX126" s="8" t="str">
        <f t="shared" si="437"/>
        <v>Qcorrecto</v>
      </c>
      <c r="AY126" s="22" t="str">
        <f t="shared" si="417"/>
        <v>aceptable</v>
      </c>
      <c r="AZ126" s="22" t="str">
        <f t="shared" si="418"/>
        <v>aceptable</v>
      </c>
      <c r="BA126" s="22" t="str">
        <f t="shared" si="438"/>
        <v>aceptable</v>
      </c>
      <c r="BB126" s="25" t="str">
        <f t="shared" si="439"/>
        <v>NO CONFORME</v>
      </c>
      <c r="BC126" s="5" t="str">
        <f t="shared" si="440"/>
        <v>NO CONFORME</v>
      </c>
      <c r="BD126" s="15">
        <f t="shared" si="419"/>
        <v>-1</v>
      </c>
      <c r="BE126" s="15">
        <f t="shared" si="420"/>
        <v>-1</v>
      </c>
      <c r="BF126" s="15">
        <f t="shared" si="421"/>
        <v>-1</v>
      </c>
      <c r="BG126" s="15" t="str">
        <f t="shared" si="422"/>
        <v>-1-1-1</v>
      </c>
      <c r="BH126" s="15" t="str">
        <f t="shared" si="423"/>
        <v>SD</v>
      </c>
      <c r="BI126" s="15" t="str">
        <f t="shared" si="424"/>
        <v>SI</v>
      </c>
      <c r="BJ126" s="15" t="b">
        <f t="shared" si="425"/>
        <v>1</v>
      </c>
      <c r="BK126" s="15" t="str">
        <f t="shared" si="426"/>
        <v>SIGIGUALES</v>
      </c>
      <c r="BL126" s="22" t="str">
        <f t="shared" si="427"/>
        <v>NO CONFORME</v>
      </c>
    </row>
    <row r="127" spans="1:64" ht="14.4" x14ac:dyDescent="0.3">
      <c r="A127" s="91">
        <v>119</v>
      </c>
      <c r="B127" s="28">
        <f t="shared" ref="B127:E127" si="768">B126</f>
        <v>45920</v>
      </c>
      <c r="C127" s="28">
        <f t="shared" si="768"/>
        <v>45920</v>
      </c>
      <c r="D127" s="12">
        <f t="shared" si="768"/>
        <v>3</v>
      </c>
      <c r="E127" s="10">
        <f t="shared" si="768"/>
        <v>8</v>
      </c>
      <c r="F127" s="13"/>
      <c r="G127" s="157"/>
      <c r="H127" s="70">
        <f t="shared" ref="H127:L127" si="769">H126</f>
        <v>25.6</v>
      </c>
      <c r="I127" s="36">
        <f t="shared" si="769"/>
        <v>0</v>
      </c>
      <c r="J127" s="35">
        <f t="shared" si="769"/>
        <v>20.9</v>
      </c>
      <c r="K127" s="122">
        <f t="shared" si="769"/>
        <v>8.4730000000000008</v>
      </c>
      <c r="L127" s="122">
        <f t="shared" si="769"/>
        <v>0.52100000000000002</v>
      </c>
      <c r="M127" s="41"/>
      <c r="N127" s="41"/>
      <c r="O127" s="32">
        <f t="shared" ref="O127:P127" si="770">O126</f>
        <v>100.48</v>
      </c>
      <c r="P127" s="168" t="str">
        <f t="shared" si="770"/>
        <v>2,29,610</v>
      </c>
      <c r="Q127" s="11" t="str">
        <f t="shared" si="493"/>
        <v>2</v>
      </c>
      <c r="R127" s="11" t="str">
        <f t="shared" si="494"/>
        <v>29,610</v>
      </c>
      <c r="S127" s="11">
        <f t="shared" si="495"/>
        <v>4.1558333333333336E-2</v>
      </c>
      <c r="T127" s="14">
        <f t="shared" si="496"/>
        <v>2417.8062963705634</v>
      </c>
      <c r="U127" s="37">
        <f t="shared" si="497"/>
        <v>-100</v>
      </c>
      <c r="V127" s="38">
        <f t="shared" ref="V127:W127" si="771">V126</f>
        <v>21.3</v>
      </c>
      <c r="W127" s="124">
        <f t="shared" si="771"/>
        <v>1.0960000000000001</v>
      </c>
      <c r="X127" s="124">
        <f t="shared" si="746"/>
        <v>1.0880000000000001</v>
      </c>
      <c r="Y127" s="41"/>
      <c r="Z127" s="41"/>
      <c r="AA127" s="90">
        <f t="shared" ref="AA127:AB127" si="772">AA126</f>
        <v>5.01</v>
      </c>
      <c r="AB127" s="73" t="str">
        <f t="shared" si="772"/>
        <v>11,15,880</v>
      </c>
      <c r="AC127" s="11" t="str">
        <f t="shared" si="500"/>
        <v>11</v>
      </c>
      <c r="AD127" s="11" t="str">
        <f t="shared" si="501"/>
        <v>15,880</v>
      </c>
      <c r="AE127" s="11">
        <f t="shared" si="502"/>
        <v>0.18774444444444444</v>
      </c>
      <c r="AF127" s="14">
        <f t="shared" si="503"/>
        <v>26.685210392377346</v>
      </c>
      <c r="AG127" s="39">
        <f t="shared" si="504"/>
        <v>-100</v>
      </c>
      <c r="AH127" s="38">
        <f t="shared" si="754"/>
        <v>18.399999999999999</v>
      </c>
      <c r="AI127" s="124">
        <f t="shared" si="754"/>
        <v>1.0980000000000001</v>
      </c>
      <c r="AJ127" s="124">
        <f t="shared" si="754"/>
        <v>1.087</v>
      </c>
      <c r="AK127" s="41">
        <f t="shared" si="505"/>
        <v>0</v>
      </c>
      <c r="AL127" s="41"/>
      <c r="AM127" s="34">
        <f t="shared" ref="AM127:AN127" si="773">AM126</f>
        <v>2.0049999999999999</v>
      </c>
      <c r="AN127" s="33" t="str">
        <f t="shared" si="773"/>
        <v>7,19,050</v>
      </c>
      <c r="AO127" s="11" t="str">
        <f t="shared" si="507"/>
        <v>7,</v>
      </c>
      <c r="AP127" s="11" t="str">
        <f t="shared" si="508"/>
        <v>19,050</v>
      </c>
      <c r="AQ127" s="11">
        <f t="shared" si="509"/>
        <v>0.12195833333333334</v>
      </c>
      <c r="AR127" s="14">
        <f t="shared" si="510"/>
        <v>16.44004099760847</v>
      </c>
      <c r="AS127" s="39">
        <f t="shared" si="511"/>
        <v>-100</v>
      </c>
      <c r="AT127" s="40" t="str">
        <f t="shared" si="512"/>
        <v>NO CONFORME</v>
      </c>
      <c r="AU127" s="8" t="b">
        <f t="shared" si="434"/>
        <v>1</v>
      </c>
      <c r="AV127" s="8" t="b">
        <f t="shared" si="435"/>
        <v>0</v>
      </c>
      <c r="AW127" s="8" t="b">
        <f t="shared" si="436"/>
        <v>1</v>
      </c>
      <c r="AX127" s="8" t="str">
        <f t="shared" si="437"/>
        <v>Qcorrecto</v>
      </c>
      <c r="AY127" s="22" t="str">
        <f t="shared" si="417"/>
        <v>aceptable</v>
      </c>
      <c r="AZ127" s="22" t="str">
        <f t="shared" si="418"/>
        <v>aceptable</v>
      </c>
      <c r="BA127" s="22" t="str">
        <f t="shared" si="438"/>
        <v>aceptable</v>
      </c>
      <c r="BB127" s="25" t="str">
        <f t="shared" si="439"/>
        <v>NO CONFORME</v>
      </c>
      <c r="BC127" s="5" t="str">
        <f t="shared" si="440"/>
        <v>NO CONFORME</v>
      </c>
      <c r="BD127" s="15">
        <f t="shared" si="419"/>
        <v>-1</v>
      </c>
      <c r="BE127" s="15">
        <f t="shared" si="420"/>
        <v>-1</v>
      </c>
      <c r="BF127" s="15">
        <f t="shared" si="421"/>
        <v>-1</v>
      </c>
      <c r="BG127" s="15" t="str">
        <f t="shared" si="422"/>
        <v>-1-1-1</v>
      </c>
      <c r="BH127" s="15" t="str">
        <f t="shared" si="423"/>
        <v>SD</v>
      </c>
      <c r="BI127" s="15" t="str">
        <f t="shared" si="424"/>
        <v>SI</v>
      </c>
      <c r="BJ127" s="15" t="b">
        <f t="shared" si="425"/>
        <v>1</v>
      </c>
      <c r="BK127" s="15" t="str">
        <f t="shared" si="426"/>
        <v>SIGIGUALES</v>
      </c>
      <c r="BL127" s="22" t="str">
        <f t="shared" si="427"/>
        <v>NO CONFORME</v>
      </c>
    </row>
    <row r="128" spans="1:64" ht="14.4" x14ac:dyDescent="0.3">
      <c r="A128" s="91">
        <v>120</v>
      </c>
      <c r="B128" s="28">
        <f t="shared" ref="B128:E128" si="774">B127</f>
        <v>45920</v>
      </c>
      <c r="C128" s="28">
        <f t="shared" si="774"/>
        <v>45920</v>
      </c>
      <c r="D128" s="12">
        <f t="shared" si="774"/>
        <v>3</v>
      </c>
      <c r="E128" s="10">
        <f t="shared" si="774"/>
        <v>8</v>
      </c>
      <c r="F128" s="13"/>
      <c r="G128" s="157"/>
      <c r="H128" s="70">
        <f t="shared" ref="H128:L128" si="775">H127</f>
        <v>25.6</v>
      </c>
      <c r="I128" s="36">
        <f t="shared" si="775"/>
        <v>0</v>
      </c>
      <c r="J128" s="35">
        <f t="shared" si="775"/>
        <v>20.9</v>
      </c>
      <c r="K128" s="122">
        <f t="shared" si="775"/>
        <v>8.4730000000000008</v>
      </c>
      <c r="L128" s="122">
        <f t="shared" si="775"/>
        <v>0.52100000000000002</v>
      </c>
      <c r="M128" s="41"/>
      <c r="N128" s="41"/>
      <c r="O128" s="32">
        <f t="shared" ref="O128:P128" si="776">O127</f>
        <v>100.48</v>
      </c>
      <c r="P128" s="168" t="str">
        <f t="shared" si="776"/>
        <v>2,29,610</v>
      </c>
      <c r="Q128" s="11" t="str">
        <f t="shared" si="493"/>
        <v>2</v>
      </c>
      <c r="R128" s="11" t="str">
        <f t="shared" si="494"/>
        <v>29,610</v>
      </c>
      <c r="S128" s="11">
        <f t="shared" si="495"/>
        <v>4.1558333333333336E-2</v>
      </c>
      <c r="T128" s="14">
        <f t="shared" si="496"/>
        <v>2417.8062963705634</v>
      </c>
      <c r="U128" s="37">
        <f t="shared" si="497"/>
        <v>-100</v>
      </c>
      <c r="V128" s="38">
        <f t="shared" ref="V128:W128" si="777">V127</f>
        <v>21.3</v>
      </c>
      <c r="W128" s="124">
        <f t="shared" si="777"/>
        <v>1.0960000000000001</v>
      </c>
      <c r="X128" s="124">
        <f t="shared" si="746"/>
        <v>1.0880000000000001</v>
      </c>
      <c r="Y128" s="41"/>
      <c r="Z128" s="41"/>
      <c r="AA128" s="90">
        <f t="shared" ref="AA128:AB128" si="778">AA127</f>
        <v>5.01</v>
      </c>
      <c r="AB128" s="73" t="str">
        <f t="shared" si="778"/>
        <v>11,15,880</v>
      </c>
      <c r="AC128" s="11" t="str">
        <f t="shared" si="500"/>
        <v>11</v>
      </c>
      <c r="AD128" s="11" t="str">
        <f t="shared" si="501"/>
        <v>15,880</v>
      </c>
      <c r="AE128" s="11">
        <f t="shared" si="502"/>
        <v>0.18774444444444444</v>
      </c>
      <c r="AF128" s="14">
        <f t="shared" si="503"/>
        <v>26.685210392377346</v>
      </c>
      <c r="AG128" s="39">
        <f t="shared" si="504"/>
        <v>-100</v>
      </c>
      <c r="AH128" s="38">
        <f t="shared" si="754"/>
        <v>18.399999999999999</v>
      </c>
      <c r="AI128" s="124">
        <f t="shared" si="754"/>
        <v>1.0980000000000001</v>
      </c>
      <c r="AJ128" s="124">
        <f t="shared" si="754"/>
        <v>1.087</v>
      </c>
      <c r="AK128" s="41">
        <f t="shared" si="505"/>
        <v>0</v>
      </c>
      <c r="AL128" s="41"/>
      <c r="AM128" s="34">
        <f t="shared" ref="AM128:AN128" si="779">AM127</f>
        <v>2.0049999999999999</v>
      </c>
      <c r="AN128" s="33" t="str">
        <f t="shared" si="779"/>
        <v>7,19,050</v>
      </c>
      <c r="AO128" s="11" t="str">
        <f t="shared" si="507"/>
        <v>7,</v>
      </c>
      <c r="AP128" s="11" t="str">
        <f t="shared" si="508"/>
        <v>19,050</v>
      </c>
      <c r="AQ128" s="11">
        <f t="shared" si="509"/>
        <v>0.12195833333333334</v>
      </c>
      <c r="AR128" s="14">
        <f t="shared" si="510"/>
        <v>16.44004099760847</v>
      </c>
      <c r="AS128" s="39">
        <f t="shared" si="511"/>
        <v>-100</v>
      </c>
      <c r="AT128" s="40" t="str">
        <f t="shared" si="512"/>
        <v>NO CONFORME</v>
      </c>
      <c r="AU128" s="8" t="b">
        <f t="shared" si="434"/>
        <v>1</v>
      </c>
      <c r="AV128" s="8" t="b">
        <f t="shared" si="435"/>
        <v>0</v>
      </c>
      <c r="AW128" s="8" t="b">
        <f t="shared" si="436"/>
        <v>1</v>
      </c>
      <c r="AX128" s="8" t="str">
        <f t="shared" si="437"/>
        <v>Qcorrecto</v>
      </c>
      <c r="AY128" s="22" t="str">
        <f t="shared" si="417"/>
        <v>aceptable</v>
      </c>
      <c r="AZ128" s="22" t="str">
        <f t="shared" si="418"/>
        <v>aceptable</v>
      </c>
      <c r="BA128" s="22" t="str">
        <f t="shared" si="438"/>
        <v>aceptable</v>
      </c>
      <c r="BB128" s="25" t="str">
        <f t="shared" si="439"/>
        <v>NO CONFORME</v>
      </c>
      <c r="BC128" s="5" t="str">
        <f t="shared" si="440"/>
        <v>NO CONFORME</v>
      </c>
      <c r="BD128" s="15">
        <f t="shared" si="419"/>
        <v>-1</v>
      </c>
      <c r="BE128" s="15">
        <f t="shared" si="420"/>
        <v>-1</v>
      </c>
      <c r="BF128" s="15">
        <f t="shared" si="421"/>
        <v>-1</v>
      </c>
      <c r="BG128" s="15" t="str">
        <f t="shared" si="422"/>
        <v>-1-1-1</v>
      </c>
      <c r="BH128" s="15" t="str">
        <f t="shared" si="423"/>
        <v>SD</v>
      </c>
      <c r="BI128" s="15" t="str">
        <f t="shared" si="424"/>
        <v>SI</v>
      </c>
      <c r="BJ128" s="15" t="b">
        <f t="shared" si="425"/>
        <v>1</v>
      </c>
      <c r="BK128" s="15" t="str">
        <f t="shared" si="426"/>
        <v>SIGIGUALES</v>
      </c>
      <c r="BL128" s="22" t="str">
        <f t="shared" si="427"/>
        <v>NO CONFORME</v>
      </c>
    </row>
    <row r="129" spans="1:64" ht="14.4" x14ac:dyDescent="0.3">
      <c r="A129" s="91">
        <v>121</v>
      </c>
      <c r="B129" s="28">
        <f t="shared" ref="B129:E129" si="780">B128</f>
        <v>45920</v>
      </c>
      <c r="C129" s="28">
        <f t="shared" si="780"/>
        <v>45920</v>
      </c>
      <c r="D129" s="12">
        <f t="shared" si="780"/>
        <v>3</v>
      </c>
      <c r="E129" s="10">
        <f t="shared" si="780"/>
        <v>8</v>
      </c>
      <c r="F129" s="13"/>
      <c r="G129" s="157"/>
      <c r="H129" s="70">
        <f t="shared" ref="H129:L129" si="781">H128</f>
        <v>25.6</v>
      </c>
      <c r="I129" s="36">
        <f t="shared" si="781"/>
        <v>0</v>
      </c>
      <c r="J129" s="35">
        <f t="shared" si="781"/>
        <v>20.9</v>
      </c>
      <c r="K129" s="122">
        <f t="shared" si="781"/>
        <v>8.4730000000000008</v>
      </c>
      <c r="L129" s="122">
        <f t="shared" si="781"/>
        <v>0.52100000000000002</v>
      </c>
      <c r="M129" s="41"/>
      <c r="N129" s="41"/>
      <c r="O129" s="32">
        <f t="shared" ref="O129:P129" si="782">O128</f>
        <v>100.48</v>
      </c>
      <c r="P129" s="168" t="str">
        <f t="shared" si="782"/>
        <v>2,29,610</v>
      </c>
      <c r="Q129" s="11" t="str">
        <f t="shared" si="493"/>
        <v>2</v>
      </c>
      <c r="R129" s="11" t="str">
        <f t="shared" si="494"/>
        <v>29,610</v>
      </c>
      <c r="S129" s="11">
        <f t="shared" si="495"/>
        <v>4.1558333333333336E-2</v>
      </c>
      <c r="T129" s="14">
        <f t="shared" si="496"/>
        <v>2417.8062963705634</v>
      </c>
      <c r="U129" s="37">
        <f t="shared" si="497"/>
        <v>-100</v>
      </c>
      <c r="V129" s="38">
        <f t="shared" ref="V129:W129" si="783">V128</f>
        <v>21.3</v>
      </c>
      <c r="W129" s="124">
        <f t="shared" si="783"/>
        <v>1.0960000000000001</v>
      </c>
      <c r="X129" s="124">
        <f t="shared" si="746"/>
        <v>1.0880000000000001</v>
      </c>
      <c r="Y129" s="41"/>
      <c r="Z129" s="41"/>
      <c r="AA129" s="90">
        <f t="shared" ref="AA129:AB129" si="784">AA128</f>
        <v>5.01</v>
      </c>
      <c r="AB129" s="73" t="str">
        <f t="shared" si="784"/>
        <v>11,15,880</v>
      </c>
      <c r="AC129" s="11" t="str">
        <f t="shared" si="500"/>
        <v>11</v>
      </c>
      <c r="AD129" s="11" t="str">
        <f t="shared" si="501"/>
        <v>15,880</v>
      </c>
      <c r="AE129" s="11">
        <f t="shared" si="502"/>
        <v>0.18774444444444444</v>
      </c>
      <c r="AF129" s="14">
        <f t="shared" si="503"/>
        <v>26.685210392377346</v>
      </c>
      <c r="AG129" s="39">
        <f t="shared" si="504"/>
        <v>-100</v>
      </c>
      <c r="AH129" s="38">
        <f t="shared" si="754"/>
        <v>18.399999999999999</v>
      </c>
      <c r="AI129" s="124">
        <f t="shared" si="754"/>
        <v>1.0980000000000001</v>
      </c>
      <c r="AJ129" s="124">
        <f t="shared" si="754"/>
        <v>1.087</v>
      </c>
      <c r="AK129" s="41">
        <f t="shared" si="505"/>
        <v>0</v>
      </c>
      <c r="AL129" s="41"/>
      <c r="AM129" s="34">
        <f t="shared" ref="AM129:AN129" si="785">AM128</f>
        <v>2.0049999999999999</v>
      </c>
      <c r="AN129" s="33" t="str">
        <f t="shared" si="785"/>
        <v>7,19,050</v>
      </c>
      <c r="AO129" s="11" t="str">
        <f t="shared" si="507"/>
        <v>7,</v>
      </c>
      <c r="AP129" s="11" t="str">
        <f t="shared" si="508"/>
        <v>19,050</v>
      </c>
      <c r="AQ129" s="11">
        <f t="shared" si="509"/>
        <v>0.12195833333333334</v>
      </c>
      <c r="AR129" s="14">
        <f t="shared" si="510"/>
        <v>16.44004099760847</v>
      </c>
      <c r="AS129" s="39">
        <f t="shared" si="511"/>
        <v>-100</v>
      </c>
      <c r="AT129" s="40" t="str">
        <f t="shared" si="512"/>
        <v>NO CONFORME</v>
      </c>
      <c r="AU129" s="8" t="b">
        <f t="shared" si="434"/>
        <v>1</v>
      </c>
      <c r="AV129" s="8" t="b">
        <f t="shared" si="435"/>
        <v>0</v>
      </c>
      <c r="AW129" s="8" t="b">
        <f t="shared" si="436"/>
        <v>1</v>
      </c>
      <c r="AX129" s="8" t="str">
        <f t="shared" si="437"/>
        <v>Qcorrecto</v>
      </c>
      <c r="AY129" s="22" t="str">
        <f t="shared" si="417"/>
        <v>aceptable</v>
      </c>
      <c r="AZ129" s="22" t="str">
        <f t="shared" si="418"/>
        <v>aceptable</v>
      </c>
      <c r="BA129" s="22" t="str">
        <f t="shared" si="438"/>
        <v>aceptable</v>
      </c>
      <c r="BB129" s="25" t="str">
        <f t="shared" si="439"/>
        <v>NO CONFORME</v>
      </c>
      <c r="BC129" s="5" t="str">
        <f t="shared" si="440"/>
        <v>NO CONFORME</v>
      </c>
      <c r="BD129" s="15">
        <f t="shared" si="419"/>
        <v>-1</v>
      </c>
      <c r="BE129" s="15">
        <f t="shared" si="420"/>
        <v>-1</v>
      </c>
      <c r="BF129" s="15">
        <f t="shared" si="421"/>
        <v>-1</v>
      </c>
      <c r="BG129" s="15" t="str">
        <f t="shared" si="422"/>
        <v>-1-1-1</v>
      </c>
      <c r="BH129" s="15" t="str">
        <f t="shared" si="423"/>
        <v>SD</v>
      </c>
      <c r="BI129" s="15" t="str">
        <f t="shared" si="424"/>
        <v>SI</v>
      </c>
      <c r="BJ129" s="15" t="b">
        <f t="shared" si="425"/>
        <v>1</v>
      </c>
      <c r="BK129" s="15" t="str">
        <f t="shared" si="426"/>
        <v>SIGIGUALES</v>
      </c>
      <c r="BL129" s="22" t="str">
        <f t="shared" si="427"/>
        <v>NO CONFORME</v>
      </c>
    </row>
    <row r="130" spans="1:64" ht="14.4" x14ac:dyDescent="0.3">
      <c r="A130" s="91">
        <v>122</v>
      </c>
      <c r="B130" s="28">
        <f t="shared" ref="B130:E130" si="786">B129</f>
        <v>45920</v>
      </c>
      <c r="C130" s="28">
        <f t="shared" si="786"/>
        <v>45920</v>
      </c>
      <c r="D130" s="12">
        <f t="shared" si="786"/>
        <v>3</v>
      </c>
      <c r="E130" s="10">
        <f t="shared" si="786"/>
        <v>8</v>
      </c>
      <c r="F130" s="13"/>
      <c r="G130" s="157"/>
      <c r="H130" s="70">
        <f t="shared" ref="H130:L130" si="787">H129</f>
        <v>25.6</v>
      </c>
      <c r="I130" s="36">
        <f t="shared" si="787"/>
        <v>0</v>
      </c>
      <c r="J130" s="35">
        <f t="shared" si="787"/>
        <v>20.9</v>
      </c>
      <c r="K130" s="122">
        <f t="shared" si="787"/>
        <v>8.4730000000000008</v>
      </c>
      <c r="L130" s="122">
        <f t="shared" si="787"/>
        <v>0.52100000000000002</v>
      </c>
      <c r="M130" s="41"/>
      <c r="N130" s="41"/>
      <c r="O130" s="32">
        <f t="shared" ref="O130:P130" si="788">O129</f>
        <v>100.48</v>
      </c>
      <c r="P130" s="168" t="str">
        <f t="shared" si="788"/>
        <v>2,29,610</v>
      </c>
      <c r="Q130" s="11" t="str">
        <f t="shared" si="493"/>
        <v>2</v>
      </c>
      <c r="R130" s="11" t="str">
        <f t="shared" si="494"/>
        <v>29,610</v>
      </c>
      <c r="S130" s="11">
        <f t="shared" si="495"/>
        <v>4.1558333333333336E-2</v>
      </c>
      <c r="T130" s="14">
        <f t="shared" si="496"/>
        <v>2417.8062963705634</v>
      </c>
      <c r="U130" s="37">
        <f t="shared" si="497"/>
        <v>-100</v>
      </c>
      <c r="V130" s="38">
        <f t="shared" ref="V130:W130" si="789">V129</f>
        <v>21.3</v>
      </c>
      <c r="W130" s="124">
        <f t="shared" si="789"/>
        <v>1.0960000000000001</v>
      </c>
      <c r="X130" s="124">
        <f t="shared" si="746"/>
        <v>1.0880000000000001</v>
      </c>
      <c r="Y130" s="41"/>
      <c r="Z130" s="41"/>
      <c r="AA130" s="90">
        <f t="shared" ref="AA130:AB130" si="790">AA129</f>
        <v>5.01</v>
      </c>
      <c r="AB130" s="73" t="str">
        <f t="shared" si="790"/>
        <v>11,15,880</v>
      </c>
      <c r="AC130" s="11" t="str">
        <f t="shared" si="500"/>
        <v>11</v>
      </c>
      <c r="AD130" s="11" t="str">
        <f t="shared" si="501"/>
        <v>15,880</v>
      </c>
      <c r="AE130" s="11">
        <f t="shared" si="502"/>
        <v>0.18774444444444444</v>
      </c>
      <c r="AF130" s="14">
        <f t="shared" si="503"/>
        <v>26.685210392377346</v>
      </c>
      <c r="AG130" s="39">
        <f t="shared" si="504"/>
        <v>-100</v>
      </c>
      <c r="AH130" s="38">
        <f t="shared" si="754"/>
        <v>18.399999999999999</v>
      </c>
      <c r="AI130" s="124">
        <f t="shared" si="754"/>
        <v>1.0980000000000001</v>
      </c>
      <c r="AJ130" s="124">
        <f t="shared" si="754"/>
        <v>1.087</v>
      </c>
      <c r="AK130" s="41">
        <f t="shared" si="505"/>
        <v>0</v>
      </c>
      <c r="AL130" s="41"/>
      <c r="AM130" s="34">
        <f t="shared" ref="AM130:AN130" si="791">AM129</f>
        <v>2.0049999999999999</v>
      </c>
      <c r="AN130" s="33" t="str">
        <f t="shared" si="791"/>
        <v>7,19,050</v>
      </c>
      <c r="AO130" s="11" t="str">
        <f t="shared" si="507"/>
        <v>7,</v>
      </c>
      <c r="AP130" s="11" t="str">
        <f t="shared" si="508"/>
        <v>19,050</v>
      </c>
      <c r="AQ130" s="11">
        <f t="shared" si="509"/>
        <v>0.12195833333333334</v>
      </c>
      <c r="AR130" s="14">
        <f t="shared" si="510"/>
        <v>16.44004099760847</v>
      </c>
      <c r="AS130" s="39">
        <f t="shared" si="511"/>
        <v>-100</v>
      </c>
      <c r="AT130" s="40" t="str">
        <f t="shared" si="512"/>
        <v>NO CONFORME</v>
      </c>
      <c r="AU130" s="8" t="b">
        <f t="shared" si="434"/>
        <v>1</v>
      </c>
      <c r="AV130" s="8" t="b">
        <f t="shared" si="435"/>
        <v>0</v>
      </c>
      <c r="AW130" s="8" t="b">
        <f t="shared" si="436"/>
        <v>1</v>
      </c>
      <c r="AX130" s="8" t="str">
        <f t="shared" si="437"/>
        <v>Qcorrecto</v>
      </c>
      <c r="AY130" s="22" t="str">
        <f t="shared" si="417"/>
        <v>aceptable</v>
      </c>
      <c r="AZ130" s="22" t="str">
        <f t="shared" si="418"/>
        <v>aceptable</v>
      </c>
      <c r="BA130" s="22" t="str">
        <f t="shared" si="438"/>
        <v>aceptable</v>
      </c>
      <c r="BB130" s="25" t="str">
        <f t="shared" si="439"/>
        <v>NO CONFORME</v>
      </c>
      <c r="BC130" s="5" t="str">
        <f t="shared" si="440"/>
        <v>NO CONFORME</v>
      </c>
      <c r="BD130" s="15">
        <f t="shared" si="419"/>
        <v>-1</v>
      </c>
      <c r="BE130" s="15">
        <f t="shared" si="420"/>
        <v>-1</v>
      </c>
      <c r="BF130" s="15">
        <f t="shared" si="421"/>
        <v>-1</v>
      </c>
      <c r="BG130" s="15" t="str">
        <f t="shared" si="422"/>
        <v>-1-1-1</v>
      </c>
      <c r="BH130" s="15" t="str">
        <f t="shared" si="423"/>
        <v>SD</v>
      </c>
      <c r="BI130" s="15" t="str">
        <f t="shared" si="424"/>
        <v>SI</v>
      </c>
      <c r="BJ130" s="15" t="b">
        <f t="shared" si="425"/>
        <v>1</v>
      </c>
      <c r="BK130" s="15" t="str">
        <f t="shared" si="426"/>
        <v>SIGIGUALES</v>
      </c>
      <c r="BL130" s="22" t="str">
        <f t="shared" si="427"/>
        <v>NO CONFORME</v>
      </c>
    </row>
    <row r="131" spans="1:64" ht="14.4" x14ac:dyDescent="0.3">
      <c r="A131" s="91">
        <v>123</v>
      </c>
      <c r="B131" s="28">
        <f t="shared" ref="B131:E131" si="792">B130</f>
        <v>45920</v>
      </c>
      <c r="C131" s="28">
        <f t="shared" si="792"/>
        <v>45920</v>
      </c>
      <c r="D131" s="12">
        <f t="shared" si="792"/>
        <v>3</v>
      </c>
      <c r="E131" s="10">
        <f t="shared" si="792"/>
        <v>8</v>
      </c>
      <c r="F131" s="13"/>
      <c r="G131" s="157"/>
      <c r="H131" s="70">
        <f t="shared" ref="H131:L131" si="793">H130</f>
        <v>25.6</v>
      </c>
      <c r="I131" s="36">
        <f t="shared" si="793"/>
        <v>0</v>
      </c>
      <c r="J131" s="35">
        <f t="shared" si="793"/>
        <v>20.9</v>
      </c>
      <c r="K131" s="122">
        <f t="shared" si="793"/>
        <v>8.4730000000000008</v>
      </c>
      <c r="L131" s="122">
        <f t="shared" si="793"/>
        <v>0.52100000000000002</v>
      </c>
      <c r="M131" s="41"/>
      <c r="N131" s="41"/>
      <c r="O131" s="32">
        <f t="shared" ref="O131:P131" si="794">O130</f>
        <v>100.48</v>
      </c>
      <c r="P131" s="168" t="str">
        <f t="shared" si="794"/>
        <v>2,29,610</v>
      </c>
      <c r="Q131" s="11" t="str">
        <f t="shared" si="493"/>
        <v>2</v>
      </c>
      <c r="R131" s="11" t="str">
        <f t="shared" si="494"/>
        <v>29,610</v>
      </c>
      <c r="S131" s="11">
        <f t="shared" si="495"/>
        <v>4.1558333333333336E-2</v>
      </c>
      <c r="T131" s="14">
        <f t="shared" si="496"/>
        <v>2417.8062963705634</v>
      </c>
      <c r="U131" s="37">
        <f t="shared" si="497"/>
        <v>-100</v>
      </c>
      <c r="V131" s="38">
        <f t="shared" ref="V131:W131" si="795">V130</f>
        <v>21.3</v>
      </c>
      <c r="W131" s="124">
        <f t="shared" si="795"/>
        <v>1.0960000000000001</v>
      </c>
      <c r="X131" s="124">
        <f t="shared" si="746"/>
        <v>1.0880000000000001</v>
      </c>
      <c r="Y131" s="41"/>
      <c r="Z131" s="41"/>
      <c r="AA131" s="90">
        <f t="shared" ref="AA131:AB131" si="796">AA130</f>
        <v>5.01</v>
      </c>
      <c r="AB131" s="73" t="str">
        <f t="shared" si="796"/>
        <v>11,15,880</v>
      </c>
      <c r="AC131" s="11" t="str">
        <f t="shared" si="500"/>
        <v>11</v>
      </c>
      <c r="AD131" s="11" t="str">
        <f t="shared" si="501"/>
        <v>15,880</v>
      </c>
      <c r="AE131" s="11">
        <f t="shared" si="502"/>
        <v>0.18774444444444444</v>
      </c>
      <c r="AF131" s="14">
        <f t="shared" si="503"/>
        <v>26.685210392377346</v>
      </c>
      <c r="AG131" s="39">
        <f t="shared" si="504"/>
        <v>-100</v>
      </c>
      <c r="AH131" s="38">
        <f t="shared" si="754"/>
        <v>18.399999999999999</v>
      </c>
      <c r="AI131" s="124">
        <f t="shared" si="754"/>
        <v>1.0980000000000001</v>
      </c>
      <c r="AJ131" s="124">
        <f t="shared" si="754"/>
        <v>1.087</v>
      </c>
      <c r="AK131" s="41">
        <f t="shared" si="505"/>
        <v>0</v>
      </c>
      <c r="AL131" s="41"/>
      <c r="AM131" s="34">
        <f t="shared" ref="AM131:AN131" si="797">AM130</f>
        <v>2.0049999999999999</v>
      </c>
      <c r="AN131" s="33" t="str">
        <f t="shared" si="797"/>
        <v>7,19,050</v>
      </c>
      <c r="AO131" s="11" t="str">
        <f t="shared" si="507"/>
        <v>7,</v>
      </c>
      <c r="AP131" s="11" t="str">
        <f t="shared" si="508"/>
        <v>19,050</v>
      </c>
      <c r="AQ131" s="11">
        <f t="shared" si="509"/>
        <v>0.12195833333333334</v>
      </c>
      <c r="AR131" s="14">
        <f t="shared" si="510"/>
        <v>16.44004099760847</v>
      </c>
      <c r="AS131" s="39">
        <f t="shared" si="511"/>
        <v>-100</v>
      </c>
      <c r="AT131" s="40" t="str">
        <f t="shared" si="512"/>
        <v>NO CONFORME</v>
      </c>
      <c r="AU131" s="8" t="b">
        <f t="shared" si="434"/>
        <v>1</v>
      </c>
      <c r="AV131" s="8" t="b">
        <f t="shared" si="435"/>
        <v>0</v>
      </c>
      <c r="AW131" s="8" t="b">
        <f t="shared" si="436"/>
        <v>1</v>
      </c>
      <c r="AX131" s="8" t="str">
        <f t="shared" si="437"/>
        <v>Qcorrecto</v>
      </c>
      <c r="AY131" s="22" t="str">
        <f t="shared" si="417"/>
        <v>aceptable</v>
      </c>
      <c r="AZ131" s="22" t="str">
        <f t="shared" si="418"/>
        <v>aceptable</v>
      </c>
      <c r="BA131" s="22" t="str">
        <f t="shared" si="438"/>
        <v>aceptable</v>
      </c>
      <c r="BB131" s="25" t="str">
        <f t="shared" si="439"/>
        <v>NO CONFORME</v>
      </c>
      <c r="BC131" s="5" t="str">
        <f t="shared" si="440"/>
        <v>NO CONFORME</v>
      </c>
      <c r="BD131" s="15">
        <f t="shared" si="419"/>
        <v>-1</v>
      </c>
      <c r="BE131" s="15">
        <f t="shared" si="420"/>
        <v>-1</v>
      </c>
      <c r="BF131" s="15">
        <f t="shared" si="421"/>
        <v>-1</v>
      </c>
      <c r="BG131" s="15" t="str">
        <f t="shared" si="422"/>
        <v>-1-1-1</v>
      </c>
      <c r="BH131" s="15" t="str">
        <f t="shared" si="423"/>
        <v>SD</v>
      </c>
      <c r="BI131" s="15" t="str">
        <f t="shared" si="424"/>
        <v>SI</v>
      </c>
      <c r="BJ131" s="15" t="b">
        <f t="shared" si="425"/>
        <v>1</v>
      </c>
      <c r="BK131" s="15" t="str">
        <f t="shared" si="426"/>
        <v>SIGIGUALES</v>
      </c>
      <c r="BL131" s="22" t="str">
        <f t="shared" si="427"/>
        <v>NO CONFORME</v>
      </c>
    </row>
    <row r="132" spans="1:64" ht="14.4" x14ac:dyDescent="0.3">
      <c r="A132" s="91">
        <v>124</v>
      </c>
      <c r="B132" s="28">
        <f t="shared" ref="B132:E132" si="798">B131</f>
        <v>45920</v>
      </c>
      <c r="C132" s="28">
        <f t="shared" si="798"/>
        <v>45920</v>
      </c>
      <c r="D132" s="12">
        <f t="shared" si="798"/>
        <v>3</v>
      </c>
      <c r="E132" s="10">
        <f t="shared" si="798"/>
        <v>8</v>
      </c>
      <c r="F132" s="13"/>
      <c r="G132" s="157"/>
      <c r="H132" s="70">
        <f t="shared" ref="H132:L132" si="799">H131</f>
        <v>25.6</v>
      </c>
      <c r="I132" s="36">
        <f t="shared" si="799"/>
        <v>0</v>
      </c>
      <c r="J132" s="35">
        <f t="shared" si="799"/>
        <v>20.9</v>
      </c>
      <c r="K132" s="122">
        <f t="shared" si="799"/>
        <v>8.4730000000000008</v>
      </c>
      <c r="L132" s="122">
        <f t="shared" si="799"/>
        <v>0.52100000000000002</v>
      </c>
      <c r="M132" s="41"/>
      <c r="N132" s="41"/>
      <c r="O132" s="32">
        <f t="shared" ref="O132:P132" si="800">O131</f>
        <v>100.48</v>
      </c>
      <c r="P132" s="168" t="str">
        <f t="shared" si="800"/>
        <v>2,29,610</v>
      </c>
      <c r="Q132" s="11" t="str">
        <f t="shared" si="493"/>
        <v>2</v>
      </c>
      <c r="R132" s="11" t="str">
        <f t="shared" si="494"/>
        <v>29,610</v>
      </c>
      <c r="S132" s="11">
        <f t="shared" si="495"/>
        <v>4.1558333333333336E-2</v>
      </c>
      <c r="T132" s="14">
        <f t="shared" si="496"/>
        <v>2417.8062963705634</v>
      </c>
      <c r="U132" s="37">
        <f t="shared" si="497"/>
        <v>-100</v>
      </c>
      <c r="V132" s="38">
        <f t="shared" ref="V132:W132" si="801">V131</f>
        <v>21.3</v>
      </c>
      <c r="W132" s="124">
        <f t="shared" si="801"/>
        <v>1.0960000000000001</v>
      </c>
      <c r="X132" s="124">
        <f t="shared" si="746"/>
        <v>1.0880000000000001</v>
      </c>
      <c r="Y132" s="41"/>
      <c r="Z132" s="41"/>
      <c r="AA132" s="90">
        <f t="shared" ref="AA132:AB132" si="802">AA131</f>
        <v>5.01</v>
      </c>
      <c r="AB132" s="73" t="str">
        <f t="shared" si="802"/>
        <v>11,15,880</v>
      </c>
      <c r="AC132" s="11" t="str">
        <f t="shared" si="500"/>
        <v>11</v>
      </c>
      <c r="AD132" s="11" t="str">
        <f t="shared" si="501"/>
        <v>15,880</v>
      </c>
      <c r="AE132" s="11">
        <f t="shared" si="502"/>
        <v>0.18774444444444444</v>
      </c>
      <c r="AF132" s="14">
        <f t="shared" si="503"/>
        <v>26.685210392377346</v>
      </c>
      <c r="AG132" s="39">
        <f t="shared" si="504"/>
        <v>-100</v>
      </c>
      <c r="AH132" s="38">
        <f t="shared" si="754"/>
        <v>18.399999999999999</v>
      </c>
      <c r="AI132" s="124">
        <f t="shared" si="754"/>
        <v>1.0980000000000001</v>
      </c>
      <c r="AJ132" s="124">
        <f t="shared" si="754"/>
        <v>1.087</v>
      </c>
      <c r="AK132" s="41">
        <f t="shared" si="505"/>
        <v>0</v>
      </c>
      <c r="AL132" s="41"/>
      <c r="AM132" s="34">
        <f t="shared" ref="AM132:AN132" si="803">AM131</f>
        <v>2.0049999999999999</v>
      </c>
      <c r="AN132" s="33" t="str">
        <f t="shared" si="803"/>
        <v>7,19,050</v>
      </c>
      <c r="AO132" s="11" t="str">
        <f t="shared" si="507"/>
        <v>7,</v>
      </c>
      <c r="AP132" s="11" t="str">
        <f t="shared" si="508"/>
        <v>19,050</v>
      </c>
      <c r="AQ132" s="11">
        <f t="shared" si="509"/>
        <v>0.12195833333333334</v>
      </c>
      <c r="AR132" s="14">
        <f t="shared" si="510"/>
        <v>16.44004099760847</v>
      </c>
      <c r="AS132" s="39">
        <f t="shared" si="511"/>
        <v>-100</v>
      </c>
      <c r="AT132" s="40" t="str">
        <f t="shared" si="512"/>
        <v>NO CONFORME</v>
      </c>
      <c r="AU132" s="8" t="b">
        <f t="shared" si="434"/>
        <v>1</v>
      </c>
      <c r="AV132" s="8" t="b">
        <f t="shared" si="435"/>
        <v>0</v>
      </c>
      <c r="AW132" s="8" t="b">
        <f t="shared" si="436"/>
        <v>1</v>
      </c>
      <c r="AX132" s="8" t="str">
        <f t="shared" si="437"/>
        <v>Qcorrecto</v>
      </c>
      <c r="AY132" s="22" t="str">
        <f t="shared" si="417"/>
        <v>aceptable</v>
      </c>
      <c r="AZ132" s="22" t="str">
        <f t="shared" si="418"/>
        <v>aceptable</v>
      </c>
      <c r="BA132" s="22" t="str">
        <f t="shared" si="438"/>
        <v>aceptable</v>
      </c>
      <c r="BB132" s="25" t="str">
        <f t="shared" si="439"/>
        <v>NO CONFORME</v>
      </c>
      <c r="BC132" s="5" t="str">
        <f t="shared" si="440"/>
        <v>NO CONFORME</v>
      </c>
      <c r="BD132" s="15">
        <f t="shared" si="419"/>
        <v>-1</v>
      </c>
      <c r="BE132" s="15">
        <f t="shared" si="420"/>
        <v>-1</v>
      </c>
      <c r="BF132" s="15">
        <f t="shared" si="421"/>
        <v>-1</v>
      </c>
      <c r="BG132" s="15" t="str">
        <f t="shared" si="422"/>
        <v>-1-1-1</v>
      </c>
      <c r="BH132" s="15" t="str">
        <f t="shared" si="423"/>
        <v>SD</v>
      </c>
      <c r="BI132" s="15" t="str">
        <f t="shared" si="424"/>
        <v>SI</v>
      </c>
      <c r="BJ132" s="15" t="b">
        <f t="shared" si="425"/>
        <v>1</v>
      </c>
      <c r="BK132" s="15" t="str">
        <f t="shared" si="426"/>
        <v>SIGIGUALES</v>
      </c>
      <c r="BL132" s="22" t="str">
        <f t="shared" si="427"/>
        <v>NO CONFORME</v>
      </c>
    </row>
    <row r="133" spans="1:64" ht="14.4" x14ac:dyDescent="0.3">
      <c r="A133" s="91">
        <v>125</v>
      </c>
      <c r="B133" s="28">
        <f t="shared" ref="B133:E133" si="804">B132</f>
        <v>45920</v>
      </c>
      <c r="C133" s="28">
        <f t="shared" si="804"/>
        <v>45920</v>
      </c>
      <c r="D133" s="12">
        <f t="shared" si="804"/>
        <v>3</v>
      </c>
      <c r="E133" s="10">
        <f t="shared" si="804"/>
        <v>8</v>
      </c>
      <c r="F133" s="13"/>
      <c r="G133" s="157"/>
      <c r="H133" s="70">
        <f t="shared" ref="H133:L133" si="805">H132</f>
        <v>25.6</v>
      </c>
      <c r="I133" s="36">
        <f t="shared" si="805"/>
        <v>0</v>
      </c>
      <c r="J133" s="35">
        <f t="shared" si="805"/>
        <v>20.9</v>
      </c>
      <c r="K133" s="122">
        <f t="shared" si="805"/>
        <v>8.4730000000000008</v>
      </c>
      <c r="L133" s="122">
        <f t="shared" si="805"/>
        <v>0.52100000000000002</v>
      </c>
      <c r="M133" s="41"/>
      <c r="N133" s="41"/>
      <c r="O133" s="32">
        <f t="shared" ref="O133:P133" si="806">O132</f>
        <v>100.48</v>
      </c>
      <c r="P133" s="168" t="str">
        <f t="shared" si="806"/>
        <v>2,29,610</v>
      </c>
      <c r="Q133" s="11" t="str">
        <f t="shared" si="493"/>
        <v>2</v>
      </c>
      <c r="R133" s="11" t="str">
        <f t="shared" si="494"/>
        <v>29,610</v>
      </c>
      <c r="S133" s="11">
        <f t="shared" si="495"/>
        <v>4.1558333333333336E-2</v>
      </c>
      <c r="T133" s="14">
        <f t="shared" si="496"/>
        <v>2417.8062963705634</v>
      </c>
      <c r="U133" s="37">
        <f t="shared" si="497"/>
        <v>-100</v>
      </c>
      <c r="V133" s="38">
        <f t="shared" ref="V133:W133" si="807">V132</f>
        <v>21.3</v>
      </c>
      <c r="W133" s="124">
        <f t="shared" si="807"/>
        <v>1.0960000000000001</v>
      </c>
      <c r="X133" s="124">
        <f t="shared" si="746"/>
        <v>1.0880000000000001</v>
      </c>
      <c r="Y133" s="41"/>
      <c r="Z133" s="41"/>
      <c r="AA133" s="90">
        <f t="shared" ref="AA133:AB133" si="808">AA132</f>
        <v>5.01</v>
      </c>
      <c r="AB133" s="73" t="str">
        <f t="shared" si="808"/>
        <v>11,15,880</v>
      </c>
      <c r="AC133" s="11" t="str">
        <f t="shared" si="500"/>
        <v>11</v>
      </c>
      <c r="AD133" s="11" t="str">
        <f t="shared" si="501"/>
        <v>15,880</v>
      </c>
      <c r="AE133" s="11">
        <f t="shared" si="502"/>
        <v>0.18774444444444444</v>
      </c>
      <c r="AF133" s="14">
        <f t="shared" si="503"/>
        <v>26.685210392377346</v>
      </c>
      <c r="AG133" s="39">
        <f t="shared" si="504"/>
        <v>-100</v>
      </c>
      <c r="AH133" s="38">
        <f t="shared" si="754"/>
        <v>18.399999999999999</v>
      </c>
      <c r="AI133" s="124">
        <f t="shared" si="754"/>
        <v>1.0980000000000001</v>
      </c>
      <c r="AJ133" s="124">
        <f t="shared" si="754"/>
        <v>1.087</v>
      </c>
      <c r="AK133" s="41">
        <f t="shared" si="505"/>
        <v>0</v>
      </c>
      <c r="AL133" s="41"/>
      <c r="AM133" s="34">
        <f t="shared" ref="AM133:AN133" si="809">AM132</f>
        <v>2.0049999999999999</v>
      </c>
      <c r="AN133" s="33" t="str">
        <f t="shared" si="809"/>
        <v>7,19,050</v>
      </c>
      <c r="AO133" s="11" t="str">
        <f t="shared" si="507"/>
        <v>7,</v>
      </c>
      <c r="AP133" s="11" t="str">
        <f t="shared" si="508"/>
        <v>19,050</v>
      </c>
      <c r="AQ133" s="11">
        <f t="shared" si="509"/>
        <v>0.12195833333333334</v>
      </c>
      <c r="AR133" s="14">
        <f t="shared" si="510"/>
        <v>16.44004099760847</v>
      </c>
      <c r="AS133" s="39">
        <f t="shared" si="511"/>
        <v>-100</v>
      </c>
      <c r="AT133" s="40" t="str">
        <f t="shared" si="512"/>
        <v>NO CONFORME</v>
      </c>
      <c r="AU133" s="8" t="b">
        <f t="shared" si="434"/>
        <v>1</v>
      </c>
      <c r="AV133" s="8" t="b">
        <f t="shared" si="435"/>
        <v>0</v>
      </c>
      <c r="AW133" s="8" t="b">
        <f t="shared" si="436"/>
        <v>1</v>
      </c>
      <c r="AX133" s="8" t="str">
        <f t="shared" si="437"/>
        <v>Qcorrecto</v>
      </c>
      <c r="AY133" s="22" t="str">
        <f t="shared" si="417"/>
        <v>aceptable</v>
      </c>
      <c r="AZ133" s="22" t="str">
        <f t="shared" si="418"/>
        <v>aceptable</v>
      </c>
      <c r="BA133" s="22" t="str">
        <f t="shared" si="438"/>
        <v>aceptable</v>
      </c>
      <c r="BB133" s="25" t="str">
        <f t="shared" si="439"/>
        <v>NO CONFORME</v>
      </c>
      <c r="BC133" s="5" t="str">
        <f t="shared" si="440"/>
        <v>NO CONFORME</v>
      </c>
      <c r="BD133" s="15">
        <f t="shared" si="419"/>
        <v>-1</v>
      </c>
      <c r="BE133" s="15">
        <f t="shared" si="420"/>
        <v>-1</v>
      </c>
      <c r="BF133" s="15">
        <f t="shared" si="421"/>
        <v>-1</v>
      </c>
      <c r="BG133" s="15" t="str">
        <f t="shared" si="422"/>
        <v>-1-1-1</v>
      </c>
      <c r="BH133" s="15" t="str">
        <f t="shared" si="423"/>
        <v>SD</v>
      </c>
      <c r="BI133" s="15" t="str">
        <f t="shared" si="424"/>
        <v>SI</v>
      </c>
      <c r="BJ133" s="15" t="b">
        <f t="shared" si="425"/>
        <v>1</v>
      </c>
      <c r="BK133" s="15" t="str">
        <f t="shared" si="426"/>
        <v>SIGIGUALES</v>
      </c>
      <c r="BL133" s="22" t="str">
        <f t="shared" si="427"/>
        <v>NO CONFORME</v>
      </c>
    </row>
    <row r="134" spans="1:64" ht="14.4" x14ac:dyDescent="0.3">
      <c r="A134" s="91">
        <v>126</v>
      </c>
      <c r="B134" s="28">
        <f t="shared" ref="B134:E134" si="810">B133</f>
        <v>45920</v>
      </c>
      <c r="C134" s="28">
        <f t="shared" si="810"/>
        <v>45920</v>
      </c>
      <c r="D134" s="12">
        <f t="shared" si="810"/>
        <v>3</v>
      </c>
      <c r="E134" s="10">
        <f t="shared" si="810"/>
        <v>8</v>
      </c>
      <c r="F134" s="13"/>
      <c r="G134" s="157"/>
      <c r="H134" s="70">
        <f t="shared" ref="H134:L134" si="811">H133</f>
        <v>25.6</v>
      </c>
      <c r="I134" s="36">
        <f t="shared" si="811"/>
        <v>0</v>
      </c>
      <c r="J134" s="35">
        <f t="shared" si="811"/>
        <v>20.9</v>
      </c>
      <c r="K134" s="122">
        <f t="shared" si="811"/>
        <v>8.4730000000000008</v>
      </c>
      <c r="L134" s="122">
        <f t="shared" si="811"/>
        <v>0.52100000000000002</v>
      </c>
      <c r="M134" s="41"/>
      <c r="N134" s="41"/>
      <c r="O134" s="32">
        <f t="shared" ref="O134:P134" si="812">O133</f>
        <v>100.48</v>
      </c>
      <c r="P134" s="168" t="str">
        <f t="shared" si="812"/>
        <v>2,29,610</v>
      </c>
      <c r="Q134" s="11" t="str">
        <f t="shared" si="493"/>
        <v>2</v>
      </c>
      <c r="R134" s="11" t="str">
        <f t="shared" si="494"/>
        <v>29,610</v>
      </c>
      <c r="S134" s="11">
        <f t="shared" si="495"/>
        <v>4.1558333333333336E-2</v>
      </c>
      <c r="T134" s="14">
        <f t="shared" si="496"/>
        <v>2417.8062963705634</v>
      </c>
      <c r="U134" s="37">
        <f t="shared" si="497"/>
        <v>-100</v>
      </c>
      <c r="V134" s="38">
        <f t="shared" ref="V134:W134" si="813">V133</f>
        <v>21.3</v>
      </c>
      <c r="W134" s="124">
        <f t="shared" si="813"/>
        <v>1.0960000000000001</v>
      </c>
      <c r="X134" s="124">
        <f t="shared" si="746"/>
        <v>1.0880000000000001</v>
      </c>
      <c r="Y134" s="41"/>
      <c r="Z134" s="41"/>
      <c r="AA134" s="90">
        <f t="shared" ref="AA134:AB134" si="814">AA133</f>
        <v>5.01</v>
      </c>
      <c r="AB134" s="73" t="str">
        <f t="shared" si="814"/>
        <v>11,15,880</v>
      </c>
      <c r="AC134" s="11" t="str">
        <f t="shared" si="500"/>
        <v>11</v>
      </c>
      <c r="AD134" s="11" t="str">
        <f t="shared" si="501"/>
        <v>15,880</v>
      </c>
      <c r="AE134" s="11">
        <f t="shared" si="502"/>
        <v>0.18774444444444444</v>
      </c>
      <c r="AF134" s="14">
        <f t="shared" si="503"/>
        <v>26.685210392377346</v>
      </c>
      <c r="AG134" s="39">
        <f t="shared" si="504"/>
        <v>-100</v>
      </c>
      <c r="AH134" s="38">
        <f t="shared" si="754"/>
        <v>18.399999999999999</v>
      </c>
      <c r="AI134" s="124">
        <f t="shared" si="754"/>
        <v>1.0980000000000001</v>
      </c>
      <c r="AJ134" s="124">
        <f t="shared" si="754"/>
        <v>1.087</v>
      </c>
      <c r="AK134" s="41">
        <f t="shared" si="505"/>
        <v>0</v>
      </c>
      <c r="AL134" s="41"/>
      <c r="AM134" s="34">
        <f t="shared" ref="AM134:AN134" si="815">AM133</f>
        <v>2.0049999999999999</v>
      </c>
      <c r="AN134" s="33" t="str">
        <f t="shared" si="815"/>
        <v>7,19,050</v>
      </c>
      <c r="AO134" s="11" t="str">
        <f t="shared" si="507"/>
        <v>7,</v>
      </c>
      <c r="AP134" s="11" t="str">
        <f t="shared" si="508"/>
        <v>19,050</v>
      </c>
      <c r="AQ134" s="11">
        <f t="shared" si="509"/>
        <v>0.12195833333333334</v>
      </c>
      <c r="AR134" s="14">
        <f t="shared" si="510"/>
        <v>16.44004099760847</v>
      </c>
      <c r="AS134" s="39">
        <f t="shared" si="511"/>
        <v>-100</v>
      </c>
      <c r="AT134" s="40" t="str">
        <f t="shared" si="512"/>
        <v>NO CONFORME</v>
      </c>
      <c r="AU134" s="8" t="b">
        <f t="shared" si="434"/>
        <v>1</v>
      </c>
      <c r="AV134" s="8" t="b">
        <f t="shared" si="435"/>
        <v>0</v>
      </c>
      <c r="AW134" s="8" t="b">
        <f t="shared" si="436"/>
        <v>1</v>
      </c>
      <c r="AX134" s="8" t="str">
        <f t="shared" si="437"/>
        <v>Qcorrecto</v>
      </c>
      <c r="AY134" s="22" t="str">
        <f t="shared" si="417"/>
        <v>aceptable</v>
      </c>
      <c r="AZ134" s="22" t="str">
        <f t="shared" si="418"/>
        <v>aceptable</v>
      </c>
      <c r="BA134" s="22" t="str">
        <f t="shared" si="438"/>
        <v>aceptable</v>
      </c>
      <c r="BB134" s="25" t="str">
        <f t="shared" si="439"/>
        <v>NO CONFORME</v>
      </c>
      <c r="BC134" s="5" t="str">
        <f t="shared" si="440"/>
        <v>NO CONFORME</v>
      </c>
      <c r="BD134" s="15">
        <f t="shared" si="419"/>
        <v>-1</v>
      </c>
      <c r="BE134" s="15">
        <f t="shared" si="420"/>
        <v>-1</v>
      </c>
      <c r="BF134" s="15">
        <f t="shared" si="421"/>
        <v>-1</v>
      </c>
      <c r="BG134" s="15" t="str">
        <f t="shared" si="422"/>
        <v>-1-1-1</v>
      </c>
      <c r="BH134" s="15" t="str">
        <f t="shared" si="423"/>
        <v>SD</v>
      </c>
      <c r="BI134" s="15" t="str">
        <f t="shared" si="424"/>
        <v>SI</v>
      </c>
      <c r="BJ134" s="15" t="b">
        <f t="shared" si="425"/>
        <v>1</v>
      </c>
      <c r="BK134" s="15" t="str">
        <f t="shared" si="426"/>
        <v>SIGIGUALES</v>
      </c>
      <c r="BL134" s="22" t="str">
        <f t="shared" si="427"/>
        <v>NO CONFORME</v>
      </c>
    </row>
    <row r="135" spans="1:64" ht="14.4" x14ac:dyDescent="0.3">
      <c r="A135" s="91">
        <v>127</v>
      </c>
      <c r="B135" s="28">
        <f t="shared" ref="B135:E135" si="816">B134</f>
        <v>45920</v>
      </c>
      <c r="C135" s="28">
        <f t="shared" si="816"/>
        <v>45920</v>
      </c>
      <c r="D135" s="12">
        <f t="shared" si="816"/>
        <v>3</v>
      </c>
      <c r="E135" s="10">
        <f t="shared" si="816"/>
        <v>8</v>
      </c>
      <c r="F135" s="13"/>
      <c r="G135" s="157"/>
      <c r="H135" s="70">
        <f t="shared" ref="H135:L135" si="817">H134</f>
        <v>25.6</v>
      </c>
      <c r="I135" s="36">
        <f t="shared" si="817"/>
        <v>0</v>
      </c>
      <c r="J135" s="35">
        <f t="shared" si="817"/>
        <v>20.9</v>
      </c>
      <c r="K135" s="122">
        <f t="shared" si="817"/>
        <v>8.4730000000000008</v>
      </c>
      <c r="L135" s="122">
        <f t="shared" si="817"/>
        <v>0.52100000000000002</v>
      </c>
      <c r="M135" s="41"/>
      <c r="N135" s="41"/>
      <c r="O135" s="32">
        <f t="shared" ref="O135:P135" si="818">O134</f>
        <v>100.48</v>
      </c>
      <c r="P135" s="168" t="str">
        <f t="shared" si="818"/>
        <v>2,29,610</v>
      </c>
      <c r="Q135" s="11" t="str">
        <f t="shared" si="493"/>
        <v>2</v>
      </c>
      <c r="R135" s="11" t="str">
        <f t="shared" si="494"/>
        <v>29,610</v>
      </c>
      <c r="S135" s="11">
        <f t="shared" si="495"/>
        <v>4.1558333333333336E-2</v>
      </c>
      <c r="T135" s="14">
        <f t="shared" si="496"/>
        <v>2417.8062963705634</v>
      </c>
      <c r="U135" s="37">
        <f t="shared" si="497"/>
        <v>-100</v>
      </c>
      <c r="V135" s="38">
        <f t="shared" ref="V135:W135" si="819">V134</f>
        <v>21.3</v>
      </c>
      <c r="W135" s="124">
        <f t="shared" si="819"/>
        <v>1.0960000000000001</v>
      </c>
      <c r="X135" s="124">
        <f t="shared" si="746"/>
        <v>1.0880000000000001</v>
      </c>
      <c r="Y135" s="41"/>
      <c r="Z135" s="41"/>
      <c r="AA135" s="90">
        <f t="shared" ref="AA135:AB135" si="820">AA134</f>
        <v>5.01</v>
      </c>
      <c r="AB135" s="73" t="str">
        <f t="shared" si="820"/>
        <v>11,15,880</v>
      </c>
      <c r="AC135" s="11" t="str">
        <f t="shared" si="500"/>
        <v>11</v>
      </c>
      <c r="AD135" s="11" t="str">
        <f t="shared" si="501"/>
        <v>15,880</v>
      </c>
      <c r="AE135" s="11">
        <f t="shared" si="502"/>
        <v>0.18774444444444444</v>
      </c>
      <c r="AF135" s="14">
        <f t="shared" si="503"/>
        <v>26.685210392377346</v>
      </c>
      <c r="AG135" s="39">
        <f t="shared" si="504"/>
        <v>-100</v>
      </c>
      <c r="AH135" s="38">
        <f t="shared" si="754"/>
        <v>18.399999999999999</v>
      </c>
      <c r="AI135" s="124">
        <f t="shared" si="754"/>
        <v>1.0980000000000001</v>
      </c>
      <c r="AJ135" s="124">
        <f t="shared" si="754"/>
        <v>1.087</v>
      </c>
      <c r="AK135" s="41">
        <f t="shared" si="505"/>
        <v>0</v>
      </c>
      <c r="AL135" s="41"/>
      <c r="AM135" s="34">
        <f t="shared" ref="AM135:AN135" si="821">AM134</f>
        <v>2.0049999999999999</v>
      </c>
      <c r="AN135" s="33" t="str">
        <f t="shared" si="821"/>
        <v>7,19,050</v>
      </c>
      <c r="AO135" s="11" t="str">
        <f t="shared" si="507"/>
        <v>7,</v>
      </c>
      <c r="AP135" s="11" t="str">
        <f t="shared" si="508"/>
        <v>19,050</v>
      </c>
      <c r="AQ135" s="11">
        <f t="shared" si="509"/>
        <v>0.12195833333333334</v>
      </c>
      <c r="AR135" s="14">
        <f t="shared" si="510"/>
        <v>16.44004099760847</v>
      </c>
      <c r="AS135" s="39">
        <f t="shared" si="511"/>
        <v>-100</v>
      </c>
      <c r="AT135" s="40" t="str">
        <f t="shared" si="512"/>
        <v>NO CONFORME</v>
      </c>
      <c r="AU135" s="8" t="b">
        <f t="shared" si="434"/>
        <v>1</v>
      </c>
      <c r="AV135" s="8" t="b">
        <f t="shared" si="435"/>
        <v>0</v>
      </c>
      <c r="AW135" s="8" t="b">
        <f t="shared" si="436"/>
        <v>1</v>
      </c>
      <c r="AX135" s="8" t="str">
        <f t="shared" si="437"/>
        <v>Qcorrecto</v>
      </c>
      <c r="AY135" s="22" t="str">
        <f t="shared" si="417"/>
        <v>aceptable</v>
      </c>
      <c r="AZ135" s="22" t="str">
        <f t="shared" si="418"/>
        <v>aceptable</v>
      </c>
      <c r="BA135" s="22" t="str">
        <f t="shared" si="438"/>
        <v>aceptable</v>
      </c>
      <c r="BB135" s="25" t="str">
        <f t="shared" si="439"/>
        <v>NO CONFORME</v>
      </c>
      <c r="BC135" s="5" t="str">
        <f t="shared" si="440"/>
        <v>NO CONFORME</v>
      </c>
      <c r="BD135" s="15">
        <f t="shared" si="419"/>
        <v>-1</v>
      </c>
      <c r="BE135" s="15">
        <f t="shared" si="420"/>
        <v>-1</v>
      </c>
      <c r="BF135" s="15">
        <f t="shared" si="421"/>
        <v>-1</v>
      </c>
      <c r="BG135" s="15" t="str">
        <f t="shared" si="422"/>
        <v>-1-1-1</v>
      </c>
      <c r="BH135" s="15" t="str">
        <f t="shared" si="423"/>
        <v>SD</v>
      </c>
      <c r="BI135" s="15" t="str">
        <f t="shared" si="424"/>
        <v>SI</v>
      </c>
      <c r="BJ135" s="15" t="b">
        <f t="shared" si="425"/>
        <v>1</v>
      </c>
      <c r="BK135" s="15" t="str">
        <f t="shared" si="426"/>
        <v>SIGIGUALES</v>
      </c>
      <c r="BL135" s="22" t="str">
        <f t="shared" si="427"/>
        <v>NO CONFORME</v>
      </c>
    </row>
    <row r="136" spans="1:64" ht="14.4" x14ac:dyDescent="0.3">
      <c r="A136" s="91">
        <v>128</v>
      </c>
      <c r="B136" s="28">
        <f t="shared" ref="B136:E136" si="822">B135</f>
        <v>45920</v>
      </c>
      <c r="C136" s="28">
        <f t="shared" si="822"/>
        <v>45920</v>
      </c>
      <c r="D136" s="12">
        <f t="shared" si="822"/>
        <v>3</v>
      </c>
      <c r="E136" s="10">
        <f t="shared" si="822"/>
        <v>8</v>
      </c>
      <c r="F136" s="13"/>
      <c r="G136" s="157"/>
      <c r="H136" s="70">
        <f t="shared" ref="H136:L136" si="823">H135</f>
        <v>25.6</v>
      </c>
      <c r="I136" s="36">
        <f t="shared" si="823"/>
        <v>0</v>
      </c>
      <c r="J136" s="35">
        <f t="shared" si="823"/>
        <v>20.9</v>
      </c>
      <c r="K136" s="122">
        <f t="shared" si="823"/>
        <v>8.4730000000000008</v>
      </c>
      <c r="L136" s="122">
        <f t="shared" si="823"/>
        <v>0.52100000000000002</v>
      </c>
      <c r="M136" s="41"/>
      <c r="N136" s="41"/>
      <c r="O136" s="32">
        <f t="shared" ref="O136:P136" si="824">O135</f>
        <v>100.48</v>
      </c>
      <c r="P136" s="168" t="str">
        <f t="shared" si="824"/>
        <v>2,29,610</v>
      </c>
      <c r="Q136" s="11" t="str">
        <f t="shared" si="493"/>
        <v>2</v>
      </c>
      <c r="R136" s="11" t="str">
        <f t="shared" si="494"/>
        <v>29,610</v>
      </c>
      <c r="S136" s="11">
        <f t="shared" si="495"/>
        <v>4.1558333333333336E-2</v>
      </c>
      <c r="T136" s="14">
        <f t="shared" si="496"/>
        <v>2417.8062963705634</v>
      </c>
      <c r="U136" s="37">
        <f t="shared" si="497"/>
        <v>-100</v>
      </c>
      <c r="V136" s="38">
        <f t="shared" ref="V136:W136" si="825">V135</f>
        <v>21.3</v>
      </c>
      <c r="W136" s="124">
        <f t="shared" si="825"/>
        <v>1.0960000000000001</v>
      </c>
      <c r="X136" s="124">
        <f t="shared" si="746"/>
        <v>1.0880000000000001</v>
      </c>
      <c r="Y136" s="41"/>
      <c r="Z136" s="41"/>
      <c r="AA136" s="90">
        <f t="shared" ref="AA136:AB136" si="826">AA135</f>
        <v>5.01</v>
      </c>
      <c r="AB136" s="73" t="str">
        <f t="shared" si="826"/>
        <v>11,15,880</v>
      </c>
      <c r="AC136" s="11" t="str">
        <f t="shared" si="500"/>
        <v>11</v>
      </c>
      <c r="AD136" s="11" t="str">
        <f t="shared" si="501"/>
        <v>15,880</v>
      </c>
      <c r="AE136" s="11">
        <f t="shared" si="502"/>
        <v>0.18774444444444444</v>
      </c>
      <c r="AF136" s="14">
        <f t="shared" si="503"/>
        <v>26.685210392377346</v>
      </c>
      <c r="AG136" s="39">
        <f t="shared" si="504"/>
        <v>-100</v>
      </c>
      <c r="AH136" s="38">
        <f t="shared" si="754"/>
        <v>18.399999999999999</v>
      </c>
      <c r="AI136" s="124">
        <f t="shared" si="754"/>
        <v>1.0980000000000001</v>
      </c>
      <c r="AJ136" s="124">
        <f t="shared" si="754"/>
        <v>1.087</v>
      </c>
      <c r="AK136" s="41">
        <f t="shared" si="505"/>
        <v>0</v>
      </c>
      <c r="AL136" s="41"/>
      <c r="AM136" s="34">
        <f t="shared" ref="AM136:AN136" si="827">AM135</f>
        <v>2.0049999999999999</v>
      </c>
      <c r="AN136" s="33" t="str">
        <f t="shared" si="827"/>
        <v>7,19,050</v>
      </c>
      <c r="AO136" s="11" t="str">
        <f t="shared" si="507"/>
        <v>7,</v>
      </c>
      <c r="AP136" s="11" t="str">
        <f t="shared" si="508"/>
        <v>19,050</v>
      </c>
      <c r="AQ136" s="11">
        <f t="shared" si="509"/>
        <v>0.12195833333333334</v>
      </c>
      <c r="AR136" s="14">
        <f t="shared" si="510"/>
        <v>16.44004099760847</v>
      </c>
      <c r="AS136" s="39">
        <f t="shared" si="511"/>
        <v>-100</v>
      </c>
      <c r="AT136" s="40" t="str">
        <f t="shared" si="512"/>
        <v>NO CONFORME</v>
      </c>
      <c r="AU136" s="8" t="b">
        <f t="shared" si="434"/>
        <v>1</v>
      </c>
      <c r="AV136" s="8" t="b">
        <f t="shared" si="435"/>
        <v>0</v>
      </c>
      <c r="AW136" s="8" t="b">
        <f t="shared" si="436"/>
        <v>1</v>
      </c>
      <c r="AX136" s="8" t="str">
        <f t="shared" si="437"/>
        <v>Qcorrecto</v>
      </c>
      <c r="AY136" s="22" t="str">
        <f t="shared" si="417"/>
        <v>aceptable</v>
      </c>
      <c r="AZ136" s="22" t="str">
        <f t="shared" si="418"/>
        <v>aceptable</v>
      </c>
      <c r="BA136" s="22" t="str">
        <f t="shared" si="438"/>
        <v>aceptable</v>
      </c>
      <c r="BB136" s="25" t="str">
        <f t="shared" si="439"/>
        <v>NO CONFORME</v>
      </c>
      <c r="BC136" s="5" t="str">
        <f t="shared" si="440"/>
        <v>NO CONFORME</v>
      </c>
      <c r="BD136" s="15">
        <f t="shared" si="419"/>
        <v>-1</v>
      </c>
      <c r="BE136" s="15">
        <f t="shared" si="420"/>
        <v>-1</v>
      </c>
      <c r="BF136" s="15">
        <f t="shared" si="421"/>
        <v>-1</v>
      </c>
      <c r="BG136" s="15" t="str">
        <f t="shared" si="422"/>
        <v>-1-1-1</v>
      </c>
      <c r="BH136" s="15" t="str">
        <f t="shared" si="423"/>
        <v>SD</v>
      </c>
      <c r="BI136" s="15" t="str">
        <f t="shared" si="424"/>
        <v>SI</v>
      </c>
      <c r="BJ136" s="15" t="b">
        <f t="shared" si="425"/>
        <v>1</v>
      </c>
      <c r="BK136" s="15" t="str">
        <f t="shared" si="426"/>
        <v>SIGIGUALES</v>
      </c>
      <c r="BL136" s="22" t="str">
        <f t="shared" si="427"/>
        <v>NO CONFORME</v>
      </c>
    </row>
    <row r="137" spans="1:64" ht="14.4" x14ac:dyDescent="0.3">
      <c r="A137" s="91">
        <v>129</v>
      </c>
      <c r="B137" s="28">
        <f t="shared" ref="B137:E137" si="828">B136</f>
        <v>45920</v>
      </c>
      <c r="C137" s="28">
        <f t="shared" si="828"/>
        <v>45920</v>
      </c>
      <c r="D137" s="12">
        <f t="shared" si="828"/>
        <v>3</v>
      </c>
      <c r="E137" s="10">
        <f t="shared" si="828"/>
        <v>8</v>
      </c>
      <c r="F137" s="13"/>
      <c r="G137" s="157"/>
      <c r="H137" s="70">
        <f t="shared" ref="H137:L137" si="829">H136</f>
        <v>25.6</v>
      </c>
      <c r="I137" s="36">
        <f t="shared" si="829"/>
        <v>0</v>
      </c>
      <c r="J137" s="35">
        <f t="shared" si="829"/>
        <v>20.9</v>
      </c>
      <c r="K137" s="122">
        <f t="shared" si="829"/>
        <v>8.4730000000000008</v>
      </c>
      <c r="L137" s="122">
        <f t="shared" si="829"/>
        <v>0.52100000000000002</v>
      </c>
      <c r="M137" s="41"/>
      <c r="N137" s="41"/>
      <c r="O137" s="32">
        <f t="shared" ref="O137:P137" si="830">O136</f>
        <v>100.48</v>
      </c>
      <c r="P137" s="168" t="str">
        <f t="shared" si="830"/>
        <v>2,29,610</v>
      </c>
      <c r="Q137" s="11" t="str">
        <f t="shared" si="493"/>
        <v>2</v>
      </c>
      <c r="R137" s="11" t="str">
        <f t="shared" si="494"/>
        <v>29,610</v>
      </c>
      <c r="S137" s="11">
        <f t="shared" si="495"/>
        <v>4.1558333333333336E-2</v>
      </c>
      <c r="T137" s="14">
        <f t="shared" si="496"/>
        <v>2417.8062963705634</v>
      </c>
      <c r="U137" s="37">
        <f t="shared" si="497"/>
        <v>-100</v>
      </c>
      <c r="V137" s="38">
        <f t="shared" ref="V137:W137" si="831">V136</f>
        <v>21.3</v>
      </c>
      <c r="W137" s="124">
        <f t="shared" si="831"/>
        <v>1.0960000000000001</v>
      </c>
      <c r="X137" s="124">
        <f t="shared" si="746"/>
        <v>1.0880000000000001</v>
      </c>
      <c r="Y137" s="41"/>
      <c r="Z137" s="41"/>
      <c r="AA137" s="90">
        <f t="shared" ref="AA137:AB137" si="832">AA136</f>
        <v>5.01</v>
      </c>
      <c r="AB137" s="73" t="str">
        <f t="shared" si="832"/>
        <v>11,15,880</v>
      </c>
      <c r="AC137" s="11" t="str">
        <f t="shared" si="500"/>
        <v>11</v>
      </c>
      <c r="AD137" s="11" t="str">
        <f t="shared" si="501"/>
        <v>15,880</v>
      </c>
      <c r="AE137" s="11">
        <f t="shared" si="502"/>
        <v>0.18774444444444444</v>
      </c>
      <c r="AF137" s="14">
        <f t="shared" si="503"/>
        <v>26.685210392377346</v>
      </c>
      <c r="AG137" s="39">
        <f t="shared" si="504"/>
        <v>-100</v>
      </c>
      <c r="AH137" s="38">
        <f t="shared" si="754"/>
        <v>18.399999999999999</v>
      </c>
      <c r="AI137" s="124">
        <f t="shared" si="754"/>
        <v>1.0980000000000001</v>
      </c>
      <c r="AJ137" s="124">
        <f t="shared" si="754"/>
        <v>1.087</v>
      </c>
      <c r="AK137" s="41">
        <f t="shared" si="505"/>
        <v>0</v>
      </c>
      <c r="AL137" s="41"/>
      <c r="AM137" s="34">
        <f t="shared" ref="AM137:AN137" si="833">AM136</f>
        <v>2.0049999999999999</v>
      </c>
      <c r="AN137" s="33" t="str">
        <f t="shared" si="833"/>
        <v>7,19,050</v>
      </c>
      <c r="AO137" s="11" t="str">
        <f t="shared" si="507"/>
        <v>7,</v>
      </c>
      <c r="AP137" s="11" t="str">
        <f t="shared" si="508"/>
        <v>19,050</v>
      </c>
      <c r="AQ137" s="11">
        <f t="shared" si="509"/>
        <v>0.12195833333333334</v>
      </c>
      <c r="AR137" s="14">
        <f t="shared" si="510"/>
        <v>16.44004099760847</v>
      </c>
      <c r="AS137" s="39">
        <f t="shared" si="511"/>
        <v>-100</v>
      </c>
      <c r="AT137" s="40" t="str">
        <f t="shared" si="512"/>
        <v>NO CONFORME</v>
      </c>
      <c r="AU137" s="8" t="b">
        <f t="shared" si="434"/>
        <v>1</v>
      </c>
      <c r="AV137" s="8" t="b">
        <f t="shared" si="435"/>
        <v>0</v>
      </c>
      <c r="AW137" s="8" t="b">
        <f t="shared" si="436"/>
        <v>1</v>
      </c>
      <c r="AX137" s="8" t="str">
        <f t="shared" si="437"/>
        <v>Qcorrecto</v>
      </c>
      <c r="AY137" s="22" t="str">
        <f t="shared" si="417"/>
        <v>aceptable</v>
      </c>
      <c r="AZ137" s="22" t="str">
        <f t="shared" si="418"/>
        <v>aceptable</v>
      </c>
      <c r="BA137" s="22" t="str">
        <f t="shared" si="438"/>
        <v>aceptable</v>
      </c>
      <c r="BB137" s="25" t="str">
        <f t="shared" si="439"/>
        <v>NO CONFORME</v>
      </c>
      <c r="BC137" s="5" t="str">
        <f t="shared" si="440"/>
        <v>NO CONFORME</v>
      </c>
      <c r="BD137" s="15">
        <f t="shared" si="419"/>
        <v>-1</v>
      </c>
      <c r="BE137" s="15">
        <f t="shared" si="420"/>
        <v>-1</v>
      </c>
      <c r="BF137" s="15">
        <f t="shared" si="421"/>
        <v>-1</v>
      </c>
      <c r="BG137" s="15" t="str">
        <f t="shared" si="422"/>
        <v>-1-1-1</v>
      </c>
      <c r="BH137" s="15" t="str">
        <f t="shared" si="423"/>
        <v>SD</v>
      </c>
      <c r="BI137" s="15" t="str">
        <f t="shared" si="424"/>
        <v>SI</v>
      </c>
      <c r="BJ137" s="15" t="b">
        <f t="shared" si="425"/>
        <v>1</v>
      </c>
      <c r="BK137" s="15" t="str">
        <f t="shared" si="426"/>
        <v>SIGIGUALES</v>
      </c>
      <c r="BL137" s="22" t="str">
        <f t="shared" si="427"/>
        <v>NO CONFORME</v>
      </c>
    </row>
    <row r="138" spans="1:64" ht="14.4" x14ac:dyDescent="0.3">
      <c r="A138" s="91">
        <v>130</v>
      </c>
      <c r="B138" s="28">
        <f t="shared" ref="B138:E138" si="834">B137</f>
        <v>45920</v>
      </c>
      <c r="C138" s="28">
        <f t="shared" si="834"/>
        <v>45920</v>
      </c>
      <c r="D138" s="12">
        <f t="shared" si="834"/>
        <v>3</v>
      </c>
      <c r="E138" s="10">
        <f t="shared" si="834"/>
        <v>8</v>
      </c>
      <c r="F138" s="13"/>
      <c r="G138" s="157"/>
      <c r="H138" s="70">
        <f t="shared" ref="H138:L138" si="835">H137</f>
        <v>25.6</v>
      </c>
      <c r="I138" s="36">
        <f t="shared" si="835"/>
        <v>0</v>
      </c>
      <c r="J138" s="35">
        <f t="shared" si="835"/>
        <v>20.9</v>
      </c>
      <c r="K138" s="122">
        <f t="shared" si="835"/>
        <v>8.4730000000000008</v>
      </c>
      <c r="L138" s="122">
        <f t="shared" si="835"/>
        <v>0.52100000000000002</v>
      </c>
      <c r="M138" s="41"/>
      <c r="N138" s="41"/>
      <c r="O138" s="32">
        <f t="shared" ref="O138:P138" si="836">O137</f>
        <v>100.48</v>
      </c>
      <c r="P138" s="168" t="str">
        <f t="shared" si="836"/>
        <v>2,29,610</v>
      </c>
      <c r="Q138" s="11" t="str">
        <f t="shared" si="493"/>
        <v>2</v>
      </c>
      <c r="R138" s="11" t="str">
        <f t="shared" si="494"/>
        <v>29,610</v>
      </c>
      <c r="S138" s="11">
        <f t="shared" si="495"/>
        <v>4.1558333333333336E-2</v>
      </c>
      <c r="T138" s="14">
        <f t="shared" si="496"/>
        <v>2417.8062963705634</v>
      </c>
      <c r="U138" s="37">
        <f t="shared" si="497"/>
        <v>-100</v>
      </c>
      <c r="V138" s="38">
        <f t="shared" ref="V138:W138" si="837">V137</f>
        <v>21.3</v>
      </c>
      <c r="W138" s="124">
        <f t="shared" si="837"/>
        <v>1.0960000000000001</v>
      </c>
      <c r="X138" s="124">
        <f t="shared" si="746"/>
        <v>1.0880000000000001</v>
      </c>
      <c r="Y138" s="41"/>
      <c r="Z138" s="41"/>
      <c r="AA138" s="90">
        <f t="shared" ref="AA138:AB138" si="838">AA137</f>
        <v>5.01</v>
      </c>
      <c r="AB138" s="73" t="str">
        <f t="shared" si="838"/>
        <v>11,15,880</v>
      </c>
      <c r="AC138" s="11" t="str">
        <f t="shared" si="500"/>
        <v>11</v>
      </c>
      <c r="AD138" s="11" t="str">
        <f t="shared" si="501"/>
        <v>15,880</v>
      </c>
      <c r="AE138" s="11">
        <f t="shared" si="502"/>
        <v>0.18774444444444444</v>
      </c>
      <c r="AF138" s="14">
        <f t="shared" si="503"/>
        <v>26.685210392377346</v>
      </c>
      <c r="AG138" s="39">
        <f t="shared" si="504"/>
        <v>-100</v>
      </c>
      <c r="AH138" s="38">
        <f t="shared" si="754"/>
        <v>18.399999999999999</v>
      </c>
      <c r="AI138" s="124">
        <f t="shared" si="754"/>
        <v>1.0980000000000001</v>
      </c>
      <c r="AJ138" s="124">
        <f t="shared" si="754"/>
        <v>1.087</v>
      </c>
      <c r="AK138" s="41">
        <f t="shared" si="505"/>
        <v>0</v>
      </c>
      <c r="AL138" s="41"/>
      <c r="AM138" s="34">
        <f t="shared" ref="AM138:AN138" si="839">AM137</f>
        <v>2.0049999999999999</v>
      </c>
      <c r="AN138" s="33" t="str">
        <f t="shared" si="839"/>
        <v>7,19,050</v>
      </c>
      <c r="AO138" s="11" t="str">
        <f t="shared" si="507"/>
        <v>7,</v>
      </c>
      <c r="AP138" s="11" t="str">
        <f t="shared" si="508"/>
        <v>19,050</v>
      </c>
      <c r="AQ138" s="11">
        <f t="shared" si="509"/>
        <v>0.12195833333333334</v>
      </c>
      <c r="AR138" s="14">
        <f t="shared" si="510"/>
        <v>16.44004099760847</v>
      </c>
      <c r="AS138" s="39">
        <f t="shared" si="511"/>
        <v>-100</v>
      </c>
      <c r="AT138" s="40" t="str">
        <f t="shared" si="512"/>
        <v>NO CONFORME</v>
      </c>
      <c r="AU138" s="8" t="b">
        <f t="shared" si="434"/>
        <v>1</v>
      </c>
      <c r="AV138" s="8" t="b">
        <f t="shared" si="435"/>
        <v>0</v>
      </c>
      <c r="AW138" s="8" t="b">
        <f t="shared" si="436"/>
        <v>1</v>
      </c>
      <c r="AX138" s="8" t="str">
        <f t="shared" si="437"/>
        <v>Qcorrecto</v>
      </c>
      <c r="AY138" s="22" t="str">
        <f t="shared" ref="AY138:AY201" si="840">IF(AR138&lt;$AH$6,"error",IF(AR138&gt;$AH$6*1.1,"error","aceptable"))</f>
        <v>aceptable</v>
      </c>
      <c r="AZ138" s="22" t="str">
        <f t="shared" ref="AZ138:AZ201" si="841">IF(AF138&lt;$V$6,"error",IF(AF138&gt;$V$6*1.1,"error","aceptable"))</f>
        <v>aceptable</v>
      </c>
      <c r="BA138" s="22" t="str">
        <f t="shared" si="438"/>
        <v>aceptable</v>
      </c>
      <c r="BB138" s="25" t="str">
        <f t="shared" si="439"/>
        <v>NO CONFORME</v>
      </c>
      <c r="BC138" s="5" t="str">
        <f t="shared" si="440"/>
        <v>NO CONFORME</v>
      </c>
      <c r="BD138" s="15">
        <f t="shared" ref="BD138:BD201" si="842">SIGN(U138)</f>
        <v>-1</v>
      </c>
      <c r="BE138" s="15">
        <f t="shared" ref="BE138:BE201" si="843">SIGN(AG138)</f>
        <v>-1</v>
      </c>
      <c r="BF138" s="15">
        <f t="shared" ref="BF138:BF201" si="844">SIGN(AS138)</f>
        <v>-1</v>
      </c>
      <c r="BG138" s="15" t="str">
        <f t="shared" ref="BG138:BG201" si="845">CONCATENATE(BD138,BE138,BF138)</f>
        <v>-1-1-1</v>
      </c>
      <c r="BH138" s="15" t="str">
        <f t="shared" ref="BH138:BH201" si="846">IF(BG138="111","SI","SD")</f>
        <v>SD</v>
      </c>
      <c r="BI138" s="15" t="str">
        <f t="shared" ref="BI138:BI201" si="847">IF(BG138="-1-1-1","SI","SD")</f>
        <v>SI</v>
      </c>
      <c r="BJ138" s="15" t="b">
        <f t="shared" ref="BJ138:BJ201" si="848">OR(BH138="SI",BI138="SI")</f>
        <v>1</v>
      </c>
      <c r="BK138" s="15" t="str">
        <f t="shared" ref="BK138:BK201" si="849">IF(BJ138=FALSE,"SIGDIFERENTES","SIGIGUALES")</f>
        <v>SIGIGUALES</v>
      </c>
      <c r="BL138" s="22" t="str">
        <f t="shared" ref="BL138:BL201" si="850">IF(BC138="NO CONFORME","NO CONFORME",IF(BB138="CONFORME","CONFORME","NO CONFORME"))</f>
        <v>NO CONFORME</v>
      </c>
    </row>
    <row r="139" spans="1:64" ht="14.4" x14ac:dyDescent="0.3">
      <c r="A139" s="91">
        <v>131</v>
      </c>
      <c r="B139" s="28">
        <f t="shared" ref="B139:E139" si="851">B138</f>
        <v>45920</v>
      </c>
      <c r="C139" s="28">
        <f t="shared" si="851"/>
        <v>45920</v>
      </c>
      <c r="D139" s="12">
        <f t="shared" si="851"/>
        <v>3</v>
      </c>
      <c r="E139" s="10">
        <f t="shared" si="851"/>
        <v>8</v>
      </c>
      <c r="F139" s="13"/>
      <c r="G139" s="157"/>
      <c r="H139" s="70">
        <f t="shared" ref="H139:L139" si="852">H138</f>
        <v>25.6</v>
      </c>
      <c r="I139" s="36">
        <f t="shared" si="852"/>
        <v>0</v>
      </c>
      <c r="J139" s="35">
        <f t="shared" si="852"/>
        <v>20.9</v>
      </c>
      <c r="K139" s="122">
        <f t="shared" si="852"/>
        <v>8.4730000000000008</v>
      </c>
      <c r="L139" s="122">
        <f t="shared" si="852"/>
        <v>0.52100000000000002</v>
      </c>
      <c r="M139" s="41"/>
      <c r="N139" s="41"/>
      <c r="O139" s="32">
        <f t="shared" ref="O139:P139" si="853">O138</f>
        <v>100.48</v>
      </c>
      <c r="P139" s="168" t="str">
        <f t="shared" si="853"/>
        <v>2,29,610</v>
      </c>
      <c r="Q139" s="11" t="str">
        <f t="shared" si="493"/>
        <v>2</v>
      </c>
      <c r="R139" s="11" t="str">
        <f t="shared" si="494"/>
        <v>29,610</v>
      </c>
      <c r="S139" s="11">
        <f t="shared" si="495"/>
        <v>4.1558333333333336E-2</v>
      </c>
      <c r="T139" s="14">
        <f t="shared" si="496"/>
        <v>2417.8062963705634</v>
      </c>
      <c r="U139" s="37">
        <f t="shared" si="497"/>
        <v>-100</v>
      </c>
      <c r="V139" s="38">
        <f t="shared" ref="V139:X154" si="854">V138</f>
        <v>21.3</v>
      </c>
      <c r="W139" s="124">
        <f t="shared" si="854"/>
        <v>1.0960000000000001</v>
      </c>
      <c r="X139" s="124">
        <f t="shared" si="854"/>
        <v>1.0880000000000001</v>
      </c>
      <c r="Y139" s="41"/>
      <c r="Z139" s="41"/>
      <c r="AA139" s="90">
        <f t="shared" ref="AA139:AB139" si="855">AA138</f>
        <v>5.01</v>
      </c>
      <c r="AB139" s="73" t="str">
        <f t="shared" si="855"/>
        <v>11,15,880</v>
      </c>
      <c r="AC139" s="11" t="str">
        <f t="shared" si="500"/>
        <v>11</v>
      </c>
      <c r="AD139" s="11" t="str">
        <f t="shared" si="501"/>
        <v>15,880</v>
      </c>
      <c r="AE139" s="11">
        <f t="shared" si="502"/>
        <v>0.18774444444444444</v>
      </c>
      <c r="AF139" s="14">
        <f t="shared" si="503"/>
        <v>26.685210392377346</v>
      </c>
      <c r="AG139" s="39">
        <f t="shared" si="504"/>
        <v>-100</v>
      </c>
      <c r="AH139" s="38">
        <f t="shared" si="754"/>
        <v>18.399999999999999</v>
      </c>
      <c r="AI139" s="124">
        <f t="shared" si="754"/>
        <v>1.0980000000000001</v>
      </c>
      <c r="AJ139" s="124">
        <f t="shared" si="754"/>
        <v>1.087</v>
      </c>
      <c r="AK139" s="41">
        <f t="shared" si="505"/>
        <v>0</v>
      </c>
      <c r="AL139" s="41"/>
      <c r="AM139" s="34">
        <f t="shared" ref="AM139:AN139" si="856">AM138</f>
        <v>2.0049999999999999</v>
      </c>
      <c r="AN139" s="33" t="str">
        <f t="shared" si="856"/>
        <v>7,19,050</v>
      </c>
      <c r="AO139" s="11" t="str">
        <f t="shared" si="507"/>
        <v>7,</v>
      </c>
      <c r="AP139" s="11" t="str">
        <f t="shared" si="508"/>
        <v>19,050</v>
      </c>
      <c r="AQ139" s="11">
        <f t="shared" si="509"/>
        <v>0.12195833333333334</v>
      </c>
      <c r="AR139" s="14">
        <f t="shared" si="510"/>
        <v>16.44004099760847</v>
      </c>
      <c r="AS139" s="39">
        <f t="shared" si="511"/>
        <v>-100</v>
      </c>
      <c r="AT139" s="40" t="str">
        <f t="shared" si="512"/>
        <v>NO CONFORME</v>
      </c>
      <c r="AU139" s="8" t="b">
        <f t="shared" ref="AU139:AU202" si="857">B139&lt;=C139</f>
        <v>1</v>
      </c>
      <c r="AV139" s="8" t="b">
        <f t="shared" ref="AV139:AV202" si="858">N139&lt;Y139</f>
        <v>0</v>
      </c>
      <c r="AW139" s="8" t="b">
        <f t="shared" ref="AW139:AW202" si="859">Z139&lt;=AK139</f>
        <v>1</v>
      </c>
      <c r="AX139" s="8" t="str">
        <f t="shared" ref="AX139:AX202" si="860">IF(I139&gt;=1,"Qcorrecto",IF(AND(AY139="aceptable",AZ139="aceptable",BA139="aceptable"),"Qcorrecto","Qincorrecto"))</f>
        <v>Qcorrecto</v>
      </c>
      <c r="AY139" s="22" t="str">
        <f t="shared" si="840"/>
        <v>aceptable</v>
      </c>
      <c r="AZ139" s="22" t="str">
        <f t="shared" si="841"/>
        <v>aceptable</v>
      </c>
      <c r="BA139" s="22" t="str">
        <f t="shared" ref="BA139:BA202" si="861">IF(T139&lt;$J$6*0.9,"error",IF(T139&gt;$J$6,"error","aceptable"))</f>
        <v>aceptable</v>
      </c>
      <c r="BB139" s="25" t="str">
        <f t="shared" ref="BB139:BB202" si="862">(IF(ABS(U139)&lt;1.05,"CONFORME",IF(ABS(AG139)&lt;1.05,"CONFORME",IF(ABS(AS139)&lt;2.55,"CONFORME","NO CONFORME"))))</f>
        <v>NO CONFORME</v>
      </c>
      <c r="BC139" s="5" t="str">
        <f t="shared" ref="BC139:BC202" si="863">(IF(ABS(U139)&gt;2.05,"NO CONFORME",IF(ABS(AG139)&gt;2.05,"NO CONFORME",IF(ABS(AS139)&gt;5.05,"NO CONFORME","CONFORME"))))</f>
        <v>NO CONFORME</v>
      </c>
      <c r="BD139" s="15">
        <f t="shared" si="842"/>
        <v>-1</v>
      </c>
      <c r="BE139" s="15">
        <f t="shared" si="843"/>
        <v>-1</v>
      </c>
      <c r="BF139" s="15">
        <f t="shared" si="844"/>
        <v>-1</v>
      </c>
      <c r="BG139" s="15" t="str">
        <f t="shared" si="845"/>
        <v>-1-1-1</v>
      </c>
      <c r="BH139" s="15" t="str">
        <f t="shared" si="846"/>
        <v>SD</v>
      </c>
      <c r="BI139" s="15" t="str">
        <f t="shared" si="847"/>
        <v>SI</v>
      </c>
      <c r="BJ139" s="15" t="b">
        <f t="shared" si="848"/>
        <v>1</v>
      </c>
      <c r="BK139" s="15" t="str">
        <f t="shared" si="849"/>
        <v>SIGIGUALES</v>
      </c>
      <c r="BL139" s="22" t="str">
        <f t="shared" si="850"/>
        <v>NO CONFORME</v>
      </c>
    </row>
    <row r="140" spans="1:64" ht="14.4" x14ac:dyDescent="0.3">
      <c r="A140" s="91">
        <v>132</v>
      </c>
      <c r="B140" s="28">
        <f t="shared" ref="B140:E140" si="864">B139</f>
        <v>45920</v>
      </c>
      <c r="C140" s="28">
        <f t="shared" si="864"/>
        <v>45920</v>
      </c>
      <c r="D140" s="12">
        <f t="shared" si="864"/>
        <v>3</v>
      </c>
      <c r="E140" s="10">
        <f t="shared" si="864"/>
        <v>8</v>
      </c>
      <c r="F140" s="13"/>
      <c r="G140" s="157"/>
      <c r="H140" s="70">
        <f t="shared" ref="H140:L140" si="865">H139</f>
        <v>25.6</v>
      </c>
      <c r="I140" s="36">
        <f t="shared" si="865"/>
        <v>0</v>
      </c>
      <c r="J140" s="35">
        <f t="shared" si="865"/>
        <v>20.9</v>
      </c>
      <c r="K140" s="122">
        <f t="shared" si="865"/>
        <v>8.4730000000000008</v>
      </c>
      <c r="L140" s="122">
        <f t="shared" si="865"/>
        <v>0.52100000000000002</v>
      </c>
      <c r="M140" s="41"/>
      <c r="N140" s="41"/>
      <c r="O140" s="32">
        <f t="shared" ref="O140:P140" si="866">O139</f>
        <v>100.48</v>
      </c>
      <c r="P140" s="168" t="str">
        <f t="shared" si="866"/>
        <v>2,29,610</v>
      </c>
      <c r="Q140" s="11" t="str">
        <f t="shared" si="493"/>
        <v>2</v>
      </c>
      <c r="R140" s="11" t="str">
        <f t="shared" si="494"/>
        <v>29,610</v>
      </c>
      <c r="S140" s="11">
        <f t="shared" si="495"/>
        <v>4.1558333333333336E-2</v>
      </c>
      <c r="T140" s="14">
        <f t="shared" si="496"/>
        <v>2417.8062963705634</v>
      </c>
      <c r="U140" s="37">
        <f t="shared" si="497"/>
        <v>-100</v>
      </c>
      <c r="V140" s="38">
        <f t="shared" ref="V140:W140" si="867">V139</f>
        <v>21.3</v>
      </c>
      <c r="W140" s="124">
        <f t="shared" si="867"/>
        <v>1.0960000000000001</v>
      </c>
      <c r="X140" s="124">
        <f t="shared" si="854"/>
        <v>1.0880000000000001</v>
      </c>
      <c r="Y140" s="41"/>
      <c r="Z140" s="41"/>
      <c r="AA140" s="90">
        <f t="shared" ref="AA140:AB140" si="868">AA139</f>
        <v>5.01</v>
      </c>
      <c r="AB140" s="73" t="str">
        <f t="shared" si="868"/>
        <v>11,15,880</v>
      </c>
      <c r="AC140" s="11" t="str">
        <f t="shared" si="500"/>
        <v>11</v>
      </c>
      <c r="AD140" s="11" t="str">
        <f t="shared" si="501"/>
        <v>15,880</v>
      </c>
      <c r="AE140" s="11">
        <f t="shared" si="502"/>
        <v>0.18774444444444444</v>
      </c>
      <c r="AF140" s="14">
        <f t="shared" si="503"/>
        <v>26.685210392377346</v>
      </c>
      <c r="AG140" s="39">
        <f t="shared" si="504"/>
        <v>-100</v>
      </c>
      <c r="AH140" s="38">
        <f t="shared" ref="AH140:AJ155" si="869">AH139</f>
        <v>18.399999999999999</v>
      </c>
      <c r="AI140" s="124">
        <f t="shared" si="869"/>
        <v>1.0980000000000001</v>
      </c>
      <c r="AJ140" s="124">
        <f t="shared" si="869"/>
        <v>1.087</v>
      </c>
      <c r="AK140" s="41">
        <f t="shared" si="505"/>
        <v>0</v>
      </c>
      <c r="AL140" s="41"/>
      <c r="AM140" s="34">
        <f t="shared" ref="AM140:AN140" si="870">AM139</f>
        <v>2.0049999999999999</v>
      </c>
      <c r="AN140" s="33" t="str">
        <f t="shared" si="870"/>
        <v>7,19,050</v>
      </c>
      <c r="AO140" s="11" t="str">
        <f t="shared" si="507"/>
        <v>7,</v>
      </c>
      <c r="AP140" s="11" t="str">
        <f t="shared" si="508"/>
        <v>19,050</v>
      </c>
      <c r="AQ140" s="11">
        <f t="shared" si="509"/>
        <v>0.12195833333333334</v>
      </c>
      <c r="AR140" s="14">
        <f t="shared" si="510"/>
        <v>16.44004099760847</v>
      </c>
      <c r="AS140" s="39">
        <f t="shared" si="511"/>
        <v>-100</v>
      </c>
      <c r="AT140" s="40" t="str">
        <f t="shared" si="512"/>
        <v>NO CONFORME</v>
      </c>
      <c r="AU140" s="8" t="b">
        <f t="shared" si="857"/>
        <v>1</v>
      </c>
      <c r="AV140" s="8" t="b">
        <f t="shared" si="858"/>
        <v>0</v>
      </c>
      <c r="AW140" s="8" t="b">
        <f t="shared" si="859"/>
        <v>1</v>
      </c>
      <c r="AX140" s="8" t="str">
        <f t="shared" si="860"/>
        <v>Qcorrecto</v>
      </c>
      <c r="AY140" s="22" t="str">
        <f t="shared" si="840"/>
        <v>aceptable</v>
      </c>
      <c r="AZ140" s="22" t="str">
        <f t="shared" si="841"/>
        <v>aceptable</v>
      </c>
      <c r="BA140" s="22" t="str">
        <f t="shared" si="861"/>
        <v>aceptable</v>
      </c>
      <c r="BB140" s="25" t="str">
        <f t="shared" si="862"/>
        <v>NO CONFORME</v>
      </c>
      <c r="BC140" s="5" t="str">
        <f t="shared" si="863"/>
        <v>NO CONFORME</v>
      </c>
      <c r="BD140" s="15">
        <f t="shared" si="842"/>
        <v>-1</v>
      </c>
      <c r="BE140" s="15">
        <f t="shared" si="843"/>
        <v>-1</v>
      </c>
      <c r="BF140" s="15">
        <f t="shared" si="844"/>
        <v>-1</v>
      </c>
      <c r="BG140" s="15" t="str">
        <f t="shared" si="845"/>
        <v>-1-1-1</v>
      </c>
      <c r="BH140" s="15" t="str">
        <f t="shared" si="846"/>
        <v>SD</v>
      </c>
      <c r="BI140" s="15" t="str">
        <f t="shared" si="847"/>
        <v>SI</v>
      </c>
      <c r="BJ140" s="15" t="b">
        <f t="shared" si="848"/>
        <v>1</v>
      </c>
      <c r="BK140" s="15" t="str">
        <f t="shared" si="849"/>
        <v>SIGIGUALES</v>
      </c>
      <c r="BL140" s="22" t="str">
        <f t="shared" si="850"/>
        <v>NO CONFORME</v>
      </c>
    </row>
    <row r="141" spans="1:64" ht="14.4" x14ac:dyDescent="0.3">
      <c r="A141" s="91">
        <v>133</v>
      </c>
      <c r="B141" s="28">
        <f t="shared" ref="B141:E141" si="871">B140</f>
        <v>45920</v>
      </c>
      <c r="C141" s="28">
        <f t="shared" si="871"/>
        <v>45920</v>
      </c>
      <c r="D141" s="12">
        <f t="shared" si="871"/>
        <v>3</v>
      </c>
      <c r="E141" s="10">
        <f t="shared" si="871"/>
        <v>8</v>
      </c>
      <c r="F141" s="13"/>
      <c r="G141" s="157"/>
      <c r="H141" s="70">
        <f t="shared" ref="H141:L141" si="872">H140</f>
        <v>25.6</v>
      </c>
      <c r="I141" s="36">
        <f t="shared" si="872"/>
        <v>0</v>
      </c>
      <c r="J141" s="35">
        <f t="shared" si="872"/>
        <v>20.9</v>
      </c>
      <c r="K141" s="122">
        <f t="shared" si="872"/>
        <v>8.4730000000000008</v>
      </c>
      <c r="L141" s="122">
        <f t="shared" si="872"/>
        <v>0.52100000000000002</v>
      </c>
      <c r="M141" s="41"/>
      <c r="N141" s="41"/>
      <c r="O141" s="32">
        <f t="shared" ref="O141:P141" si="873">O140</f>
        <v>100.48</v>
      </c>
      <c r="P141" s="168" t="str">
        <f t="shared" si="873"/>
        <v>2,29,610</v>
      </c>
      <c r="Q141" s="11" t="str">
        <f t="shared" si="493"/>
        <v>2</v>
      </c>
      <c r="R141" s="11" t="str">
        <f t="shared" si="494"/>
        <v>29,610</v>
      </c>
      <c r="S141" s="11">
        <f t="shared" si="495"/>
        <v>4.1558333333333336E-2</v>
      </c>
      <c r="T141" s="14">
        <f t="shared" si="496"/>
        <v>2417.8062963705634</v>
      </c>
      <c r="U141" s="37">
        <f t="shared" si="497"/>
        <v>-100</v>
      </c>
      <c r="V141" s="38">
        <f t="shared" ref="V141:W141" si="874">V140</f>
        <v>21.3</v>
      </c>
      <c r="W141" s="124">
        <f t="shared" si="874"/>
        <v>1.0960000000000001</v>
      </c>
      <c r="X141" s="124">
        <f t="shared" si="854"/>
        <v>1.0880000000000001</v>
      </c>
      <c r="Y141" s="41"/>
      <c r="Z141" s="41"/>
      <c r="AA141" s="90">
        <f t="shared" ref="AA141:AB141" si="875">AA140</f>
        <v>5.01</v>
      </c>
      <c r="AB141" s="73" t="str">
        <f t="shared" si="875"/>
        <v>11,15,880</v>
      </c>
      <c r="AC141" s="11" t="str">
        <f t="shared" si="500"/>
        <v>11</v>
      </c>
      <c r="AD141" s="11" t="str">
        <f t="shared" si="501"/>
        <v>15,880</v>
      </c>
      <c r="AE141" s="11">
        <f t="shared" si="502"/>
        <v>0.18774444444444444</v>
      </c>
      <c r="AF141" s="14">
        <f t="shared" si="503"/>
        <v>26.685210392377346</v>
      </c>
      <c r="AG141" s="39">
        <f t="shared" si="504"/>
        <v>-100</v>
      </c>
      <c r="AH141" s="38">
        <f t="shared" si="869"/>
        <v>18.399999999999999</v>
      </c>
      <c r="AI141" s="124">
        <f t="shared" si="869"/>
        <v>1.0980000000000001</v>
      </c>
      <c r="AJ141" s="124">
        <f t="shared" si="869"/>
        <v>1.087</v>
      </c>
      <c r="AK141" s="41">
        <f t="shared" si="505"/>
        <v>0</v>
      </c>
      <c r="AL141" s="41"/>
      <c r="AM141" s="34">
        <f t="shared" ref="AM141:AN141" si="876">AM140</f>
        <v>2.0049999999999999</v>
      </c>
      <c r="AN141" s="33" t="str">
        <f t="shared" si="876"/>
        <v>7,19,050</v>
      </c>
      <c r="AO141" s="11" t="str">
        <f t="shared" si="507"/>
        <v>7,</v>
      </c>
      <c r="AP141" s="11" t="str">
        <f t="shared" si="508"/>
        <v>19,050</v>
      </c>
      <c r="AQ141" s="11">
        <f t="shared" si="509"/>
        <v>0.12195833333333334</v>
      </c>
      <c r="AR141" s="14">
        <f t="shared" si="510"/>
        <v>16.44004099760847</v>
      </c>
      <c r="AS141" s="39">
        <f t="shared" si="511"/>
        <v>-100</v>
      </c>
      <c r="AT141" s="40" t="str">
        <f t="shared" si="512"/>
        <v>NO CONFORME</v>
      </c>
      <c r="AU141" s="8" t="b">
        <f t="shared" si="857"/>
        <v>1</v>
      </c>
      <c r="AV141" s="8" t="b">
        <f t="shared" si="858"/>
        <v>0</v>
      </c>
      <c r="AW141" s="8" t="b">
        <f t="shared" si="859"/>
        <v>1</v>
      </c>
      <c r="AX141" s="8" t="str">
        <f t="shared" si="860"/>
        <v>Qcorrecto</v>
      </c>
      <c r="AY141" s="22" t="str">
        <f t="shared" si="840"/>
        <v>aceptable</v>
      </c>
      <c r="AZ141" s="22" t="str">
        <f t="shared" si="841"/>
        <v>aceptable</v>
      </c>
      <c r="BA141" s="22" t="str">
        <f t="shared" si="861"/>
        <v>aceptable</v>
      </c>
      <c r="BB141" s="25" t="str">
        <f t="shared" si="862"/>
        <v>NO CONFORME</v>
      </c>
      <c r="BC141" s="5" t="str">
        <f t="shared" si="863"/>
        <v>NO CONFORME</v>
      </c>
      <c r="BD141" s="15">
        <f t="shared" si="842"/>
        <v>-1</v>
      </c>
      <c r="BE141" s="15">
        <f t="shared" si="843"/>
        <v>-1</v>
      </c>
      <c r="BF141" s="15">
        <f t="shared" si="844"/>
        <v>-1</v>
      </c>
      <c r="BG141" s="15" t="str">
        <f t="shared" si="845"/>
        <v>-1-1-1</v>
      </c>
      <c r="BH141" s="15" t="str">
        <f t="shared" si="846"/>
        <v>SD</v>
      </c>
      <c r="BI141" s="15" t="str">
        <f t="shared" si="847"/>
        <v>SI</v>
      </c>
      <c r="BJ141" s="15" t="b">
        <f t="shared" si="848"/>
        <v>1</v>
      </c>
      <c r="BK141" s="15" t="str">
        <f t="shared" si="849"/>
        <v>SIGIGUALES</v>
      </c>
      <c r="BL141" s="22" t="str">
        <f t="shared" si="850"/>
        <v>NO CONFORME</v>
      </c>
    </row>
    <row r="142" spans="1:64" ht="14.4" x14ac:dyDescent="0.3">
      <c r="A142" s="91">
        <v>134</v>
      </c>
      <c r="B142" s="28">
        <f t="shared" ref="B142:E142" si="877">B141</f>
        <v>45920</v>
      </c>
      <c r="C142" s="28">
        <f t="shared" si="877"/>
        <v>45920</v>
      </c>
      <c r="D142" s="12">
        <f t="shared" si="877"/>
        <v>3</v>
      </c>
      <c r="E142" s="10">
        <f t="shared" si="877"/>
        <v>8</v>
      </c>
      <c r="F142" s="13"/>
      <c r="G142" s="157"/>
      <c r="H142" s="70">
        <f t="shared" ref="H142:L142" si="878">H141</f>
        <v>25.6</v>
      </c>
      <c r="I142" s="36">
        <f t="shared" si="878"/>
        <v>0</v>
      </c>
      <c r="J142" s="35">
        <f t="shared" si="878"/>
        <v>20.9</v>
      </c>
      <c r="K142" s="122">
        <f t="shared" si="878"/>
        <v>8.4730000000000008</v>
      </c>
      <c r="L142" s="122">
        <f t="shared" si="878"/>
        <v>0.52100000000000002</v>
      </c>
      <c r="M142" s="41"/>
      <c r="N142" s="41"/>
      <c r="O142" s="32">
        <f t="shared" ref="O142:P142" si="879">O141</f>
        <v>100.48</v>
      </c>
      <c r="P142" s="168" t="str">
        <f t="shared" si="879"/>
        <v>2,29,610</v>
      </c>
      <c r="Q142" s="11" t="str">
        <f t="shared" si="493"/>
        <v>2</v>
      </c>
      <c r="R142" s="11" t="str">
        <f t="shared" si="494"/>
        <v>29,610</v>
      </c>
      <c r="S142" s="11">
        <f t="shared" si="495"/>
        <v>4.1558333333333336E-2</v>
      </c>
      <c r="T142" s="14">
        <f t="shared" si="496"/>
        <v>2417.8062963705634</v>
      </c>
      <c r="U142" s="37">
        <f t="shared" si="497"/>
        <v>-100</v>
      </c>
      <c r="V142" s="38">
        <f t="shared" ref="V142:W142" si="880">V141</f>
        <v>21.3</v>
      </c>
      <c r="W142" s="124">
        <f t="shared" si="880"/>
        <v>1.0960000000000001</v>
      </c>
      <c r="X142" s="124">
        <f t="shared" si="854"/>
        <v>1.0880000000000001</v>
      </c>
      <c r="Y142" s="41"/>
      <c r="Z142" s="41"/>
      <c r="AA142" s="90">
        <f t="shared" ref="AA142:AB142" si="881">AA141</f>
        <v>5.01</v>
      </c>
      <c r="AB142" s="73" t="str">
        <f t="shared" si="881"/>
        <v>11,15,880</v>
      </c>
      <c r="AC142" s="11" t="str">
        <f t="shared" si="500"/>
        <v>11</v>
      </c>
      <c r="AD142" s="11" t="str">
        <f t="shared" si="501"/>
        <v>15,880</v>
      </c>
      <c r="AE142" s="11">
        <f t="shared" si="502"/>
        <v>0.18774444444444444</v>
      </c>
      <c r="AF142" s="14">
        <f t="shared" si="503"/>
        <v>26.685210392377346</v>
      </c>
      <c r="AG142" s="39">
        <f t="shared" si="504"/>
        <v>-100</v>
      </c>
      <c r="AH142" s="38">
        <f t="shared" si="869"/>
        <v>18.399999999999999</v>
      </c>
      <c r="AI142" s="124">
        <f t="shared" si="869"/>
        <v>1.0980000000000001</v>
      </c>
      <c r="AJ142" s="124">
        <f t="shared" si="869"/>
        <v>1.087</v>
      </c>
      <c r="AK142" s="41">
        <f t="shared" si="505"/>
        <v>0</v>
      </c>
      <c r="AL142" s="41"/>
      <c r="AM142" s="34">
        <f t="shared" ref="AM142:AN142" si="882">AM141</f>
        <v>2.0049999999999999</v>
      </c>
      <c r="AN142" s="33" t="str">
        <f t="shared" si="882"/>
        <v>7,19,050</v>
      </c>
      <c r="AO142" s="11" t="str">
        <f t="shared" si="507"/>
        <v>7,</v>
      </c>
      <c r="AP142" s="11" t="str">
        <f t="shared" si="508"/>
        <v>19,050</v>
      </c>
      <c r="AQ142" s="11">
        <f t="shared" si="509"/>
        <v>0.12195833333333334</v>
      </c>
      <c r="AR142" s="14">
        <f t="shared" si="510"/>
        <v>16.44004099760847</v>
      </c>
      <c r="AS142" s="39">
        <f t="shared" si="511"/>
        <v>-100</v>
      </c>
      <c r="AT142" s="40" t="str">
        <f t="shared" si="512"/>
        <v>NO CONFORME</v>
      </c>
      <c r="AU142" s="8" t="b">
        <f t="shared" si="857"/>
        <v>1</v>
      </c>
      <c r="AV142" s="8" t="b">
        <f t="shared" si="858"/>
        <v>0</v>
      </c>
      <c r="AW142" s="8" t="b">
        <f t="shared" si="859"/>
        <v>1</v>
      </c>
      <c r="AX142" s="8" t="str">
        <f t="shared" si="860"/>
        <v>Qcorrecto</v>
      </c>
      <c r="AY142" s="22" t="str">
        <f t="shared" si="840"/>
        <v>aceptable</v>
      </c>
      <c r="AZ142" s="22" t="str">
        <f t="shared" si="841"/>
        <v>aceptable</v>
      </c>
      <c r="BA142" s="22" t="str">
        <f t="shared" si="861"/>
        <v>aceptable</v>
      </c>
      <c r="BB142" s="25" t="str">
        <f t="shared" si="862"/>
        <v>NO CONFORME</v>
      </c>
      <c r="BC142" s="5" t="str">
        <f t="shared" si="863"/>
        <v>NO CONFORME</v>
      </c>
      <c r="BD142" s="15">
        <f t="shared" si="842"/>
        <v>-1</v>
      </c>
      <c r="BE142" s="15">
        <f t="shared" si="843"/>
        <v>-1</v>
      </c>
      <c r="BF142" s="15">
        <f t="shared" si="844"/>
        <v>-1</v>
      </c>
      <c r="BG142" s="15" t="str">
        <f t="shared" si="845"/>
        <v>-1-1-1</v>
      </c>
      <c r="BH142" s="15" t="str">
        <f t="shared" si="846"/>
        <v>SD</v>
      </c>
      <c r="BI142" s="15" t="str">
        <f t="shared" si="847"/>
        <v>SI</v>
      </c>
      <c r="BJ142" s="15" t="b">
        <f t="shared" si="848"/>
        <v>1</v>
      </c>
      <c r="BK142" s="15" t="str">
        <f t="shared" si="849"/>
        <v>SIGIGUALES</v>
      </c>
      <c r="BL142" s="22" t="str">
        <f t="shared" si="850"/>
        <v>NO CONFORME</v>
      </c>
    </row>
    <row r="143" spans="1:64" ht="14.4" x14ac:dyDescent="0.3">
      <c r="A143" s="91">
        <v>135</v>
      </c>
      <c r="B143" s="28">
        <f t="shared" ref="B143:E143" si="883">B142</f>
        <v>45920</v>
      </c>
      <c r="C143" s="28">
        <f t="shared" si="883"/>
        <v>45920</v>
      </c>
      <c r="D143" s="12">
        <f t="shared" si="883"/>
        <v>3</v>
      </c>
      <c r="E143" s="10">
        <f t="shared" si="883"/>
        <v>8</v>
      </c>
      <c r="F143" s="13"/>
      <c r="G143" s="157"/>
      <c r="H143" s="70">
        <f t="shared" ref="H143:L143" si="884">H142</f>
        <v>25.6</v>
      </c>
      <c r="I143" s="36">
        <f t="shared" si="884"/>
        <v>0</v>
      </c>
      <c r="J143" s="35">
        <f t="shared" si="884"/>
        <v>20.9</v>
      </c>
      <c r="K143" s="122">
        <f t="shared" si="884"/>
        <v>8.4730000000000008</v>
      </c>
      <c r="L143" s="122">
        <f t="shared" si="884"/>
        <v>0.52100000000000002</v>
      </c>
      <c r="M143" s="41"/>
      <c r="N143" s="41"/>
      <c r="O143" s="32">
        <f t="shared" ref="O143:P143" si="885">O142</f>
        <v>100.48</v>
      </c>
      <c r="P143" s="168" t="str">
        <f t="shared" si="885"/>
        <v>2,29,610</v>
      </c>
      <c r="Q143" s="11" t="str">
        <f t="shared" si="493"/>
        <v>2</v>
      </c>
      <c r="R143" s="11" t="str">
        <f t="shared" si="494"/>
        <v>29,610</v>
      </c>
      <c r="S143" s="11">
        <f t="shared" si="495"/>
        <v>4.1558333333333336E-2</v>
      </c>
      <c r="T143" s="14">
        <f t="shared" si="496"/>
        <v>2417.8062963705634</v>
      </c>
      <c r="U143" s="37">
        <f t="shared" si="497"/>
        <v>-100</v>
      </c>
      <c r="V143" s="38">
        <f t="shared" ref="V143:W143" si="886">V142</f>
        <v>21.3</v>
      </c>
      <c r="W143" s="124">
        <f t="shared" si="886"/>
        <v>1.0960000000000001</v>
      </c>
      <c r="X143" s="124">
        <f t="shared" si="854"/>
        <v>1.0880000000000001</v>
      </c>
      <c r="Y143" s="41"/>
      <c r="Z143" s="41"/>
      <c r="AA143" s="90">
        <f t="shared" ref="AA143:AB143" si="887">AA142</f>
        <v>5.01</v>
      </c>
      <c r="AB143" s="73" t="str">
        <f t="shared" si="887"/>
        <v>11,15,880</v>
      </c>
      <c r="AC143" s="11" t="str">
        <f t="shared" si="500"/>
        <v>11</v>
      </c>
      <c r="AD143" s="11" t="str">
        <f t="shared" si="501"/>
        <v>15,880</v>
      </c>
      <c r="AE143" s="11">
        <f t="shared" si="502"/>
        <v>0.18774444444444444</v>
      </c>
      <c r="AF143" s="14">
        <f t="shared" si="503"/>
        <v>26.685210392377346</v>
      </c>
      <c r="AG143" s="39">
        <f t="shared" si="504"/>
        <v>-100</v>
      </c>
      <c r="AH143" s="38">
        <f t="shared" si="869"/>
        <v>18.399999999999999</v>
      </c>
      <c r="AI143" s="124">
        <f t="shared" si="869"/>
        <v>1.0980000000000001</v>
      </c>
      <c r="AJ143" s="124">
        <f t="shared" si="869"/>
        <v>1.087</v>
      </c>
      <c r="AK143" s="41">
        <f t="shared" si="505"/>
        <v>0</v>
      </c>
      <c r="AL143" s="41"/>
      <c r="AM143" s="34">
        <f t="shared" ref="AM143:AN143" si="888">AM142</f>
        <v>2.0049999999999999</v>
      </c>
      <c r="AN143" s="33" t="str">
        <f t="shared" si="888"/>
        <v>7,19,050</v>
      </c>
      <c r="AO143" s="11" t="str">
        <f t="shared" si="507"/>
        <v>7,</v>
      </c>
      <c r="AP143" s="11" t="str">
        <f t="shared" si="508"/>
        <v>19,050</v>
      </c>
      <c r="AQ143" s="11">
        <f t="shared" si="509"/>
        <v>0.12195833333333334</v>
      </c>
      <c r="AR143" s="14">
        <f t="shared" si="510"/>
        <v>16.44004099760847</v>
      </c>
      <c r="AS143" s="39">
        <f t="shared" si="511"/>
        <v>-100</v>
      </c>
      <c r="AT143" s="40" t="str">
        <f t="shared" si="512"/>
        <v>NO CONFORME</v>
      </c>
      <c r="AU143" s="8" t="b">
        <f t="shared" si="857"/>
        <v>1</v>
      </c>
      <c r="AV143" s="8" t="b">
        <f t="shared" si="858"/>
        <v>0</v>
      </c>
      <c r="AW143" s="8" t="b">
        <f t="shared" si="859"/>
        <v>1</v>
      </c>
      <c r="AX143" s="8" t="str">
        <f t="shared" si="860"/>
        <v>Qcorrecto</v>
      </c>
      <c r="AY143" s="22" t="str">
        <f t="shared" si="840"/>
        <v>aceptable</v>
      </c>
      <c r="AZ143" s="22" t="str">
        <f t="shared" si="841"/>
        <v>aceptable</v>
      </c>
      <c r="BA143" s="22" t="str">
        <f t="shared" si="861"/>
        <v>aceptable</v>
      </c>
      <c r="BB143" s="25" t="str">
        <f t="shared" si="862"/>
        <v>NO CONFORME</v>
      </c>
      <c r="BC143" s="5" t="str">
        <f t="shared" si="863"/>
        <v>NO CONFORME</v>
      </c>
      <c r="BD143" s="15">
        <f t="shared" si="842"/>
        <v>-1</v>
      </c>
      <c r="BE143" s="15">
        <f t="shared" si="843"/>
        <v>-1</v>
      </c>
      <c r="BF143" s="15">
        <f t="shared" si="844"/>
        <v>-1</v>
      </c>
      <c r="BG143" s="15" t="str">
        <f t="shared" si="845"/>
        <v>-1-1-1</v>
      </c>
      <c r="BH143" s="15" t="str">
        <f t="shared" si="846"/>
        <v>SD</v>
      </c>
      <c r="BI143" s="15" t="str">
        <f t="shared" si="847"/>
        <v>SI</v>
      </c>
      <c r="BJ143" s="15" t="b">
        <f t="shared" si="848"/>
        <v>1</v>
      </c>
      <c r="BK143" s="15" t="str">
        <f t="shared" si="849"/>
        <v>SIGIGUALES</v>
      </c>
      <c r="BL143" s="22" t="str">
        <f t="shared" si="850"/>
        <v>NO CONFORME</v>
      </c>
    </row>
    <row r="144" spans="1:64" ht="14.4" x14ac:dyDescent="0.3">
      <c r="A144" s="91">
        <v>136</v>
      </c>
      <c r="B144" s="28">
        <f t="shared" ref="B144:E144" si="889">B143</f>
        <v>45920</v>
      </c>
      <c r="C144" s="28">
        <f t="shared" si="889"/>
        <v>45920</v>
      </c>
      <c r="D144" s="12">
        <f t="shared" si="889"/>
        <v>3</v>
      </c>
      <c r="E144" s="10">
        <f t="shared" si="889"/>
        <v>8</v>
      </c>
      <c r="F144" s="13"/>
      <c r="G144" s="157"/>
      <c r="H144" s="70">
        <f t="shared" ref="H144:L144" si="890">H143</f>
        <v>25.6</v>
      </c>
      <c r="I144" s="36">
        <f t="shared" si="890"/>
        <v>0</v>
      </c>
      <c r="J144" s="35">
        <f t="shared" si="890"/>
        <v>20.9</v>
      </c>
      <c r="K144" s="122">
        <f t="shared" si="890"/>
        <v>8.4730000000000008</v>
      </c>
      <c r="L144" s="122">
        <f t="shared" si="890"/>
        <v>0.52100000000000002</v>
      </c>
      <c r="M144" s="41"/>
      <c r="N144" s="41"/>
      <c r="O144" s="32">
        <f t="shared" ref="O144:P144" si="891">O143</f>
        <v>100.48</v>
      </c>
      <c r="P144" s="168" t="str">
        <f t="shared" si="891"/>
        <v>2,29,610</v>
      </c>
      <c r="Q144" s="11" t="str">
        <f t="shared" si="493"/>
        <v>2</v>
      </c>
      <c r="R144" s="11" t="str">
        <f t="shared" si="494"/>
        <v>29,610</v>
      </c>
      <c r="S144" s="11">
        <f t="shared" si="495"/>
        <v>4.1558333333333336E-2</v>
      </c>
      <c r="T144" s="14">
        <f t="shared" si="496"/>
        <v>2417.8062963705634</v>
      </c>
      <c r="U144" s="37">
        <f t="shared" si="497"/>
        <v>-100</v>
      </c>
      <c r="V144" s="38">
        <f t="shared" ref="V144:W144" si="892">V143</f>
        <v>21.3</v>
      </c>
      <c r="W144" s="124">
        <f t="shared" si="892"/>
        <v>1.0960000000000001</v>
      </c>
      <c r="X144" s="124">
        <f t="shared" si="854"/>
        <v>1.0880000000000001</v>
      </c>
      <c r="Y144" s="41"/>
      <c r="Z144" s="41"/>
      <c r="AA144" s="90">
        <f t="shared" ref="AA144:AB144" si="893">AA143</f>
        <v>5.01</v>
      </c>
      <c r="AB144" s="73" t="str">
        <f t="shared" si="893"/>
        <v>11,15,880</v>
      </c>
      <c r="AC144" s="11" t="str">
        <f t="shared" si="500"/>
        <v>11</v>
      </c>
      <c r="AD144" s="11" t="str">
        <f t="shared" si="501"/>
        <v>15,880</v>
      </c>
      <c r="AE144" s="11">
        <f t="shared" si="502"/>
        <v>0.18774444444444444</v>
      </c>
      <c r="AF144" s="14">
        <f t="shared" si="503"/>
        <v>26.685210392377346</v>
      </c>
      <c r="AG144" s="39">
        <f t="shared" si="504"/>
        <v>-100</v>
      </c>
      <c r="AH144" s="38">
        <f t="shared" si="869"/>
        <v>18.399999999999999</v>
      </c>
      <c r="AI144" s="124">
        <f t="shared" si="869"/>
        <v>1.0980000000000001</v>
      </c>
      <c r="AJ144" s="124">
        <f t="shared" si="869"/>
        <v>1.087</v>
      </c>
      <c r="AK144" s="41">
        <f t="shared" si="505"/>
        <v>0</v>
      </c>
      <c r="AL144" s="41"/>
      <c r="AM144" s="34">
        <f t="shared" ref="AM144:AN144" si="894">AM143</f>
        <v>2.0049999999999999</v>
      </c>
      <c r="AN144" s="33" t="str">
        <f t="shared" si="894"/>
        <v>7,19,050</v>
      </c>
      <c r="AO144" s="11" t="str">
        <f t="shared" si="507"/>
        <v>7,</v>
      </c>
      <c r="AP144" s="11" t="str">
        <f t="shared" si="508"/>
        <v>19,050</v>
      </c>
      <c r="AQ144" s="11">
        <f t="shared" si="509"/>
        <v>0.12195833333333334</v>
      </c>
      <c r="AR144" s="14">
        <f t="shared" si="510"/>
        <v>16.44004099760847</v>
      </c>
      <c r="AS144" s="39">
        <f t="shared" si="511"/>
        <v>-100</v>
      </c>
      <c r="AT144" s="40" t="str">
        <f t="shared" si="512"/>
        <v>NO CONFORME</v>
      </c>
      <c r="AU144" s="8" t="b">
        <f t="shared" si="857"/>
        <v>1</v>
      </c>
      <c r="AV144" s="8" t="b">
        <f t="shared" si="858"/>
        <v>0</v>
      </c>
      <c r="AW144" s="8" t="b">
        <f t="shared" si="859"/>
        <v>1</v>
      </c>
      <c r="AX144" s="8" t="str">
        <f t="shared" si="860"/>
        <v>Qcorrecto</v>
      </c>
      <c r="AY144" s="22" t="str">
        <f t="shared" si="840"/>
        <v>aceptable</v>
      </c>
      <c r="AZ144" s="22" t="str">
        <f t="shared" si="841"/>
        <v>aceptable</v>
      </c>
      <c r="BA144" s="22" t="str">
        <f t="shared" si="861"/>
        <v>aceptable</v>
      </c>
      <c r="BB144" s="25" t="str">
        <f t="shared" si="862"/>
        <v>NO CONFORME</v>
      </c>
      <c r="BC144" s="5" t="str">
        <f t="shared" si="863"/>
        <v>NO CONFORME</v>
      </c>
      <c r="BD144" s="15">
        <f t="shared" si="842"/>
        <v>-1</v>
      </c>
      <c r="BE144" s="15">
        <f t="shared" si="843"/>
        <v>-1</v>
      </c>
      <c r="BF144" s="15">
        <f t="shared" si="844"/>
        <v>-1</v>
      </c>
      <c r="BG144" s="15" t="str">
        <f t="shared" si="845"/>
        <v>-1-1-1</v>
      </c>
      <c r="BH144" s="15" t="str">
        <f t="shared" si="846"/>
        <v>SD</v>
      </c>
      <c r="BI144" s="15" t="str">
        <f t="shared" si="847"/>
        <v>SI</v>
      </c>
      <c r="BJ144" s="15" t="b">
        <f t="shared" si="848"/>
        <v>1</v>
      </c>
      <c r="BK144" s="15" t="str">
        <f t="shared" si="849"/>
        <v>SIGIGUALES</v>
      </c>
      <c r="BL144" s="22" t="str">
        <f t="shared" si="850"/>
        <v>NO CONFORME</v>
      </c>
    </row>
    <row r="145" spans="1:64" ht="14.4" x14ac:dyDescent="0.3">
      <c r="A145" s="91">
        <v>137</v>
      </c>
      <c r="B145" s="28">
        <f t="shared" ref="B145:E145" si="895">B144</f>
        <v>45920</v>
      </c>
      <c r="C145" s="28">
        <f t="shared" si="895"/>
        <v>45920</v>
      </c>
      <c r="D145" s="12">
        <f t="shared" si="895"/>
        <v>3</v>
      </c>
      <c r="E145" s="10">
        <f t="shared" si="895"/>
        <v>8</v>
      </c>
      <c r="F145" s="13"/>
      <c r="G145" s="157"/>
      <c r="H145" s="70">
        <f t="shared" ref="H145:L145" si="896">H144</f>
        <v>25.6</v>
      </c>
      <c r="I145" s="36">
        <f t="shared" si="896"/>
        <v>0</v>
      </c>
      <c r="J145" s="35">
        <f t="shared" si="896"/>
        <v>20.9</v>
      </c>
      <c r="K145" s="122">
        <f t="shared" si="896"/>
        <v>8.4730000000000008</v>
      </c>
      <c r="L145" s="122">
        <f t="shared" si="896"/>
        <v>0.52100000000000002</v>
      </c>
      <c r="M145" s="41"/>
      <c r="N145" s="41"/>
      <c r="O145" s="32">
        <f t="shared" ref="O145:P145" si="897">O144</f>
        <v>100.48</v>
      </c>
      <c r="P145" s="168" t="str">
        <f t="shared" si="897"/>
        <v>2,29,610</v>
      </c>
      <c r="Q145" s="11" t="str">
        <f t="shared" si="493"/>
        <v>2</v>
      </c>
      <c r="R145" s="11" t="str">
        <f t="shared" si="494"/>
        <v>29,610</v>
      </c>
      <c r="S145" s="11">
        <f t="shared" si="495"/>
        <v>4.1558333333333336E-2</v>
      </c>
      <c r="T145" s="14">
        <f t="shared" si="496"/>
        <v>2417.8062963705634</v>
      </c>
      <c r="U145" s="37">
        <f t="shared" si="497"/>
        <v>-100</v>
      </c>
      <c r="V145" s="38">
        <f t="shared" ref="V145:W145" si="898">V144</f>
        <v>21.3</v>
      </c>
      <c r="W145" s="124">
        <f t="shared" si="898"/>
        <v>1.0960000000000001</v>
      </c>
      <c r="X145" s="124">
        <f t="shared" si="854"/>
        <v>1.0880000000000001</v>
      </c>
      <c r="Y145" s="41"/>
      <c r="Z145" s="41"/>
      <c r="AA145" s="90">
        <f t="shared" ref="AA145:AB145" si="899">AA144</f>
        <v>5.01</v>
      </c>
      <c r="AB145" s="73" t="str">
        <f t="shared" si="899"/>
        <v>11,15,880</v>
      </c>
      <c r="AC145" s="11" t="str">
        <f t="shared" si="500"/>
        <v>11</v>
      </c>
      <c r="AD145" s="11" t="str">
        <f t="shared" si="501"/>
        <v>15,880</v>
      </c>
      <c r="AE145" s="11">
        <f t="shared" si="502"/>
        <v>0.18774444444444444</v>
      </c>
      <c r="AF145" s="14">
        <f t="shared" si="503"/>
        <v>26.685210392377346</v>
      </c>
      <c r="AG145" s="39">
        <f t="shared" si="504"/>
        <v>-100</v>
      </c>
      <c r="AH145" s="38">
        <f t="shared" si="869"/>
        <v>18.399999999999999</v>
      </c>
      <c r="AI145" s="124">
        <f t="shared" si="869"/>
        <v>1.0980000000000001</v>
      </c>
      <c r="AJ145" s="124">
        <f t="shared" si="869"/>
        <v>1.087</v>
      </c>
      <c r="AK145" s="41">
        <f t="shared" si="505"/>
        <v>0</v>
      </c>
      <c r="AL145" s="41"/>
      <c r="AM145" s="34">
        <f t="shared" ref="AM145:AN145" si="900">AM144</f>
        <v>2.0049999999999999</v>
      </c>
      <c r="AN145" s="33" t="str">
        <f t="shared" si="900"/>
        <v>7,19,050</v>
      </c>
      <c r="AO145" s="11" t="str">
        <f t="shared" si="507"/>
        <v>7,</v>
      </c>
      <c r="AP145" s="11" t="str">
        <f t="shared" si="508"/>
        <v>19,050</v>
      </c>
      <c r="AQ145" s="11">
        <f t="shared" si="509"/>
        <v>0.12195833333333334</v>
      </c>
      <c r="AR145" s="14">
        <f t="shared" si="510"/>
        <v>16.44004099760847</v>
      </c>
      <c r="AS145" s="39">
        <f t="shared" si="511"/>
        <v>-100</v>
      </c>
      <c r="AT145" s="40" t="str">
        <f t="shared" si="512"/>
        <v>NO CONFORME</v>
      </c>
      <c r="AU145" s="8" t="b">
        <f t="shared" si="857"/>
        <v>1</v>
      </c>
      <c r="AV145" s="8" t="b">
        <f t="shared" si="858"/>
        <v>0</v>
      </c>
      <c r="AW145" s="8" t="b">
        <f t="shared" si="859"/>
        <v>1</v>
      </c>
      <c r="AX145" s="8" t="str">
        <f t="shared" si="860"/>
        <v>Qcorrecto</v>
      </c>
      <c r="AY145" s="22" t="str">
        <f t="shared" si="840"/>
        <v>aceptable</v>
      </c>
      <c r="AZ145" s="22" t="str">
        <f t="shared" si="841"/>
        <v>aceptable</v>
      </c>
      <c r="BA145" s="22" t="str">
        <f t="shared" si="861"/>
        <v>aceptable</v>
      </c>
      <c r="BB145" s="25" t="str">
        <f t="shared" si="862"/>
        <v>NO CONFORME</v>
      </c>
      <c r="BC145" s="5" t="str">
        <f t="shared" si="863"/>
        <v>NO CONFORME</v>
      </c>
      <c r="BD145" s="15">
        <f t="shared" si="842"/>
        <v>-1</v>
      </c>
      <c r="BE145" s="15">
        <f t="shared" si="843"/>
        <v>-1</v>
      </c>
      <c r="BF145" s="15">
        <f t="shared" si="844"/>
        <v>-1</v>
      </c>
      <c r="BG145" s="15" t="str">
        <f t="shared" si="845"/>
        <v>-1-1-1</v>
      </c>
      <c r="BH145" s="15" t="str">
        <f t="shared" si="846"/>
        <v>SD</v>
      </c>
      <c r="BI145" s="15" t="str">
        <f t="shared" si="847"/>
        <v>SI</v>
      </c>
      <c r="BJ145" s="15" t="b">
        <f t="shared" si="848"/>
        <v>1</v>
      </c>
      <c r="BK145" s="15" t="str">
        <f t="shared" si="849"/>
        <v>SIGIGUALES</v>
      </c>
      <c r="BL145" s="22" t="str">
        <f t="shared" si="850"/>
        <v>NO CONFORME</v>
      </c>
    </row>
    <row r="146" spans="1:64" ht="14.4" x14ac:dyDescent="0.3">
      <c r="A146" s="91">
        <v>138</v>
      </c>
      <c r="B146" s="28">
        <f t="shared" ref="B146:E146" si="901">B145</f>
        <v>45920</v>
      </c>
      <c r="C146" s="28">
        <f t="shared" si="901"/>
        <v>45920</v>
      </c>
      <c r="D146" s="12">
        <f t="shared" si="901"/>
        <v>3</v>
      </c>
      <c r="E146" s="10">
        <f t="shared" si="901"/>
        <v>8</v>
      </c>
      <c r="F146" s="13"/>
      <c r="G146" s="157"/>
      <c r="H146" s="70">
        <f t="shared" ref="H146:L146" si="902">H145</f>
        <v>25.6</v>
      </c>
      <c r="I146" s="36">
        <f t="shared" si="902"/>
        <v>0</v>
      </c>
      <c r="J146" s="35">
        <f t="shared" si="902"/>
        <v>20.9</v>
      </c>
      <c r="K146" s="122">
        <f t="shared" si="902"/>
        <v>8.4730000000000008</v>
      </c>
      <c r="L146" s="122">
        <f t="shared" si="902"/>
        <v>0.52100000000000002</v>
      </c>
      <c r="M146" s="41"/>
      <c r="N146" s="41"/>
      <c r="O146" s="32">
        <f t="shared" ref="O146:P146" si="903">O145</f>
        <v>100.48</v>
      </c>
      <c r="P146" s="168" t="str">
        <f t="shared" si="903"/>
        <v>2,29,610</v>
      </c>
      <c r="Q146" s="11" t="str">
        <f t="shared" si="493"/>
        <v>2</v>
      </c>
      <c r="R146" s="11" t="str">
        <f t="shared" si="494"/>
        <v>29,610</v>
      </c>
      <c r="S146" s="11">
        <f t="shared" si="495"/>
        <v>4.1558333333333336E-2</v>
      </c>
      <c r="T146" s="14">
        <f t="shared" si="496"/>
        <v>2417.8062963705634</v>
      </c>
      <c r="U146" s="37">
        <f t="shared" si="497"/>
        <v>-100</v>
      </c>
      <c r="V146" s="38">
        <f t="shared" ref="V146:W146" si="904">V145</f>
        <v>21.3</v>
      </c>
      <c r="W146" s="124">
        <f t="shared" si="904"/>
        <v>1.0960000000000001</v>
      </c>
      <c r="X146" s="124">
        <f t="shared" si="854"/>
        <v>1.0880000000000001</v>
      </c>
      <c r="Y146" s="41"/>
      <c r="Z146" s="41"/>
      <c r="AA146" s="90">
        <f t="shared" ref="AA146:AB146" si="905">AA145</f>
        <v>5.01</v>
      </c>
      <c r="AB146" s="73" t="str">
        <f t="shared" si="905"/>
        <v>11,15,880</v>
      </c>
      <c r="AC146" s="11" t="str">
        <f t="shared" si="500"/>
        <v>11</v>
      </c>
      <c r="AD146" s="11" t="str">
        <f t="shared" si="501"/>
        <v>15,880</v>
      </c>
      <c r="AE146" s="11">
        <f t="shared" si="502"/>
        <v>0.18774444444444444</v>
      </c>
      <c r="AF146" s="14">
        <f t="shared" si="503"/>
        <v>26.685210392377346</v>
      </c>
      <c r="AG146" s="39">
        <f t="shared" si="504"/>
        <v>-100</v>
      </c>
      <c r="AH146" s="38">
        <f t="shared" si="869"/>
        <v>18.399999999999999</v>
      </c>
      <c r="AI146" s="124">
        <f t="shared" si="869"/>
        <v>1.0980000000000001</v>
      </c>
      <c r="AJ146" s="124">
        <f t="shared" si="869"/>
        <v>1.087</v>
      </c>
      <c r="AK146" s="41">
        <f t="shared" si="505"/>
        <v>0</v>
      </c>
      <c r="AL146" s="41"/>
      <c r="AM146" s="34">
        <f t="shared" ref="AM146:AN146" si="906">AM145</f>
        <v>2.0049999999999999</v>
      </c>
      <c r="AN146" s="33" t="str">
        <f t="shared" si="906"/>
        <v>7,19,050</v>
      </c>
      <c r="AO146" s="11" t="str">
        <f t="shared" si="507"/>
        <v>7,</v>
      </c>
      <c r="AP146" s="11" t="str">
        <f t="shared" si="508"/>
        <v>19,050</v>
      </c>
      <c r="AQ146" s="11">
        <f t="shared" si="509"/>
        <v>0.12195833333333334</v>
      </c>
      <c r="AR146" s="14">
        <f t="shared" si="510"/>
        <v>16.44004099760847</v>
      </c>
      <c r="AS146" s="39">
        <f t="shared" si="511"/>
        <v>-100</v>
      </c>
      <c r="AT146" s="40" t="str">
        <f t="shared" si="512"/>
        <v>NO CONFORME</v>
      </c>
      <c r="AU146" s="8" t="b">
        <f t="shared" si="857"/>
        <v>1</v>
      </c>
      <c r="AV146" s="8" t="b">
        <f t="shared" si="858"/>
        <v>0</v>
      </c>
      <c r="AW146" s="8" t="b">
        <f t="shared" si="859"/>
        <v>1</v>
      </c>
      <c r="AX146" s="8" t="str">
        <f t="shared" si="860"/>
        <v>Qcorrecto</v>
      </c>
      <c r="AY146" s="22" t="str">
        <f t="shared" si="840"/>
        <v>aceptable</v>
      </c>
      <c r="AZ146" s="22" t="str">
        <f t="shared" si="841"/>
        <v>aceptable</v>
      </c>
      <c r="BA146" s="22" t="str">
        <f t="shared" si="861"/>
        <v>aceptable</v>
      </c>
      <c r="BB146" s="25" t="str">
        <f t="shared" si="862"/>
        <v>NO CONFORME</v>
      </c>
      <c r="BC146" s="5" t="str">
        <f t="shared" si="863"/>
        <v>NO CONFORME</v>
      </c>
      <c r="BD146" s="15">
        <f t="shared" si="842"/>
        <v>-1</v>
      </c>
      <c r="BE146" s="15">
        <f t="shared" si="843"/>
        <v>-1</v>
      </c>
      <c r="BF146" s="15">
        <f t="shared" si="844"/>
        <v>-1</v>
      </c>
      <c r="BG146" s="15" t="str">
        <f t="shared" si="845"/>
        <v>-1-1-1</v>
      </c>
      <c r="BH146" s="15" t="str">
        <f t="shared" si="846"/>
        <v>SD</v>
      </c>
      <c r="BI146" s="15" t="str">
        <f t="shared" si="847"/>
        <v>SI</v>
      </c>
      <c r="BJ146" s="15" t="b">
        <f t="shared" si="848"/>
        <v>1</v>
      </c>
      <c r="BK146" s="15" t="str">
        <f t="shared" si="849"/>
        <v>SIGIGUALES</v>
      </c>
      <c r="BL146" s="22" t="str">
        <f t="shared" si="850"/>
        <v>NO CONFORME</v>
      </c>
    </row>
    <row r="147" spans="1:64" ht="14.4" x14ac:dyDescent="0.3">
      <c r="A147" s="91">
        <v>139</v>
      </c>
      <c r="B147" s="28">
        <f t="shared" ref="B147:E147" si="907">B146</f>
        <v>45920</v>
      </c>
      <c r="C147" s="28">
        <f t="shared" si="907"/>
        <v>45920</v>
      </c>
      <c r="D147" s="12">
        <f t="shared" si="907"/>
        <v>3</v>
      </c>
      <c r="E147" s="10">
        <f t="shared" si="907"/>
        <v>8</v>
      </c>
      <c r="F147" s="13"/>
      <c r="G147" s="157"/>
      <c r="H147" s="70">
        <f t="shared" ref="H147:L147" si="908">H146</f>
        <v>25.6</v>
      </c>
      <c r="I147" s="36">
        <f t="shared" si="908"/>
        <v>0</v>
      </c>
      <c r="J147" s="35">
        <f t="shared" si="908"/>
        <v>20.9</v>
      </c>
      <c r="K147" s="122">
        <f t="shared" si="908"/>
        <v>8.4730000000000008</v>
      </c>
      <c r="L147" s="122">
        <f t="shared" si="908"/>
        <v>0.52100000000000002</v>
      </c>
      <c r="M147" s="41"/>
      <c r="N147" s="41"/>
      <c r="O147" s="32">
        <f t="shared" ref="O147:P147" si="909">O146</f>
        <v>100.48</v>
      </c>
      <c r="P147" s="168" t="str">
        <f t="shared" si="909"/>
        <v>2,29,610</v>
      </c>
      <c r="Q147" s="11" t="str">
        <f t="shared" si="493"/>
        <v>2</v>
      </c>
      <c r="R147" s="11" t="str">
        <f t="shared" si="494"/>
        <v>29,610</v>
      </c>
      <c r="S147" s="11">
        <f t="shared" si="495"/>
        <v>4.1558333333333336E-2</v>
      </c>
      <c r="T147" s="14">
        <f t="shared" si="496"/>
        <v>2417.8062963705634</v>
      </c>
      <c r="U147" s="37">
        <f t="shared" si="497"/>
        <v>-100</v>
      </c>
      <c r="V147" s="38">
        <f t="shared" ref="V147:W147" si="910">V146</f>
        <v>21.3</v>
      </c>
      <c r="W147" s="124">
        <f t="shared" si="910"/>
        <v>1.0960000000000001</v>
      </c>
      <c r="X147" s="124">
        <f t="shared" si="854"/>
        <v>1.0880000000000001</v>
      </c>
      <c r="Y147" s="41"/>
      <c r="Z147" s="41"/>
      <c r="AA147" s="90">
        <f t="shared" ref="AA147:AB147" si="911">AA146</f>
        <v>5.01</v>
      </c>
      <c r="AB147" s="73" t="str">
        <f t="shared" si="911"/>
        <v>11,15,880</v>
      </c>
      <c r="AC147" s="11" t="str">
        <f t="shared" si="500"/>
        <v>11</v>
      </c>
      <c r="AD147" s="11" t="str">
        <f t="shared" si="501"/>
        <v>15,880</v>
      </c>
      <c r="AE147" s="11">
        <f t="shared" si="502"/>
        <v>0.18774444444444444</v>
      </c>
      <c r="AF147" s="14">
        <f t="shared" si="503"/>
        <v>26.685210392377346</v>
      </c>
      <c r="AG147" s="39">
        <f t="shared" si="504"/>
        <v>-100</v>
      </c>
      <c r="AH147" s="38">
        <f t="shared" si="869"/>
        <v>18.399999999999999</v>
      </c>
      <c r="AI147" s="124">
        <f t="shared" si="869"/>
        <v>1.0980000000000001</v>
      </c>
      <c r="AJ147" s="124">
        <f t="shared" si="869"/>
        <v>1.087</v>
      </c>
      <c r="AK147" s="41">
        <f t="shared" si="505"/>
        <v>0</v>
      </c>
      <c r="AL147" s="41"/>
      <c r="AM147" s="34">
        <f t="shared" ref="AM147:AN147" si="912">AM146</f>
        <v>2.0049999999999999</v>
      </c>
      <c r="AN147" s="33" t="str">
        <f t="shared" si="912"/>
        <v>7,19,050</v>
      </c>
      <c r="AO147" s="11" t="str">
        <f t="shared" si="507"/>
        <v>7,</v>
      </c>
      <c r="AP147" s="11" t="str">
        <f t="shared" si="508"/>
        <v>19,050</v>
      </c>
      <c r="AQ147" s="11">
        <f t="shared" si="509"/>
        <v>0.12195833333333334</v>
      </c>
      <c r="AR147" s="14">
        <f t="shared" si="510"/>
        <v>16.44004099760847</v>
      </c>
      <c r="AS147" s="39">
        <f t="shared" si="511"/>
        <v>-100</v>
      </c>
      <c r="AT147" s="40" t="str">
        <f t="shared" si="512"/>
        <v>NO CONFORME</v>
      </c>
      <c r="AU147" s="8" t="b">
        <f t="shared" si="857"/>
        <v>1</v>
      </c>
      <c r="AV147" s="8" t="b">
        <f t="shared" si="858"/>
        <v>0</v>
      </c>
      <c r="AW147" s="8" t="b">
        <f t="shared" si="859"/>
        <v>1</v>
      </c>
      <c r="AX147" s="8" t="str">
        <f t="shared" si="860"/>
        <v>Qcorrecto</v>
      </c>
      <c r="AY147" s="22" t="str">
        <f t="shared" si="840"/>
        <v>aceptable</v>
      </c>
      <c r="AZ147" s="22" t="str">
        <f t="shared" si="841"/>
        <v>aceptable</v>
      </c>
      <c r="BA147" s="22" t="str">
        <f t="shared" si="861"/>
        <v>aceptable</v>
      </c>
      <c r="BB147" s="25" t="str">
        <f t="shared" si="862"/>
        <v>NO CONFORME</v>
      </c>
      <c r="BC147" s="5" t="str">
        <f t="shared" si="863"/>
        <v>NO CONFORME</v>
      </c>
      <c r="BD147" s="15">
        <f t="shared" si="842"/>
        <v>-1</v>
      </c>
      <c r="BE147" s="15">
        <f t="shared" si="843"/>
        <v>-1</v>
      </c>
      <c r="BF147" s="15">
        <f t="shared" si="844"/>
        <v>-1</v>
      </c>
      <c r="BG147" s="15" t="str">
        <f t="shared" si="845"/>
        <v>-1-1-1</v>
      </c>
      <c r="BH147" s="15" t="str">
        <f t="shared" si="846"/>
        <v>SD</v>
      </c>
      <c r="BI147" s="15" t="str">
        <f t="shared" si="847"/>
        <v>SI</v>
      </c>
      <c r="BJ147" s="15" t="b">
        <f t="shared" si="848"/>
        <v>1</v>
      </c>
      <c r="BK147" s="15" t="str">
        <f t="shared" si="849"/>
        <v>SIGIGUALES</v>
      </c>
      <c r="BL147" s="22" t="str">
        <f t="shared" si="850"/>
        <v>NO CONFORME</v>
      </c>
    </row>
    <row r="148" spans="1:64" ht="14.4" x14ac:dyDescent="0.3">
      <c r="A148" s="91">
        <v>140</v>
      </c>
      <c r="B148" s="28">
        <f t="shared" ref="B148:E148" si="913">B147</f>
        <v>45920</v>
      </c>
      <c r="C148" s="28">
        <f t="shared" si="913"/>
        <v>45920</v>
      </c>
      <c r="D148" s="12">
        <f t="shared" si="913"/>
        <v>3</v>
      </c>
      <c r="E148" s="10">
        <f t="shared" si="913"/>
        <v>8</v>
      </c>
      <c r="F148" s="13"/>
      <c r="G148" s="157"/>
      <c r="H148" s="70">
        <f t="shared" ref="H148:L148" si="914">H147</f>
        <v>25.6</v>
      </c>
      <c r="I148" s="36">
        <f t="shared" si="914"/>
        <v>0</v>
      </c>
      <c r="J148" s="35">
        <f t="shared" si="914"/>
        <v>20.9</v>
      </c>
      <c r="K148" s="122">
        <f t="shared" si="914"/>
        <v>8.4730000000000008</v>
      </c>
      <c r="L148" s="122">
        <f t="shared" si="914"/>
        <v>0.52100000000000002</v>
      </c>
      <c r="M148" s="41"/>
      <c r="N148" s="41"/>
      <c r="O148" s="32">
        <f t="shared" ref="O148:P148" si="915">O147</f>
        <v>100.48</v>
      </c>
      <c r="P148" s="168" t="str">
        <f t="shared" si="915"/>
        <v>2,29,610</v>
      </c>
      <c r="Q148" s="11" t="str">
        <f t="shared" ref="Q148:Q211" si="916">LEFT(P148,1)</f>
        <v>2</v>
      </c>
      <c r="R148" s="11" t="str">
        <f t="shared" ref="R148:R211" si="917">RIGHT(P148,6)</f>
        <v>29,610</v>
      </c>
      <c r="S148" s="11">
        <f t="shared" ref="S148:S211" si="918">+(Q148*60+R148)/(60*60)</f>
        <v>4.1558333333333336E-2</v>
      </c>
      <c r="T148" s="14">
        <f t="shared" ref="T148:T211" si="919">+O148/S148</f>
        <v>2417.8062963705634</v>
      </c>
      <c r="U148" s="37">
        <f t="shared" ref="U148:U211" si="920">+(((N148-M148-O148)/O148)*100)</f>
        <v>-100</v>
      </c>
      <c r="V148" s="38">
        <f t="shared" ref="V148:W148" si="921">V147</f>
        <v>21.3</v>
      </c>
      <c r="W148" s="124">
        <f t="shared" si="921"/>
        <v>1.0960000000000001</v>
      </c>
      <c r="X148" s="124">
        <f t="shared" si="854"/>
        <v>1.0880000000000001</v>
      </c>
      <c r="Y148" s="41"/>
      <c r="Z148" s="41"/>
      <c r="AA148" s="90">
        <f t="shared" ref="AA148:AB148" si="922">AA147</f>
        <v>5.01</v>
      </c>
      <c r="AB148" s="73" t="str">
        <f t="shared" si="922"/>
        <v>11,15,880</v>
      </c>
      <c r="AC148" s="11" t="str">
        <f t="shared" ref="AC148:AC211" si="923">LEFT(AB148,2)</f>
        <v>11</v>
      </c>
      <c r="AD148" s="11" t="str">
        <f t="shared" ref="AD148:AD211" si="924">RIGHT(AB148,6)</f>
        <v>15,880</v>
      </c>
      <c r="AE148" s="11">
        <f t="shared" ref="AE148:AE211" si="925">+(AC148*60+AD148)/(60*60)</f>
        <v>0.18774444444444444</v>
      </c>
      <c r="AF148" s="14">
        <f t="shared" ref="AF148:AF211" si="926">+AA148/AE148</f>
        <v>26.685210392377346</v>
      </c>
      <c r="AG148" s="39">
        <f t="shared" ref="AG148:AG211" si="927">+(((Z148-Y148-AA148)/AA148)*100)</f>
        <v>-100</v>
      </c>
      <c r="AH148" s="38">
        <f t="shared" si="869"/>
        <v>18.399999999999999</v>
      </c>
      <c r="AI148" s="124">
        <f t="shared" si="869"/>
        <v>1.0980000000000001</v>
      </c>
      <c r="AJ148" s="124">
        <f t="shared" si="869"/>
        <v>1.087</v>
      </c>
      <c r="AK148" s="41">
        <f t="shared" ref="AK148:AK211" si="928">Z148</f>
        <v>0</v>
      </c>
      <c r="AL148" s="41"/>
      <c r="AM148" s="34">
        <f t="shared" ref="AM148:AN148" si="929">AM147</f>
        <v>2.0049999999999999</v>
      </c>
      <c r="AN148" s="33" t="str">
        <f t="shared" si="929"/>
        <v>7,19,050</v>
      </c>
      <c r="AO148" s="11" t="str">
        <f t="shared" ref="AO148:AO211" si="930">LEFT(AN148,2)</f>
        <v>7,</v>
      </c>
      <c r="AP148" s="11" t="str">
        <f t="shared" ref="AP148:AP211" si="931">RIGHT(AN148,6)</f>
        <v>19,050</v>
      </c>
      <c r="AQ148" s="11">
        <f t="shared" ref="AQ148:AQ211" si="932">+(AO148*60+AP148)/(60*60)</f>
        <v>0.12195833333333334</v>
      </c>
      <c r="AR148" s="14">
        <f t="shared" ref="AR148:AR211" si="933">+AM148/AQ148</f>
        <v>16.44004099760847</v>
      </c>
      <c r="AS148" s="39">
        <f t="shared" ref="AS148:AS211" si="934">+(((AL148-AK148-AM148)/AM148)*100)</f>
        <v>-100</v>
      </c>
      <c r="AT148" s="40" t="str">
        <f t="shared" ref="AT148:AT211" si="935">IF(I148&gt;=1,"NO CONFORME",IF(BK148="SIGDIFERENTES",BC148,BL148))</f>
        <v>NO CONFORME</v>
      </c>
      <c r="AU148" s="8" t="b">
        <f t="shared" si="857"/>
        <v>1</v>
      </c>
      <c r="AV148" s="8" t="b">
        <f t="shared" si="858"/>
        <v>0</v>
      </c>
      <c r="AW148" s="8" t="b">
        <f t="shared" si="859"/>
        <v>1</v>
      </c>
      <c r="AX148" s="8" t="str">
        <f t="shared" si="860"/>
        <v>Qcorrecto</v>
      </c>
      <c r="AY148" s="22" t="str">
        <f t="shared" si="840"/>
        <v>aceptable</v>
      </c>
      <c r="AZ148" s="22" t="str">
        <f t="shared" si="841"/>
        <v>aceptable</v>
      </c>
      <c r="BA148" s="22" t="str">
        <f t="shared" si="861"/>
        <v>aceptable</v>
      </c>
      <c r="BB148" s="25" t="str">
        <f t="shared" si="862"/>
        <v>NO CONFORME</v>
      </c>
      <c r="BC148" s="5" t="str">
        <f t="shared" si="863"/>
        <v>NO CONFORME</v>
      </c>
      <c r="BD148" s="15">
        <f t="shared" si="842"/>
        <v>-1</v>
      </c>
      <c r="BE148" s="15">
        <f t="shared" si="843"/>
        <v>-1</v>
      </c>
      <c r="BF148" s="15">
        <f t="shared" si="844"/>
        <v>-1</v>
      </c>
      <c r="BG148" s="15" t="str">
        <f t="shared" si="845"/>
        <v>-1-1-1</v>
      </c>
      <c r="BH148" s="15" t="str">
        <f t="shared" si="846"/>
        <v>SD</v>
      </c>
      <c r="BI148" s="15" t="str">
        <f t="shared" si="847"/>
        <v>SI</v>
      </c>
      <c r="BJ148" s="15" t="b">
        <f t="shared" si="848"/>
        <v>1</v>
      </c>
      <c r="BK148" s="15" t="str">
        <f t="shared" si="849"/>
        <v>SIGIGUALES</v>
      </c>
      <c r="BL148" s="22" t="str">
        <f t="shared" si="850"/>
        <v>NO CONFORME</v>
      </c>
    </row>
    <row r="149" spans="1:64" ht="14.4" x14ac:dyDescent="0.3">
      <c r="A149" s="91">
        <v>141</v>
      </c>
      <c r="B149" s="28">
        <f t="shared" ref="B149:E149" si="936">B148</f>
        <v>45920</v>
      </c>
      <c r="C149" s="28">
        <f t="shared" si="936"/>
        <v>45920</v>
      </c>
      <c r="D149" s="12">
        <f t="shared" si="936"/>
        <v>3</v>
      </c>
      <c r="E149" s="10">
        <f t="shared" si="936"/>
        <v>8</v>
      </c>
      <c r="F149" s="13"/>
      <c r="G149" s="157"/>
      <c r="H149" s="70">
        <f t="shared" ref="H149:L149" si="937">H148</f>
        <v>25.6</v>
      </c>
      <c r="I149" s="36">
        <f t="shared" si="937"/>
        <v>0</v>
      </c>
      <c r="J149" s="35">
        <f t="shared" si="937"/>
        <v>20.9</v>
      </c>
      <c r="K149" s="122">
        <f t="shared" si="937"/>
        <v>8.4730000000000008</v>
      </c>
      <c r="L149" s="122">
        <f t="shared" si="937"/>
        <v>0.52100000000000002</v>
      </c>
      <c r="M149" s="41"/>
      <c r="N149" s="41"/>
      <c r="O149" s="32">
        <f t="shared" ref="O149:P149" si="938">O148</f>
        <v>100.48</v>
      </c>
      <c r="P149" s="168" t="str">
        <f t="shared" si="938"/>
        <v>2,29,610</v>
      </c>
      <c r="Q149" s="11" t="str">
        <f t="shared" si="916"/>
        <v>2</v>
      </c>
      <c r="R149" s="11" t="str">
        <f t="shared" si="917"/>
        <v>29,610</v>
      </c>
      <c r="S149" s="11">
        <f t="shared" si="918"/>
        <v>4.1558333333333336E-2</v>
      </c>
      <c r="T149" s="14">
        <f t="shared" si="919"/>
        <v>2417.8062963705634</v>
      </c>
      <c r="U149" s="37">
        <f t="shared" si="920"/>
        <v>-100</v>
      </c>
      <c r="V149" s="38">
        <f t="shared" ref="V149:W149" si="939">V148</f>
        <v>21.3</v>
      </c>
      <c r="W149" s="124">
        <f t="shared" si="939"/>
        <v>1.0960000000000001</v>
      </c>
      <c r="X149" s="124">
        <f t="shared" si="854"/>
        <v>1.0880000000000001</v>
      </c>
      <c r="Y149" s="41"/>
      <c r="Z149" s="41"/>
      <c r="AA149" s="90">
        <f t="shared" ref="AA149:AB149" si="940">AA148</f>
        <v>5.01</v>
      </c>
      <c r="AB149" s="73" t="str">
        <f t="shared" si="940"/>
        <v>11,15,880</v>
      </c>
      <c r="AC149" s="11" t="str">
        <f t="shared" si="923"/>
        <v>11</v>
      </c>
      <c r="AD149" s="11" t="str">
        <f t="shared" si="924"/>
        <v>15,880</v>
      </c>
      <c r="AE149" s="11">
        <f t="shared" si="925"/>
        <v>0.18774444444444444</v>
      </c>
      <c r="AF149" s="14">
        <f t="shared" si="926"/>
        <v>26.685210392377346</v>
      </c>
      <c r="AG149" s="39">
        <f t="shared" si="927"/>
        <v>-100</v>
      </c>
      <c r="AH149" s="38">
        <f t="shared" si="869"/>
        <v>18.399999999999999</v>
      </c>
      <c r="AI149" s="124">
        <f t="shared" si="869"/>
        <v>1.0980000000000001</v>
      </c>
      <c r="AJ149" s="124">
        <f t="shared" si="869"/>
        <v>1.087</v>
      </c>
      <c r="AK149" s="41">
        <f t="shared" si="928"/>
        <v>0</v>
      </c>
      <c r="AL149" s="41"/>
      <c r="AM149" s="34">
        <f t="shared" ref="AM149:AN149" si="941">AM148</f>
        <v>2.0049999999999999</v>
      </c>
      <c r="AN149" s="33" t="str">
        <f t="shared" si="941"/>
        <v>7,19,050</v>
      </c>
      <c r="AO149" s="11" t="str">
        <f t="shared" si="930"/>
        <v>7,</v>
      </c>
      <c r="AP149" s="11" t="str">
        <f t="shared" si="931"/>
        <v>19,050</v>
      </c>
      <c r="AQ149" s="11">
        <f t="shared" si="932"/>
        <v>0.12195833333333334</v>
      </c>
      <c r="AR149" s="14">
        <f t="shared" si="933"/>
        <v>16.44004099760847</v>
      </c>
      <c r="AS149" s="39">
        <f t="shared" si="934"/>
        <v>-100</v>
      </c>
      <c r="AT149" s="40" t="str">
        <f t="shared" si="935"/>
        <v>NO CONFORME</v>
      </c>
      <c r="AU149" s="8" t="b">
        <f t="shared" si="857"/>
        <v>1</v>
      </c>
      <c r="AV149" s="8" t="b">
        <f t="shared" si="858"/>
        <v>0</v>
      </c>
      <c r="AW149" s="8" t="b">
        <f t="shared" si="859"/>
        <v>1</v>
      </c>
      <c r="AX149" s="8" t="str">
        <f t="shared" si="860"/>
        <v>Qcorrecto</v>
      </c>
      <c r="AY149" s="22" t="str">
        <f t="shared" si="840"/>
        <v>aceptable</v>
      </c>
      <c r="AZ149" s="22" t="str">
        <f t="shared" si="841"/>
        <v>aceptable</v>
      </c>
      <c r="BA149" s="22" t="str">
        <f t="shared" si="861"/>
        <v>aceptable</v>
      </c>
      <c r="BB149" s="25" t="str">
        <f t="shared" si="862"/>
        <v>NO CONFORME</v>
      </c>
      <c r="BC149" s="5" t="str">
        <f t="shared" si="863"/>
        <v>NO CONFORME</v>
      </c>
      <c r="BD149" s="15">
        <f t="shared" si="842"/>
        <v>-1</v>
      </c>
      <c r="BE149" s="15">
        <f t="shared" si="843"/>
        <v>-1</v>
      </c>
      <c r="BF149" s="15">
        <f t="shared" si="844"/>
        <v>-1</v>
      </c>
      <c r="BG149" s="15" t="str">
        <f t="shared" si="845"/>
        <v>-1-1-1</v>
      </c>
      <c r="BH149" s="15" t="str">
        <f t="shared" si="846"/>
        <v>SD</v>
      </c>
      <c r="BI149" s="15" t="str">
        <f t="shared" si="847"/>
        <v>SI</v>
      </c>
      <c r="BJ149" s="15" t="b">
        <f t="shared" si="848"/>
        <v>1</v>
      </c>
      <c r="BK149" s="15" t="str">
        <f t="shared" si="849"/>
        <v>SIGIGUALES</v>
      </c>
      <c r="BL149" s="22" t="str">
        <f t="shared" si="850"/>
        <v>NO CONFORME</v>
      </c>
    </row>
    <row r="150" spans="1:64" ht="14.4" x14ac:dyDescent="0.3">
      <c r="A150" s="91">
        <v>142</v>
      </c>
      <c r="B150" s="28">
        <f t="shared" ref="B150:E150" si="942">B149</f>
        <v>45920</v>
      </c>
      <c r="C150" s="28">
        <f t="shared" si="942"/>
        <v>45920</v>
      </c>
      <c r="D150" s="12">
        <f t="shared" si="942"/>
        <v>3</v>
      </c>
      <c r="E150" s="10">
        <f t="shared" si="942"/>
        <v>8</v>
      </c>
      <c r="F150" s="13"/>
      <c r="G150" s="157"/>
      <c r="H150" s="70">
        <f t="shared" ref="H150:L150" si="943">H149</f>
        <v>25.6</v>
      </c>
      <c r="I150" s="36">
        <f t="shared" si="943"/>
        <v>0</v>
      </c>
      <c r="J150" s="35">
        <f t="shared" si="943"/>
        <v>20.9</v>
      </c>
      <c r="K150" s="122">
        <f t="shared" si="943"/>
        <v>8.4730000000000008</v>
      </c>
      <c r="L150" s="122">
        <f t="shared" si="943"/>
        <v>0.52100000000000002</v>
      </c>
      <c r="M150" s="41"/>
      <c r="N150" s="41"/>
      <c r="O150" s="32">
        <f t="shared" ref="O150:P150" si="944">O149</f>
        <v>100.48</v>
      </c>
      <c r="P150" s="168" t="str">
        <f t="shared" si="944"/>
        <v>2,29,610</v>
      </c>
      <c r="Q150" s="11" t="str">
        <f t="shared" si="916"/>
        <v>2</v>
      </c>
      <c r="R150" s="11" t="str">
        <f t="shared" si="917"/>
        <v>29,610</v>
      </c>
      <c r="S150" s="11">
        <f t="shared" si="918"/>
        <v>4.1558333333333336E-2</v>
      </c>
      <c r="T150" s="14">
        <f t="shared" si="919"/>
        <v>2417.8062963705634</v>
      </c>
      <c r="U150" s="37">
        <f t="shared" si="920"/>
        <v>-100</v>
      </c>
      <c r="V150" s="38">
        <f t="shared" ref="V150:W150" si="945">V149</f>
        <v>21.3</v>
      </c>
      <c r="W150" s="124">
        <f t="shared" si="945"/>
        <v>1.0960000000000001</v>
      </c>
      <c r="X150" s="124">
        <f t="shared" si="854"/>
        <v>1.0880000000000001</v>
      </c>
      <c r="Y150" s="41"/>
      <c r="Z150" s="41"/>
      <c r="AA150" s="90">
        <f t="shared" ref="AA150:AB150" si="946">AA149</f>
        <v>5.01</v>
      </c>
      <c r="AB150" s="73" t="str">
        <f t="shared" si="946"/>
        <v>11,15,880</v>
      </c>
      <c r="AC150" s="11" t="str">
        <f t="shared" si="923"/>
        <v>11</v>
      </c>
      <c r="AD150" s="11" t="str">
        <f t="shared" si="924"/>
        <v>15,880</v>
      </c>
      <c r="AE150" s="11">
        <f t="shared" si="925"/>
        <v>0.18774444444444444</v>
      </c>
      <c r="AF150" s="14">
        <f t="shared" si="926"/>
        <v>26.685210392377346</v>
      </c>
      <c r="AG150" s="39">
        <f t="shared" si="927"/>
        <v>-100</v>
      </c>
      <c r="AH150" s="38">
        <f t="shared" si="869"/>
        <v>18.399999999999999</v>
      </c>
      <c r="AI150" s="124">
        <f t="shared" si="869"/>
        <v>1.0980000000000001</v>
      </c>
      <c r="AJ150" s="124">
        <f t="shared" si="869"/>
        <v>1.087</v>
      </c>
      <c r="AK150" s="41">
        <f t="shared" si="928"/>
        <v>0</v>
      </c>
      <c r="AL150" s="41"/>
      <c r="AM150" s="34">
        <f t="shared" ref="AM150:AN150" si="947">AM149</f>
        <v>2.0049999999999999</v>
      </c>
      <c r="AN150" s="33" t="str">
        <f t="shared" si="947"/>
        <v>7,19,050</v>
      </c>
      <c r="AO150" s="11" t="str">
        <f t="shared" si="930"/>
        <v>7,</v>
      </c>
      <c r="AP150" s="11" t="str">
        <f t="shared" si="931"/>
        <v>19,050</v>
      </c>
      <c r="AQ150" s="11">
        <f t="shared" si="932"/>
        <v>0.12195833333333334</v>
      </c>
      <c r="AR150" s="14">
        <f t="shared" si="933"/>
        <v>16.44004099760847</v>
      </c>
      <c r="AS150" s="39">
        <f t="shared" si="934"/>
        <v>-100</v>
      </c>
      <c r="AT150" s="40" t="str">
        <f t="shared" si="935"/>
        <v>NO CONFORME</v>
      </c>
      <c r="AU150" s="8" t="b">
        <f t="shared" si="857"/>
        <v>1</v>
      </c>
      <c r="AV150" s="8" t="b">
        <f t="shared" si="858"/>
        <v>0</v>
      </c>
      <c r="AW150" s="8" t="b">
        <f t="shared" si="859"/>
        <v>1</v>
      </c>
      <c r="AX150" s="8" t="str">
        <f t="shared" si="860"/>
        <v>Qcorrecto</v>
      </c>
      <c r="AY150" s="22" t="str">
        <f t="shared" si="840"/>
        <v>aceptable</v>
      </c>
      <c r="AZ150" s="22" t="str">
        <f t="shared" si="841"/>
        <v>aceptable</v>
      </c>
      <c r="BA150" s="22" t="str">
        <f t="shared" si="861"/>
        <v>aceptable</v>
      </c>
      <c r="BB150" s="25" t="str">
        <f t="shared" si="862"/>
        <v>NO CONFORME</v>
      </c>
      <c r="BC150" s="5" t="str">
        <f t="shared" si="863"/>
        <v>NO CONFORME</v>
      </c>
      <c r="BD150" s="15">
        <f t="shared" si="842"/>
        <v>-1</v>
      </c>
      <c r="BE150" s="15">
        <f t="shared" si="843"/>
        <v>-1</v>
      </c>
      <c r="BF150" s="15">
        <f t="shared" si="844"/>
        <v>-1</v>
      </c>
      <c r="BG150" s="15" t="str">
        <f t="shared" si="845"/>
        <v>-1-1-1</v>
      </c>
      <c r="BH150" s="15" t="str">
        <f t="shared" si="846"/>
        <v>SD</v>
      </c>
      <c r="BI150" s="15" t="str">
        <f t="shared" si="847"/>
        <v>SI</v>
      </c>
      <c r="BJ150" s="15" t="b">
        <f t="shared" si="848"/>
        <v>1</v>
      </c>
      <c r="BK150" s="15" t="str">
        <f t="shared" si="849"/>
        <v>SIGIGUALES</v>
      </c>
      <c r="BL150" s="22" t="str">
        <f t="shared" si="850"/>
        <v>NO CONFORME</v>
      </c>
    </row>
    <row r="151" spans="1:64" ht="14.4" x14ac:dyDescent="0.3">
      <c r="A151" s="91">
        <v>143</v>
      </c>
      <c r="B151" s="28">
        <f t="shared" ref="B151:E151" si="948">B150</f>
        <v>45920</v>
      </c>
      <c r="C151" s="28">
        <f t="shared" si="948"/>
        <v>45920</v>
      </c>
      <c r="D151" s="12">
        <f t="shared" si="948"/>
        <v>3</v>
      </c>
      <c r="E151" s="10">
        <f t="shared" si="948"/>
        <v>8</v>
      </c>
      <c r="F151" s="13"/>
      <c r="G151" s="157"/>
      <c r="H151" s="70">
        <f t="shared" ref="H151:L151" si="949">H150</f>
        <v>25.6</v>
      </c>
      <c r="I151" s="36">
        <f t="shared" si="949"/>
        <v>0</v>
      </c>
      <c r="J151" s="35">
        <f t="shared" si="949"/>
        <v>20.9</v>
      </c>
      <c r="K151" s="122">
        <f t="shared" si="949"/>
        <v>8.4730000000000008</v>
      </c>
      <c r="L151" s="122">
        <f t="shared" si="949"/>
        <v>0.52100000000000002</v>
      </c>
      <c r="M151" s="41"/>
      <c r="N151" s="41"/>
      <c r="O151" s="32">
        <f t="shared" ref="O151:P151" si="950">O150</f>
        <v>100.48</v>
      </c>
      <c r="P151" s="168" t="str">
        <f t="shared" si="950"/>
        <v>2,29,610</v>
      </c>
      <c r="Q151" s="11" t="str">
        <f t="shared" si="916"/>
        <v>2</v>
      </c>
      <c r="R151" s="11" t="str">
        <f t="shared" si="917"/>
        <v>29,610</v>
      </c>
      <c r="S151" s="11">
        <f t="shared" si="918"/>
        <v>4.1558333333333336E-2</v>
      </c>
      <c r="T151" s="14">
        <f t="shared" si="919"/>
        <v>2417.8062963705634</v>
      </c>
      <c r="U151" s="37">
        <f t="shared" si="920"/>
        <v>-100</v>
      </c>
      <c r="V151" s="38">
        <f t="shared" ref="V151:W151" si="951">V150</f>
        <v>21.3</v>
      </c>
      <c r="W151" s="124">
        <f t="shared" si="951"/>
        <v>1.0960000000000001</v>
      </c>
      <c r="X151" s="124">
        <f t="shared" si="854"/>
        <v>1.0880000000000001</v>
      </c>
      <c r="Y151" s="41"/>
      <c r="Z151" s="41"/>
      <c r="AA151" s="90">
        <f t="shared" ref="AA151:AB151" si="952">AA150</f>
        <v>5.01</v>
      </c>
      <c r="AB151" s="73" t="str">
        <f t="shared" si="952"/>
        <v>11,15,880</v>
      </c>
      <c r="AC151" s="11" t="str">
        <f t="shared" si="923"/>
        <v>11</v>
      </c>
      <c r="AD151" s="11" t="str">
        <f t="shared" si="924"/>
        <v>15,880</v>
      </c>
      <c r="AE151" s="11">
        <f t="shared" si="925"/>
        <v>0.18774444444444444</v>
      </c>
      <c r="AF151" s="14">
        <f t="shared" si="926"/>
        <v>26.685210392377346</v>
      </c>
      <c r="AG151" s="39">
        <f t="shared" si="927"/>
        <v>-100</v>
      </c>
      <c r="AH151" s="38">
        <f t="shared" si="869"/>
        <v>18.399999999999999</v>
      </c>
      <c r="AI151" s="124">
        <f t="shared" si="869"/>
        <v>1.0980000000000001</v>
      </c>
      <c r="AJ151" s="124">
        <f t="shared" si="869"/>
        <v>1.087</v>
      </c>
      <c r="AK151" s="41">
        <f t="shared" si="928"/>
        <v>0</v>
      </c>
      <c r="AL151" s="41"/>
      <c r="AM151" s="34">
        <f t="shared" ref="AM151:AN151" si="953">AM150</f>
        <v>2.0049999999999999</v>
      </c>
      <c r="AN151" s="33" t="str">
        <f t="shared" si="953"/>
        <v>7,19,050</v>
      </c>
      <c r="AO151" s="11" t="str">
        <f t="shared" si="930"/>
        <v>7,</v>
      </c>
      <c r="AP151" s="11" t="str">
        <f t="shared" si="931"/>
        <v>19,050</v>
      </c>
      <c r="AQ151" s="11">
        <f t="shared" si="932"/>
        <v>0.12195833333333334</v>
      </c>
      <c r="AR151" s="14">
        <f t="shared" si="933"/>
        <v>16.44004099760847</v>
      </c>
      <c r="AS151" s="39">
        <f t="shared" si="934"/>
        <v>-100</v>
      </c>
      <c r="AT151" s="40" t="str">
        <f t="shared" si="935"/>
        <v>NO CONFORME</v>
      </c>
      <c r="AU151" s="8" t="b">
        <f t="shared" si="857"/>
        <v>1</v>
      </c>
      <c r="AV151" s="8" t="b">
        <f t="shared" si="858"/>
        <v>0</v>
      </c>
      <c r="AW151" s="8" t="b">
        <f t="shared" si="859"/>
        <v>1</v>
      </c>
      <c r="AX151" s="8" t="str">
        <f t="shared" si="860"/>
        <v>Qcorrecto</v>
      </c>
      <c r="AY151" s="22" t="str">
        <f t="shared" si="840"/>
        <v>aceptable</v>
      </c>
      <c r="AZ151" s="22" t="str">
        <f t="shared" si="841"/>
        <v>aceptable</v>
      </c>
      <c r="BA151" s="22" t="str">
        <f t="shared" si="861"/>
        <v>aceptable</v>
      </c>
      <c r="BB151" s="25" t="str">
        <f t="shared" si="862"/>
        <v>NO CONFORME</v>
      </c>
      <c r="BC151" s="5" t="str">
        <f t="shared" si="863"/>
        <v>NO CONFORME</v>
      </c>
      <c r="BD151" s="15">
        <f t="shared" si="842"/>
        <v>-1</v>
      </c>
      <c r="BE151" s="15">
        <f t="shared" si="843"/>
        <v>-1</v>
      </c>
      <c r="BF151" s="15">
        <f t="shared" si="844"/>
        <v>-1</v>
      </c>
      <c r="BG151" s="15" t="str">
        <f t="shared" si="845"/>
        <v>-1-1-1</v>
      </c>
      <c r="BH151" s="15" t="str">
        <f t="shared" si="846"/>
        <v>SD</v>
      </c>
      <c r="BI151" s="15" t="str">
        <f t="shared" si="847"/>
        <v>SI</v>
      </c>
      <c r="BJ151" s="15" t="b">
        <f t="shared" si="848"/>
        <v>1</v>
      </c>
      <c r="BK151" s="15" t="str">
        <f t="shared" si="849"/>
        <v>SIGIGUALES</v>
      </c>
      <c r="BL151" s="22" t="str">
        <f t="shared" si="850"/>
        <v>NO CONFORME</v>
      </c>
    </row>
    <row r="152" spans="1:64" ht="14.4" x14ac:dyDescent="0.3">
      <c r="A152" s="91">
        <v>144</v>
      </c>
      <c r="B152" s="28">
        <f t="shared" ref="B152:E152" si="954">B151</f>
        <v>45920</v>
      </c>
      <c r="C152" s="28">
        <f t="shared" si="954"/>
        <v>45920</v>
      </c>
      <c r="D152" s="12">
        <f t="shared" si="954"/>
        <v>3</v>
      </c>
      <c r="E152" s="10">
        <f t="shared" si="954"/>
        <v>8</v>
      </c>
      <c r="F152" s="13"/>
      <c r="G152" s="157"/>
      <c r="H152" s="70">
        <f t="shared" ref="H152:L152" si="955">H151</f>
        <v>25.6</v>
      </c>
      <c r="I152" s="36">
        <f t="shared" si="955"/>
        <v>0</v>
      </c>
      <c r="J152" s="35">
        <f t="shared" si="955"/>
        <v>20.9</v>
      </c>
      <c r="K152" s="122">
        <f t="shared" si="955"/>
        <v>8.4730000000000008</v>
      </c>
      <c r="L152" s="122">
        <f t="shared" si="955"/>
        <v>0.52100000000000002</v>
      </c>
      <c r="M152" s="41"/>
      <c r="N152" s="41"/>
      <c r="O152" s="32">
        <f t="shared" ref="O152:P152" si="956">O151</f>
        <v>100.48</v>
      </c>
      <c r="P152" s="168" t="str">
        <f t="shared" si="956"/>
        <v>2,29,610</v>
      </c>
      <c r="Q152" s="11" t="str">
        <f t="shared" si="916"/>
        <v>2</v>
      </c>
      <c r="R152" s="11" t="str">
        <f t="shared" si="917"/>
        <v>29,610</v>
      </c>
      <c r="S152" s="11">
        <f t="shared" si="918"/>
        <v>4.1558333333333336E-2</v>
      </c>
      <c r="T152" s="14">
        <f t="shared" si="919"/>
        <v>2417.8062963705634</v>
      </c>
      <c r="U152" s="37">
        <f t="shared" si="920"/>
        <v>-100</v>
      </c>
      <c r="V152" s="38">
        <f t="shared" ref="V152:W152" si="957">V151</f>
        <v>21.3</v>
      </c>
      <c r="W152" s="124">
        <f t="shared" si="957"/>
        <v>1.0960000000000001</v>
      </c>
      <c r="X152" s="124">
        <f t="shared" si="854"/>
        <v>1.0880000000000001</v>
      </c>
      <c r="Y152" s="41"/>
      <c r="Z152" s="41"/>
      <c r="AA152" s="90">
        <f t="shared" ref="AA152:AB152" si="958">AA151</f>
        <v>5.01</v>
      </c>
      <c r="AB152" s="73" t="str">
        <f t="shared" si="958"/>
        <v>11,15,880</v>
      </c>
      <c r="AC152" s="11" t="str">
        <f t="shared" si="923"/>
        <v>11</v>
      </c>
      <c r="AD152" s="11" t="str">
        <f t="shared" si="924"/>
        <v>15,880</v>
      </c>
      <c r="AE152" s="11">
        <f t="shared" si="925"/>
        <v>0.18774444444444444</v>
      </c>
      <c r="AF152" s="14">
        <f t="shared" si="926"/>
        <v>26.685210392377346</v>
      </c>
      <c r="AG152" s="39">
        <f t="shared" si="927"/>
        <v>-100</v>
      </c>
      <c r="AH152" s="38">
        <f t="shared" si="869"/>
        <v>18.399999999999999</v>
      </c>
      <c r="AI152" s="124">
        <f t="shared" si="869"/>
        <v>1.0980000000000001</v>
      </c>
      <c r="AJ152" s="124">
        <f t="shared" si="869"/>
        <v>1.087</v>
      </c>
      <c r="AK152" s="41">
        <f t="shared" si="928"/>
        <v>0</v>
      </c>
      <c r="AL152" s="41"/>
      <c r="AM152" s="34">
        <f t="shared" ref="AM152:AN152" si="959">AM151</f>
        <v>2.0049999999999999</v>
      </c>
      <c r="AN152" s="33" t="str">
        <f t="shared" si="959"/>
        <v>7,19,050</v>
      </c>
      <c r="AO152" s="11" t="str">
        <f t="shared" si="930"/>
        <v>7,</v>
      </c>
      <c r="AP152" s="11" t="str">
        <f t="shared" si="931"/>
        <v>19,050</v>
      </c>
      <c r="AQ152" s="11">
        <f t="shared" si="932"/>
        <v>0.12195833333333334</v>
      </c>
      <c r="AR152" s="14">
        <f t="shared" si="933"/>
        <v>16.44004099760847</v>
      </c>
      <c r="AS152" s="39">
        <f t="shared" si="934"/>
        <v>-100</v>
      </c>
      <c r="AT152" s="40" t="str">
        <f t="shared" si="935"/>
        <v>NO CONFORME</v>
      </c>
      <c r="AU152" s="8" t="b">
        <f t="shared" si="857"/>
        <v>1</v>
      </c>
      <c r="AV152" s="8" t="b">
        <f t="shared" si="858"/>
        <v>0</v>
      </c>
      <c r="AW152" s="8" t="b">
        <f t="shared" si="859"/>
        <v>1</v>
      </c>
      <c r="AX152" s="8" t="str">
        <f t="shared" si="860"/>
        <v>Qcorrecto</v>
      </c>
      <c r="AY152" s="22" t="str">
        <f t="shared" si="840"/>
        <v>aceptable</v>
      </c>
      <c r="AZ152" s="22" t="str">
        <f t="shared" si="841"/>
        <v>aceptable</v>
      </c>
      <c r="BA152" s="22" t="str">
        <f t="shared" si="861"/>
        <v>aceptable</v>
      </c>
      <c r="BB152" s="25" t="str">
        <f t="shared" si="862"/>
        <v>NO CONFORME</v>
      </c>
      <c r="BC152" s="5" t="str">
        <f t="shared" si="863"/>
        <v>NO CONFORME</v>
      </c>
      <c r="BD152" s="15">
        <f t="shared" si="842"/>
        <v>-1</v>
      </c>
      <c r="BE152" s="15">
        <f t="shared" si="843"/>
        <v>-1</v>
      </c>
      <c r="BF152" s="15">
        <f t="shared" si="844"/>
        <v>-1</v>
      </c>
      <c r="BG152" s="15" t="str">
        <f t="shared" si="845"/>
        <v>-1-1-1</v>
      </c>
      <c r="BH152" s="15" t="str">
        <f t="shared" si="846"/>
        <v>SD</v>
      </c>
      <c r="BI152" s="15" t="str">
        <f t="shared" si="847"/>
        <v>SI</v>
      </c>
      <c r="BJ152" s="15" t="b">
        <f t="shared" si="848"/>
        <v>1</v>
      </c>
      <c r="BK152" s="15" t="str">
        <f t="shared" si="849"/>
        <v>SIGIGUALES</v>
      </c>
      <c r="BL152" s="22" t="str">
        <f t="shared" si="850"/>
        <v>NO CONFORME</v>
      </c>
    </row>
    <row r="153" spans="1:64" ht="14.4" x14ac:dyDescent="0.3">
      <c r="A153" s="91">
        <v>145</v>
      </c>
      <c r="B153" s="28">
        <f t="shared" ref="B153:E153" si="960">B152</f>
        <v>45920</v>
      </c>
      <c r="C153" s="28">
        <f t="shared" si="960"/>
        <v>45920</v>
      </c>
      <c r="D153" s="12">
        <f t="shared" si="960"/>
        <v>3</v>
      </c>
      <c r="E153" s="10">
        <f t="shared" si="960"/>
        <v>8</v>
      </c>
      <c r="F153" s="13"/>
      <c r="G153" s="157"/>
      <c r="H153" s="70">
        <f t="shared" ref="H153:L153" si="961">H152</f>
        <v>25.6</v>
      </c>
      <c r="I153" s="36">
        <f t="shared" si="961"/>
        <v>0</v>
      </c>
      <c r="J153" s="35">
        <f t="shared" si="961"/>
        <v>20.9</v>
      </c>
      <c r="K153" s="122">
        <f t="shared" si="961"/>
        <v>8.4730000000000008</v>
      </c>
      <c r="L153" s="122">
        <f t="shared" si="961"/>
        <v>0.52100000000000002</v>
      </c>
      <c r="M153" s="41"/>
      <c r="N153" s="41"/>
      <c r="O153" s="32">
        <f t="shared" ref="O153:P153" si="962">O152</f>
        <v>100.48</v>
      </c>
      <c r="P153" s="168" t="str">
        <f t="shared" si="962"/>
        <v>2,29,610</v>
      </c>
      <c r="Q153" s="11" t="str">
        <f t="shared" si="916"/>
        <v>2</v>
      </c>
      <c r="R153" s="11" t="str">
        <f t="shared" si="917"/>
        <v>29,610</v>
      </c>
      <c r="S153" s="11">
        <f t="shared" si="918"/>
        <v>4.1558333333333336E-2</v>
      </c>
      <c r="T153" s="14">
        <f t="shared" si="919"/>
        <v>2417.8062963705634</v>
      </c>
      <c r="U153" s="37">
        <f t="shared" si="920"/>
        <v>-100</v>
      </c>
      <c r="V153" s="38">
        <f t="shared" ref="V153:W153" si="963">V152</f>
        <v>21.3</v>
      </c>
      <c r="W153" s="124">
        <f t="shared" si="963"/>
        <v>1.0960000000000001</v>
      </c>
      <c r="X153" s="124">
        <f t="shared" si="854"/>
        <v>1.0880000000000001</v>
      </c>
      <c r="Y153" s="41"/>
      <c r="Z153" s="41"/>
      <c r="AA153" s="90">
        <f t="shared" ref="AA153:AB153" si="964">AA152</f>
        <v>5.01</v>
      </c>
      <c r="AB153" s="73" t="str">
        <f t="shared" si="964"/>
        <v>11,15,880</v>
      </c>
      <c r="AC153" s="11" t="str">
        <f t="shared" si="923"/>
        <v>11</v>
      </c>
      <c r="AD153" s="11" t="str">
        <f t="shared" si="924"/>
        <v>15,880</v>
      </c>
      <c r="AE153" s="11">
        <f t="shared" si="925"/>
        <v>0.18774444444444444</v>
      </c>
      <c r="AF153" s="14">
        <f t="shared" si="926"/>
        <v>26.685210392377346</v>
      </c>
      <c r="AG153" s="39">
        <f t="shared" si="927"/>
        <v>-100</v>
      </c>
      <c r="AH153" s="38">
        <f t="shared" si="869"/>
        <v>18.399999999999999</v>
      </c>
      <c r="AI153" s="124">
        <f t="shared" si="869"/>
        <v>1.0980000000000001</v>
      </c>
      <c r="AJ153" s="124">
        <f t="shared" si="869"/>
        <v>1.087</v>
      </c>
      <c r="AK153" s="41">
        <f t="shared" si="928"/>
        <v>0</v>
      </c>
      <c r="AL153" s="41"/>
      <c r="AM153" s="34">
        <f t="shared" ref="AM153:AN153" si="965">AM152</f>
        <v>2.0049999999999999</v>
      </c>
      <c r="AN153" s="33" t="str">
        <f t="shared" si="965"/>
        <v>7,19,050</v>
      </c>
      <c r="AO153" s="11" t="str">
        <f t="shared" si="930"/>
        <v>7,</v>
      </c>
      <c r="AP153" s="11" t="str">
        <f t="shared" si="931"/>
        <v>19,050</v>
      </c>
      <c r="AQ153" s="11">
        <f t="shared" si="932"/>
        <v>0.12195833333333334</v>
      </c>
      <c r="AR153" s="14">
        <f t="shared" si="933"/>
        <v>16.44004099760847</v>
      </c>
      <c r="AS153" s="39">
        <f t="shared" si="934"/>
        <v>-100</v>
      </c>
      <c r="AT153" s="40" t="str">
        <f t="shared" si="935"/>
        <v>NO CONFORME</v>
      </c>
      <c r="AU153" s="8" t="b">
        <f t="shared" si="857"/>
        <v>1</v>
      </c>
      <c r="AV153" s="8" t="b">
        <f t="shared" si="858"/>
        <v>0</v>
      </c>
      <c r="AW153" s="8" t="b">
        <f t="shared" si="859"/>
        <v>1</v>
      </c>
      <c r="AX153" s="8" t="str">
        <f t="shared" si="860"/>
        <v>Qcorrecto</v>
      </c>
      <c r="AY153" s="22" t="str">
        <f t="shared" si="840"/>
        <v>aceptable</v>
      </c>
      <c r="AZ153" s="22" t="str">
        <f t="shared" si="841"/>
        <v>aceptable</v>
      </c>
      <c r="BA153" s="22" t="str">
        <f t="shared" si="861"/>
        <v>aceptable</v>
      </c>
      <c r="BB153" s="25" t="str">
        <f t="shared" si="862"/>
        <v>NO CONFORME</v>
      </c>
      <c r="BC153" s="5" t="str">
        <f t="shared" si="863"/>
        <v>NO CONFORME</v>
      </c>
      <c r="BD153" s="15">
        <f t="shared" si="842"/>
        <v>-1</v>
      </c>
      <c r="BE153" s="15">
        <f t="shared" si="843"/>
        <v>-1</v>
      </c>
      <c r="BF153" s="15">
        <f t="shared" si="844"/>
        <v>-1</v>
      </c>
      <c r="BG153" s="15" t="str">
        <f t="shared" si="845"/>
        <v>-1-1-1</v>
      </c>
      <c r="BH153" s="15" t="str">
        <f t="shared" si="846"/>
        <v>SD</v>
      </c>
      <c r="BI153" s="15" t="str">
        <f t="shared" si="847"/>
        <v>SI</v>
      </c>
      <c r="BJ153" s="15" t="b">
        <f t="shared" si="848"/>
        <v>1</v>
      </c>
      <c r="BK153" s="15" t="str">
        <f t="shared" si="849"/>
        <v>SIGIGUALES</v>
      </c>
      <c r="BL153" s="22" t="str">
        <f t="shared" si="850"/>
        <v>NO CONFORME</v>
      </c>
    </row>
    <row r="154" spans="1:64" ht="14.4" x14ac:dyDescent="0.3">
      <c r="A154" s="91">
        <v>146</v>
      </c>
      <c r="B154" s="28">
        <f t="shared" ref="B154:E154" si="966">B153</f>
        <v>45920</v>
      </c>
      <c r="C154" s="28">
        <f t="shared" si="966"/>
        <v>45920</v>
      </c>
      <c r="D154" s="12">
        <f t="shared" si="966"/>
        <v>3</v>
      </c>
      <c r="E154" s="10">
        <f t="shared" si="966"/>
        <v>8</v>
      </c>
      <c r="F154" s="13"/>
      <c r="G154" s="157"/>
      <c r="H154" s="70">
        <f t="shared" ref="H154:L154" si="967">H153</f>
        <v>25.6</v>
      </c>
      <c r="I154" s="36">
        <f t="shared" si="967"/>
        <v>0</v>
      </c>
      <c r="J154" s="35">
        <f t="shared" si="967"/>
        <v>20.9</v>
      </c>
      <c r="K154" s="122">
        <f t="shared" si="967"/>
        <v>8.4730000000000008</v>
      </c>
      <c r="L154" s="122">
        <f t="shared" si="967"/>
        <v>0.52100000000000002</v>
      </c>
      <c r="M154" s="41"/>
      <c r="N154" s="41"/>
      <c r="O154" s="32">
        <f t="shared" ref="O154:P154" si="968">O153</f>
        <v>100.48</v>
      </c>
      <c r="P154" s="168" t="str">
        <f t="shared" si="968"/>
        <v>2,29,610</v>
      </c>
      <c r="Q154" s="11" t="str">
        <f t="shared" si="916"/>
        <v>2</v>
      </c>
      <c r="R154" s="11" t="str">
        <f t="shared" si="917"/>
        <v>29,610</v>
      </c>
      <c r="S154" s="11">
        <f t="shared" si="918"/>
        <v>4.1558333333333336E-2</v>
      </c>
      <c r="T154" s="14">
        <f t="shared" si="919"/>
        <v>2417.8062963705634</v>
      </c>
      <c r="U154" s="37">
        <f t="shared" si="920"/>
        <v>-100</v>
      </c>
      <c r="V154" s="38">
        <f t="shared" ref="V154:W154" si="969">V153</f>
        <v>21.3</v>
      </c>
      <c r="W154" s="124">
        <f t="shared" si="969"/>
        <v>1.0960000000000001</v>
      </c>
      <c r="X154" s="124">
        <f t="shared" si="854"/>
        <v>1.0880000000000001</v>
      </c>
      <c r="Y154" s="41"/>
      <c r="Z154" s="41"/>
      <c r="AA154" s="90">
        <f t="shared" ref="AA154:AB154" si="970">AA153</f>
        <v>5.01</v>
      </c>
      <c r="AB154" s="73" t="str">
        <f t="shared" si="970"/>
        <v>11,15,880</v>
      </c>
      <c r="AC154" s="11" t="str">
        <f t="shared" si="923"/>
        <v>11</v>
      </c>
      <c r="AD154" s="11" t="str">
        <f t="shared" si="924"/>
        <v>15,880</v>
      </c>
      <c r="AE154" s="11">
        <f t="shared" si="925"/>
        <v>0.18774444444444444</v>
      </c>
      <c r="AF154" s="14">
        <f t="shared" si="926"/>
        <v>26.685210392377346</v>
      </c>
      <c r="AG154" s="39">
        <f t="shared" si="927"/>
        <v>-100</v>
      </c>
      <c r="AH154" s="38">
        <f t="shared" si="869"/>
        <v>18.399999999999999</v>
      </c>
      <c r="AI154" s="124">
        <f t="shared" si="869"/>
        <v>1.0980000000000001</v>
      </c>
      <c r="AJ154" s="124">
        <f t="shared" si="869"/>
        <v>1.087</v>
      </c>
      <c r="AK154" s="41">
        <f t="shared" si="928"/>
        <v>0</v>
      </c>
      <c r="AL154" s="41"/>
      <c r="AM154" s="34">
        <f t="shared" ref="AM154:AN154" si="971">AM153</f>
        <v>2.0049999999999999</v>
      </c>
      <c r="AN154" s="33" t="str">
        <f t="shared" si="971"/>
        <v>7,19,050</v>
      </c>
      <c r="AO154" s="11" t="str">
        <f t="shared" si="930"/>
        <v>7,</v>
      </c>
      <c r="AP154" s="11" t="str">
        <f t="shared" si="931"/>
        <v>19,050</v>
      </c>
      <c r="AQ154" s="11">
        <f t="shared" si="932"/>
        <v>0.12195833333333334</v>
      </c>
      <c r="AR154" s="14">
        <f t="shared" si="933"/>
        <v>16.44004099760847</v>
      </c>
      <c r="AS154" s="39">
        <f t="shared" si="934"/>
        <v>-100</v>
      </c>
      <c r="AT154" s="40" t="str">
        <f t="shared" si="935"/>
        <v>NO CONFORME</v>
      </c>
      <c r="AU154" s="8" t="b">
        <f t="shared" si="857"/>
        <v>1</v>
      </c>
      <c r="AV154" s="8" t="b">
        <f t="shared" si="858"/>
        <v>0</v>
      </c>
      <c r="AW154" s="8" t="b">
        <f t="shared" si="859"/>
        <v>1</v>
      </c>
      <c r="AX154" s="8" t="str">
        <f t="shared" si="860"/>
        <v>Qcorrecto</v>
      </c>
      <c r="AY154" s="22" t="str">
        <f t="shared" si="840"/>
        <v>aceptable</v>
      </c>
      <c r="AZ154" s="22" t="str">
        <f t="shared" si="841"/>
        <v>aceptable</v>
      </c>
      <c r="BA154" s="22" t="str">
        <f t="shared" si="861"/>
        <v>aceptable</v>
      </c>
      <c r="BB154" s="25" t="str">
        <f t="shared" si="862"/>
        <v>NO CONFORME</v>
      </c>
      <c r="BC154" s="5" t="str">
        <f t="shared" si="863"/>
        <v>NO CONFORME</v>
      </c>
      <c r="BD154" s="15">
        <f t="shared" si="842"/>
        <v>-1</v>
      </c>
      <c r="BE154" s="15">
        <f t="shared" si="843"/>
        <v>-1</v>
      </c>
      <c r="BF154" s="15">
        <f t="shared" si="844"/>
        <v>-1</v>
      </c>
      <c r="BG154" s="15" t="str">
        <f t="shared" si="845"/>
        <v>-1-1-1</v>
      </c>
      <c r="BH154" s="15" t="str">
        <f t="shared" si="846"/>
        <v>SD</v>
      </c>
      <c r="BI154" s="15" t="str">
        <f t="shared" si="847"/>
        <v>SI</v>
      </c>
      <c r="BJ154" s="15" t="b">
        <f t="shared" si="848"/>
        <v>1</v>
      </c>
      <c r="BK154" s="15" t="str">
        <f t="shared" si="849"/>
        <v>SIGIGUALES</v>
      </c>
      <c r="BL154" s="22" t="str">
        <f t="shared" si="850"/>
        <v>NO CONFORME</v>
      </c>
    </row>
    <row r="155" spans="1:64" ht="14.4" x14ac:dyDescent="0.3">
      <c r="A155" s="91">
        <v>147</v>
      </c>
      <c r="B155" s="28">
        <f t="shared" ref="B155:E155" si="972">B154</f>
        <v>45920</v>
      </c>
      <c r="C155" s="28">
        <f t="shared" si="972"/>
        <v>45920</v>
      </c>
      <c r="D155" s="12">
        <f t="shared" si="972"/>
        <v>3</v>
      </c>
      <c r="E155" s="10">
        <f t="shared" si="972"/>
        <v>8</v>
      </c>
      <c r="F155" s="13"/>
      <c r="G155" s="157"/>
      <c r="H155" s="70">
        <f t="shared" ref="H155:L155" si="973">H154</f>
        <v>25.6</v>
      </c>
      <c r="I155" s="36">
        <f t="shared" si="973"/>
        <v>0</v>
      </c>
      <c r="J155" s="35">
        <f t="shared" si="973"/>
        <v>20.9</v>
      </c>
      <c r="K155" s="122">
        <f t="shared" si="973"/>
        <v>8.4730000000000008</v>
      </c>
      <c r="L155" s="122">
        <f t="shared" si="973"/>
        <v>0.52100000000000002</v>
      </c>
      <c r="M155" s="41"/>
      <c r="N155" s="41"/>
      <c r="O155" s="32">
        <f t="shared" ref="O155:P155" si="974">O154</f>
        <v>100.48</v>
      </c>
      <c r="P155" s="168" t="str">
        <f t="shared" si="974"/>
        <v>2,29,610</v>
      </c>
      <c r="Q155" s="11" t="str">
        <f t="shared" si="916"/>
        <v>2</v>
      </c>
      <c r="R155" s="11" t="str">
        <f t="shared" si="917"/>
        <v>29,610</v>
      </c>
      <c r="S155" s="11">
        <f t="shared" si="918"/>
        <v>4.1558333333333336E-2</v>
      </c>
      <c r="T155" s="14">
        <f t="shared" si="919"/>
        <v>2417.8062963705634</v>
      </c>
      <c r="U155" s="37">
        <f t="shared" si="920"/>
        <v>-100</v>
      </c>
      <c r="V155" s="38">
        <f t="shared" ref="V155:X170" si="975">V154</f>
        <v>21.3</v>
      </c>
      <c r="W155" s="124">
        <f t="shared" si="975"/>
        <v>1.0960000000000001</v>
      </c>
      <c r="X155" s="124">
        <f t="shared" si="975"/>
        <v>1.0880000000000001</v>
      </c>
      <c r="Y155" s="41"/>
      <c r="Z155" s="41"/>
      <c r="AA155" s="90">
        <f t="shared" ref="AA155:AB155" si="976">AA154</f>
        <v>5.01</v>
      </c>
      <c r="AB155" s="73" t="str">
        <f t="shared" si="976"/>
        <v>11,15,880</v>
      </c>
      <c r="AC155" s="11" t="str">
        <f t="shared" si="923"/>
        <v>11</v>
      </c>
      <c r="AD155" s="11" t="str">
        <f t="shared" si="924"/>
        <v>15,880</v>
      </c>
      <c r="AE155" s="11">
        <f t="shared" si="925"/>
        <v>0.18774444444444444</v>
      </c>
      <c r="AF155" s="14">
        <f t="shared" si="926"/>
        <v>26.685210392377346</v>
      </c>
      <c r="AG155" s="39">
        <f t="shared" si="927"/>
        <v>-100</v>
      </c>
      <c r="AH155" s="38">
        <f t="shared" si="869"/>
        <v>18.399999999999999</v>
      </c>
      <c r="AI155" s="124">
        <f t="shared" si="869"/>
        <v>1.0980000000000001</v>
      </c>
      <c r="AJ155" s="124">
        <f t="shared" si="869"/>
        <v>1.087</v>
      </c>
      <c r="AK155" s="41">
        <f t="shared" si="928"/>
        <v>0</v>
      </c>
      <c r="AL155" s="41"/>
      <c r="AM155" s="34">
        <f t="shared" ref="AM155:AN155" si="977">AM154</f>
        <v>2.0049999999999999</v>
      </c>
      <c r="AN155" s="33" t="str">
        <f t="shared" si="977"/>
        <v>7,19,050</v>
      </c>
      <c r="AO155" s="11" t="str">
        <f t="shared" si="930"/>
        <v>7,</v>
      </c>
      <c r="AP155" s="11" t="str">
        <f t="shared" si="931"/>
        <v>19,050</v>
      </c>
      <c r="AQ155" s="11">
        <f t="shared" si="932"/>
        <v>0.12195833333333334</v>
      </c>
      <c r="AR155" s="14">
        <f t="shared" si="933"/>
        <v>16.44004099760847</v>
      </c>
      <c r="AS155" s="39">
        <f t="shared" si="934"/>
        <v>-100</v>
      </c>
      <c r="AT155" s="40" t="str">
        <f t="shared" si="935"/>
        <v>NO CONFORME</v>
      </c>
      <c r="AU155" s="8" t="b">
        <f t="shared" si="857"/>
        <v>1</v>
      </c>
      <c r="AV155" s="8" t="b">
        <f t="shared" si="858"/>
        <v>0</v>
      </c>
      <c r="AW155" s="8" t="b">
        <f t="shared" si="859"/>
        <v>1</v>
      </c>
      <c r="AX155" s="8" t="str">
        <f t="shared" si="860"/>
        <v>Qcorrecto</v>
      </c>
      <c r="AY155" s="22" t="str">
        <f t="shared" si="840"/>
        <v>aceptable</v>
      </c>
      <c r="AZ155" s="22" t="str">
        <f t="shared" si="841"/>
        <v>aceptable</v>
      </c>
      <c r="BA155" s="22" t="str">
        <f t="shared" si="861"/>
        <v>aceptable</v>
      </c>
      <c r="BB155" s="25" t="str">
        <f t="shared" si="862"/>
        <v>NO CONFORME</v>
      </c>
      <c r="BC155" s="5" t="str">
        <f t="shared" si="863"/>
        <v>NO CONFORME</v>
      </c>
      <c r="BD155" s="15">
        <f t="shared" si="842"/>
        <v>-1</v>
      </c>
      <c r="BE155" s="15">
        <f t="shared" si="843"/>
        <v>-1</v>
      </c>
      <c r="BF155" s="15">
        <f t="shared" si="844"/>
        <v>-1</v>
      </c>
      <c r="BG155" s="15" t="str">
        <f t="shared" si="845"/>
        <v>-1-1-1</v>
      </c>
      <c r="BH155" s="15" t="str">
        <f t="shared" si="846"/>
        <v>SD</v>
      </c>
      <c r="BI155" s="15" t="str">
        <f t="shared" si="847"/>
        <v>SI</v>
      </c>
      <c r="BJ155" s="15" t="b">
        <f t="shared" si="848"/>
        <v>1</v>
      </c>
      <c r="BK155" s="15" t="str">
        <f t="shared" si="849"/>
        <v>SIGIGUALES</v>
      </c>
      <c r="BL155" s="22" t="str">
        <f t="shared" si="850"/>
        <v>NO CONFORME</v>
      </c>
    </row>
    <row r="156" spans="1:64" ht="14.4" x14ac:dyDescent="0.3">
      <c r="A156" s="91">
        <v>148</v>
      </c>
      <c r="B156" s="28">
        <f t="shared" ref="B156:E156" si="978">B155</f>
        <v>45920</v>
      </c>
      <c r="C156" s="28">
        <f t="shared" si="978"/>
        <v>45920</v>
      </c>
      <c r="D156" s="12">
        <f t="shared" si="978"/>
        <v>3</v>
      </c>
      <c r="E156" s="10">
        <f t="shared" si="978"/>
        <v>8</v>
      </c>
      <c r="F156" s="13"/>
      <c r="G156" s="157"/>
      <c r="H156" s="70">
        <f t="shared" ref="H156:L156" si="979">H155</f>
        <v>25.6</v>
      </c>
      <c r="I156" s="36">
        <f t="shared" si="979"/>
        <v>0</v>
      </c>
      <c r="J156" s="35">
        <f t="shared" si="979"/>
        <v>20.9</v>
      </c>
      <c r="K156" s="122">
        <f t="shared" si="979"/>
        <v>8.4730000000000008</v>
      </c>
      <c r="L156" s="122">
        <f t="shared" si="979"/>
        <v>0.52100000000000002</v>
      </c>
      <c r="M156" s="41"/>
      <c r="N156" s="41"/>
      <c r="O156" s="32">
        <f t="shared" ref="O156:P156" si="980">O155</f>
        <v>100.48</v>
      </c>
      <c r="P156" s="168" t="str">
        <f t="shared" si="980"/>
        <v>2,29,610</v>
      </c>
      <c r="Q156" s="11" t="str">
        <f t="shared" si="916"/>
        <v>2</v>
      </c>
      <c r="R156" s="11" t="str">
        <f t="shared" si="917"/>
        <v>29,610</v>
      </c>
      <c r="S156" s="11">
        <f t="shared" si="918"/>
        <v>4.1558333333333336E-2</v>
      </c>
      <c r="T156" s="14">
        <f t="shared" si="919"/>
        <v>2417.8062963705634</v>
      </c>
      <c r="U156" s="37">
        <f t="shared" si="920"/>
        <v>-100</v>
      </c>
      <c r="V156" s="38">
        <f t="shared" ref="V156:W156" si="981">V155</f>
        <v>21.3</v>
      </c>
      <c r="W156" s="124">
        <f t="shared" si="981"/>
        <v>1.0960000000000001</v>
      </c>
      <c r="X156" s="124">
        <f t="shared" si="975"/>
        <v>1.0880000000000001</v>
      </c>
      <c r="Y156" s="41"/>
      <c r="Z156" s="41"/>
      <c r="AA156" s="90">
        <f t="shared" ref="AA156:AB156" si="982">AA155</f>
        <v>5.01</v>
      </c>
      <c r="AB156" s="73" t="str">
        <f t="shared" si="982"/>
        <v>11,15,880</v>
      </c>
      <c r="AC156" s="11" t="str">
        <f t="shared" si="923"/>
        <v>11</v>
      </c>
      <c r="AD156" s="11" t="str">
        <f t="shared" si="924"/>
        <v>15,880</v>
      </c>
      <c r="AE156" s="11">
        <f t="shared" si="925"/>
        <v>0.18774444444444444</v>
      </c>
      <c r="AF156" s="14">
        <f t="shared" si="926"/>
        <v>26.685210392377346</v>
      </c>
      <c r="AG156" s="39">
        <f t="shared" si="927"/>
        <v>-100</v>
      </c>
      <c r="AH156" s="38">
        <f t="shared" ref="AH156:AJ171" si="983">AH155</f>
        <v>18.399999999999999</v>
      </c>
      <c r="AI156" s="124">
        <f t="shared" si="983"/>
        <v>1.0980000000000001</v>
      </c>
      <c r="AJ156" s="124">
        <f t="shared" si="983"/>
        <v>1.087</v>
      </c>
      <c r="AK156" s="41">
        <f t="shared" si="928"/>
        <v>0</v>
      </c>
      <c r="AL156" s="41"/>
      <c r="AM156" s="34">
        <f t="shared" ref="AM156:AN156" si="984">AM155</f>
        <v>2.0049999999999999</v>
      </c>
      <c r="AN156" s="33" t="str">
        <f t="shared" si="984"/>
        <v>7,19,050</v>
      </c>
      <c r="AO156" s="11" t="str">
        <f t="shared" si="930"/>
        <v>7,</v>
      </c>
      <c r="AP156" s="11" t="str">
        <f t="shared" si="931"/>
        <v>19,050</v>
      </c>
      <c r="AQ156" s="11">
        <f t="shared" si="932"/>
        <v>0.12195833333333334</v>
      </c>
      <c r="AR156" s="14">
        <f t="shared" si="933"/>
        <v>16.44004099760847</v>
      </c>
      <c r="AS156" s="39">
        <f t="shared" si="934"/>
        <v>-100</v>
      </c>
      <c r="AT156" s="40" t="str">
        <f t="shared" si="935"/>
        <v>NO CONFORME</v>
      </c>
      <c r="AU156" s="8" t="b">
        <f t="shared" si="857"/>
        <v>1</v>
      </c>
      <c r="AV156" s="8" t="b">
        <f t="shared" si="858"/>
        <v>0</v>
      </c>
      <c r="AW156" s="8" t="b">
        <f t="shared" si="859"/>
        <v>1</v>
      </c>
      <c r="AX156" s="8" t="str">
        <f t="shared" si="860"/>
        <v>Qcorrecto</v>
      </c>
      <c r="AY156" s="22" t="str">
        <f t="shared" si="840"/>
        <v>aceptable</v>
      </c>
      <c r="AZ156" s="22" t="str">
        <f t="shared" si="841"/>
        <v>aceptable</v>
      </c>
      <c r="BA156" s="22" t="str">
        <f t="shared" si="861"/>
        <v>aceptable</v>
      </c>
      <c r="BB156" s="25" t="str">
        <f t="shared" si="862"/>
        <v>NO CONFORME</v>
      </c>
      <c r="BC156" s="5" t="str">
        <f t="shared" si="863"/>
        <v>NO CONFORME</v>
      </c>
      <c r="BD156" s="15">
        <f t="shared" si="842"/>
        <v>-1</v>
      </c>
      <c r="BE156" s="15">
        <f t="shared" si="843"/>
        <v>-1</v>
      </c>
      <c r="BF156" s="15">
        <f t="shared" si="844"/>
        <v>-1</v>
      </c>
      <c r="BG156" s="15" t="str">
        <f t="shared" si="845"/>
        <v>-1-1-1</v>
      </c>
      <c r="BH156" s="15" t="str">
        <f t="shared" si="846"/>
        <v>SD</v>
      </c>
      <c r="BI156" s="15" t="str">
        <f t="shared" si="847"/>
        <v>SI</v>
      </c>
      <c r="BJ156" s="15" t="b">
        <f t="shared" si="848"/>
        <v>1</v>
      </c>
      <c r="BK156" s="15" t="str">
        <f t="shared" si="849"/>
        <v>SIGIGUALES</v>
      </c>
      <c r="BL156" s="22" t="str">
        <f t="shared" si="850"/>
        <v>NO CONFORME</v>
      </c>
    </row>
    <row r="157" spans="1:64" ht="14.4" x14ac:dyDescent="0.3">
      <c r="A157" s="91">
        <v>149</v>
      </c>
      <c r="B157" s="28">
        <f t="shared" ref="B157:E157" si="985">B156</f>
        <v>45920</v>
      </c>
      <c r="C157" s="28">
        <f t="shared" si="985"/>
        <v>45920</v>
      </c>
      <c r="D157" s="12">
        <f t="shared" si="985"/>
        <v>3</v>
      </c>
      <c r="E157" s="10">
        <f t="shared" si="985"/>
        <v>8</v>
      </c>
      <c r="F157" s="13"/>
      <c r="G157" s="157"/>
      <c r="H157" s="70">
        <f t="shared" ref="H157:L157" si="986">H156</f>
        <v>25.6</v>
      </c>
      <c r="I157" s="36">
        <f t="shared" si="986"/>
        <v>0</v>
      </c>
      <c r="J157" s="35">
        <f t="shared" si="986"/>
        <v>20.9</v>
      </c>
      <c r="K157" s="122">
        <f t="shared" si="986"/>
        <v>8.4730000000000008</v>
      </c>
      <c r="L157" s="122">
        <f t="shared" si="986"/>
        <v>0.52100000000000002</v>
      </c>
      <c r="M157" s="41"/>
      <c r="N157" s="41"/>
      <c r="O157" s="32">
        <f t="shared" ref="O157:P157" si="987">O156</f>
        <v>100.48</v>
      </c>
      <c r="P157" s="168" t="str">
        <f t="shared" si="987"/>
        <v>2,29,610</v>
      </c>
      <c r="Q157" s="11" t="str">
        <f t="shared" si="916"/>
        <v>2</v>
      </c>
      <c r="R157" s="11" t="str">
        <f t="shared" si="917"/>
        <v>29,610</v>
      </c>
      <c r="S157" s="11">
        <f t="shared" si="918"/>
        <v>4.1558333333333336E-2</v>
      </c>
      <c r="T157" s="14">
        <f t="shared" si="919"/>
        <v>2417.8062963705634</v>
      </c>
      <c r="U157" s="37">
        <f t="shared" si="920"/>
        <v>-100</v>
      </c>
      <c r="V157" s="38">
        <f t="shared" ref="V157:W157" si="988">V156</f>
        <v>21.3</v>
      </c>
      <c r="W157" s="124">
        <f t="shared" si="988"/>
        <v>1.0960000000000001</v>
      </c>
      <c r="X157" s="124">
        <f t="shared" si="975"/>
        <v>1.0880000000000001</v>
      </c>
      <c r="Y157" s="41"/>
      <c r="Z157" s="41"/>
      <c r="AA157" s="90">
        <f t="shared" ref="AA157:AB157" si="989">AA156</f>
        <v>5.01</v>
      </c>
      <c r="AB157" s="73" t="str">
        <f t="shared" si="989"/>
        <v>11,15,880</v>
      </c>
      <c r="AC157" s="11" t="str">
        <f t="shared" si="923"/>
        <v>11</v>
      </c>
      <c r="AD157" s="11" t="str">
        <f t="shared" si="924"/>
        <v>15,880</v>
      </c>
      <c r="AE157" s="11">
        <f t="shared" si="925"/>
        <v>0.18774444444444444</v>
      </c>
      <c r="AF157" s="14">
        <f t="shared" si="926"/>
        <v>26.685210392377346</v>
      </c>
      <c r="AG157" s="39">
        <f t="shared" si="927"/>
        <v>-100</v>
      </c>
      <c r="AH157" s="38">
        <f t="shared" si="983"/>
        <v>18.399999999999999</v>
      </c>
      <c r="AI157" s="124">
        <f t="shared" si="983"/>
        <v>1.0980000000000001</v>
      </c>
      <c r="AJ157" s="124">
        <f t="shared" si="983"/>
        <v>1.087</v>
      </c>
      <c r="AK157" s="41">
        <f t="shared" si="928"/>
        <v>0</v>
      </c>
      <c r="AL157" s="41"/>
      <c r="AM157" s="34">
        <f t="shared" ref="AM157:AN157" si="990">AM156</f>
        <v>2.0049999999999999</v>
      </c>
      <c r="AN157" s="33" t="str">
        <f t="shared" si="990"/>
        <v>7,19,050</v>
      </c>
      <c r="AO157" s="11" t="str">
        <f t="shared" si="930"/>
        <v>7,</v>
      </c>
      <c r="AP157" s="11" t="str">
        <f t="shared" si="931"/>
        <v>19,050</v>
      </c>
      <c r="AQ157" s="11">
        <f t="shared" si="932"/>
        <v>0.12195833333333334</v>
      </c>
      <c r="AR157" s="14">
        <f t="shared" si="933"/>
        <v>16.44004099760847</v>
      </c>
      <c r="AS157" s="39">
        <f t="shared" si="934"/>
        <v>-100</v>
      </c>
      <c r="AT157" s="40" t="str">
        <f t="shared" si="935"/>
        <v>NO CONFORME</v>
      </c>
      <c r="AU157" s="8" t="b">
        <f t="shared" si="857"/>
        <v>1</v>
      </c>
      <c r="AV157" s="8" t="b">
        <f t="shared" si="858"/>
        <v>0</v>
      </c>
      <c r="AW157" s="8" t="b">
        <f t="shared" si="859"/>
        <v>1</v>
      </c>
      <c r="AX157" s="8" t="str">
        <f t="shared" si="860"/>
        <v>Qcorrecto</v>
      </c>
      <c r="AY157" s="22" t="str">
        <f t="shared" si="840"/>
        <v>aceptable</v>
      </c>
      <c r="AZ157" s="22" t="str">
        <f t="shared" si="841"/>
        <v>aceptable</v>
      </c>
      <c r="BA157" s="22" t="str">
        <f t="shared" si="861"/>
        <v>aceptable</v>
      </c>
      <c r="BB157" s="25" t="str">
        <f t="shared" si="862"/>
        <v>NO CONFORME</v>
      </c>
      <c r="BC157" s="5" t="str">
        <f t="shared" si="863"/>
        <v>NO CONFORME</v>
      </c>
      <c r="BD157" s="15">
        <f t="shared" si="842"/>
        <v>-1</v>
      </c>
      <c r="BE157" s="15">
        <f t="shared" si="843"/>
        <v>-1</v>
      </c>
      <c r="BF157" s="15">
        <f t="shared" si="844"/>
        <v>-1</v>
      </c>
      <c r="BG157" s="15" t="str">
        <f t="shared" si="845"/>
        <v>-1-1-1</v>
      </c>
      <c r="BH157" s="15" t="str">
        <f t="shared" si="846"/>
        <v>SD</v>
      </c>
      <c r="BI157" s="15" t="str">
        <f t="shared" si="847"/>
        <v>SI</v>
      </c>
      <c r="BJ157" s="15" t="b">
        <f t="shared" si="848"/>
        <v>1</v>
      </c>
      <c r="BK157" s="15" t="str">
        <f t="shared" si="849"/>
        <v>SIGIGUALES</v>
      </c>
      <c r="BL157" s="22" t="str">
        <f t="shared" si="850"/>
        <v>NO CONFORME</v>
      </c>
    </row>
    <row r="158" spans="1:64" ht="14.4" x14ac:dyDescent="0.3">
      <c r="A158" s="91">
        <v>150</v>
      </c>
      <c r="B158" s="28">
        <f t="shared" ref="B158:E158" si="991">B157</f>
        <v>45920</v>
      </c>
      <c r="C158" s="28">
        <f t="shared" si="991"/>
        <v>45920</v>
      </c>
      <c r="D158" s="12">
        <f t="shared" si="991"/>
        <v>3</v>
      </c>
      <c r="E158" s="10">
        <f t="shared" si="991"/>
        <v>8</v>
      </c>
      <c r="F158" s="13"/>
      <c r="G158" s="157"/>
      <c r="H158" s="70">
        <f t="shared" ref="H158:L158" si="992">H157</f>
        <v>25.6</v>
      </c>
      <c r="I158" s="36">
        <f t="shared" si="992"/>
        <v>0</v>
      </c>
      <c r="J158" s="35">
        <f t="shared" si="992"/>
        <v>20.9</v>
      </c>
      <c r="K158" s="122">
        <f t="shared" si="992"/>
        <v>8.4730000000000008</v>
      </c>
      <c r="L158" s="122">
        <f t="shared" si="992"/>
        <v>0.52100000000000002</v>
      </c>
      <c r="M158" s="41"/>
      <c r="N158" s="41"/>
      <c r="O158" s="32">
        <f t="shared" ref="O158:P158" si="993">O157</f>
        <v>100.48</v>
      </c>
      <c r="P158" s="168" t="str">
        <f t="shared" si="993"/>
        <v>2,29,610</v>
      </c>
      <c r="Q158" s="11" t="str">
        <f t="shared" si="916"/>
        <v>2</v>
      </c>
      <c r="R158" s="11" t="str">
        <f t="shared" si="917"/>
        <v>29,610</v>
      </c>
      <c r="S158" s="11">
        <f t="shared" si="918"/>
        <v>4.1558333333333336E-2</v>
      </c>
      <c r="T158" s="14">
        <f t="shared" si="919"/>
        <v>2417.8062963705634</v>
      </c>
      <c r="U158" s="37">
        <f t="shared" si="920"/>
        <v>-100</v>
      </c>
      <c r="V158" s="38">
        <f t="shared" ref="V158:W158" si="994">V157</f>
        <v>21.3</v>
      </c>
      <c r="W158" s="124">
        <f t="shared" si="994"/>
        <v>1.0960000000000001</v>
      </c>
      <c r="X158" s="124">
        <f t="shared" si="975"/>
        <v>1.0880000000000001</v>
      </c>
      <c r="Y158" s="41"/>
      <c r="Z158" s="41"/>
      <c r="AA158" s="90">
        <f t="shared" ref="AA158:AB158" si="995">AA157</f>
        <v>5.01</v>
      </c>
      <c r="AB158" s="73" t="str">
        <f t="shared" si="995"/>
        <v>11,15,880</v>
      </c>
      <c r="AC158" s="11" t="str">
        <f t="shared" si="923"/>
        <v>11</v>
      </c>
      <c r="AD158" s="11" t="str">
        <f t="shared" si="924"/>
        <v>15,880</v>
      </c>
      <c r="AE158" s="11">
        <f t="shared" si="925"/>
        <v>0.18774444444444444</v>
      </c>
      <c r="AF158" s="14">
        <f t="shared" si="926"/>
        <v>26.685210392377346</v>
      </c>
      <c r="AG158" s="39">
        <f t="shared" si="927"/>
        <v>-100</v>
      </c>
      <c r="AH158" s="38">
        <f t="shared" si="983"/>
        <v>18.399999999999999</v>
      </c>
      <c r="AI158" s="124">
        <f t="shared" si="983"/>
        <v>1.0980000000000001</v>
      </c>
      <c r="AJ158" s="124">
        <f t="shared" si="983"/>
        <v>1.087</v>
      </c>
      <c r="AK158" s="41">
        <f t="shared" si="928"/>
        <v>0</v>
      </c>
      <c r="AL158" s="41"/>
      <c r="AM158" s="34">
        <f t="shared" ref="AM158:AN158" si="996">AM157</f>
        <v>2.0049999999999999</v>
      </c>
      <c r="AN158" s="33" t="str">
        <f t="shared" si="996"/>
        <v>7,19,050</v>
      </c>
      <c r="AO158" s="11" t="str">
        <f t="shared" si="930"/>
        <v>7,</v>
      </c>
      <c r="AP158" s="11" t="str">
        <f t="shared" si="931"/>
        <v>19,050</v>
      </c>
      <c r="AQ158" s="11">
        <f t="shared" si="932"/>
        <v>0.12195833333333334</v>
      </c>
      <c r="AR158" s="14">
        <f t="shared" si="933"/>
        <v>16.44004099760847</v>
      </c>
      <c r="AS158" s="39">
        <f t="shared" si="934"/>
        <v>-100</v>
      </c>
      <c r="AT158" s="40" t="str">
        <f t="shared" si="935"/>
        <v>NO CONFORME</v>
      </c>
      <c r="AU158" s="8" t="b">
        <f t="shared" si="857"/>
        <v>1</v>
      </c>
      <c r="AV158" s="8" t="b">
        <f t="shared" si="858"/>
        <v>0</v>
      </c>
      <c r="AW158" s="8" t="b">
        <f t="shared" si="859"/>
        <v>1</v>
      </c>
      <c r="AX158" s="8" t="str">
        <f t="shared" si="860"/>
        <v>Qcorrecto</v>
      </c>
      <c r="AY158" s="22" t="str">
        <f t="shared" si="840"/>
        <v>aceptable</v>
      </c>
      <c r="AZ158" s="22" t="str">
        <f t="shared" si="841"/>
        <v>aceptable</v>
      </c>
      <c r="BA158" s="22" t="str">
        <f t="shared" si="861"/>
        <v>aceptable</v>
      </c>
      <c r="BB158" s="25" t="str">
        <f t="shared" si="862"/>
        <v>NO CONFORME</v>
      </c>
      <c r="BC158" s="5" t="str">
        <f t="shared" si="863"/>
        <v>NO CONFORME</v>
      </c>
      <c r="BD158" s="15">
        <f t="shared" si="842"/>
        <v>-1</v>
      </c>
      <c r="BE158" s="15">
        <f t="shared" si="843"/>
        <v>-1</v>
      </c>
      <c r="BF158" s="15">
        <f t="shared" si="844"/>
        <v>-1</v>
      </c>
      <c r="BG158" s="15" t="str">
        <f t="shared" si="845"/>
        <v>-1-1-1</v>
      </c>
      <c r="BH158" s="15" t="str">
        <f t="shared" si="846"/>
        <v>SD</v>
      </c>
      <c r="BI158" s="15" t="str">
        <f t="shared" si="847"/>
        <v>SI</v>
      </c>
      <c r="BJ158" s="15" t="b">
        <f t="shared" si="848"/>
        <v>1</v>
      </c>
      <c r="BK158" s="15" t="str">
        <f t="shared" si="849"/>
        <v>SIGIGUALES</v>
      </c>
      <c r="BL158" s="22" t="str">
        <f t="shared" si="850"/>
        <v>NO CONFORME</v>
      </c>
    </row>
    <row r="159" spans="1:64" ht="14.4" x14ac:dyDescent="0.3">
      <c r="A159" s="91">
        <v>151</v>
      </c>
      <c r="B159" s="28">
        <f t="shared" ref="B159:E159" si="997">B158</f>
        <v>45920</v>
      </c>
      <c r="C159" s="28">
        <f t="shared" si="997"/>
        <v>45920</v>
      </c>
      <c r="D159" s="12">
        <f t="shared" si="997"/>
        <v>3</v>
      </c>
      <c r="E159" s="10">
        <f t="shared" si="997"/>
        <v>8</v>
      </c>
      <c r="F159" s="13"/>
      <c r="G159" s="157"/>
      <c r="H159" s="70">
        <f t="shared" ref="H159:L159" si="998">H158</f>
        <v>25.6</v>
      </c>
      <c r="I159" s="36">
        <f t="shared" si="998"/>
        <v>0</v>
      </c>
      <c r="J159" s="35">
        <f t="shared" si="998"/>
        <v>20.9</v>
      </c>
      <c r="K159" s="122">
        <f t="shared" si="998"/>
        <v>8.4730000000000008</v>
      </c>
      <c r="L159" s="122">
        <f t="shared" si="998"/>
        <v>0.52100000000000002</v>
      </c>
      <c r="M159" s="41"/>
      <c r="N159" s="41"/>
      <c r="O159" s="32">
        <f t="shared" ref="O159:P159" si="999">O158</f>
        <v>100.48</v>
      </c>
      <c r="P159" s="168" t="str">
        <f t="shared" si="999"/>
        <v>2,29,610</v>
      </c>
      <c r="Q159" s="11" t="str">
        <f t="shared" si="916"/>
        <v>2</v>
      </c>
      <c r="R159" s="11" t="str">
        <f t="shared" si="917"/>
        <v>29,610</v>
      </c>
      <c r="S159" s="11">
        <f t="shared" si="918"/>
        <v>4.1558333333333336E-2</v>
      </c>
      <c r="T159" s="14">
        <f t="shared" si="919"/>
        <v>2417.8062963705634</v>
      </c>
      <c r="U159" s="37">
        <f t="shared" si="920"/>
        <v>-100</v>
      </c>
      <c r="V159" s="38">
        <f t="shared" ref="V159:W159" si="1000">V158</f>
        <v>21.3</v>
      </c>
      <c r="W159" s="124">
        <f t="shared" si="1000"/>
        <v>1.0960000000000001</v>
      </c>
      <c r="X159" s="124">
        <f t="shared" si="975"/>
        <v>1.0880000000000001</v>
      </c>
      <c r="Y159" s="41"/>
      <c r="Z159" s="41"/>
      <c r="AA159" s="90">
        <f t="shared" ref="AA159:AB159" si="1001">AA158</f>
        <v>5.01</v>
      </c>
      <c r="AB159" s="73" t="str">
        <f t="shared" si="1001"/>
        <v>11,15,880</v>
      </c>
      <c r="AC159" s="11" t="str">
        <f t="shared" si="923"/>
        <v>11</v>
      </c>
      <c r="AD159" s="11" t="str">
        <f t="shared" si="924"/>
        <v>15,880</v>
      </c>
      <c r="AE159" s="11">
        <f t="shared" si="925"/>
        <v>0.18774444444444444</v>
      </c>
      <c r="AF159" s="14">
        <f t="shared" si="926"/>
        <v>26.685210392377346</v>
      </c>
      <c r="AG159" s="39">
        <f t="shared" si="927"/>
        <v>-100</v>
      </c>
      <c r="AH159" s="38">
        <f t="shared" si="983"/>
        <v>18.399999999999999</v>
      </c>
      <c r="AI159" s="124">
        <f t="shared" si="983"/>
        <v>1.0980000000000001</v>
      </c>
      <c r="AJ159" s="124">
        <f t="shared" si="983"/>
        <v>1.087</v>
      </c>
      <c r="AK159" s="41">
        <f t="shared" si="928"/>
        <v>0</v>
      </c>
      <c r="AL159" s="41"/>
      <c r="AM159" s="34">
        <f t="shared" ref="AM159:AN159" si="1002">AM158</f>
        <v>2.0049999999999999</v>
      </c>
      <c r="AN159" s="33" t="str">
        <f t="shared" si="1002"/>
        <v>7,19,050</v>
      </c>
      <c r="AO159" s="11" t="str">
        <f t="shared" si="930"/>
        <v>7,</v>
      </c>
      <c r="AP159" s="11" t="str">
        <f t="shared" si="931"/>
        <v>19,050</v>
      </c>
      <c r="AQ159" s="11">
        <f t="shared" si="932"/>
        <v>0.12195833333333334</v>
      </c>
      <c r="AR159" s="14">
        <f t="shared" si="933"/>
        <v>16.44004099760847</v>
      </c>
      <c r="AS159" s="39">
        <f t="shared" si="934"/>
        <v>-100</v>
      </c>
      <c r="AT159" s="40" t="str">
        <f t="shared" si="935"/>
        <v>NO CONFORME</v>
      </c>
      <c r="AU159" s="8" t="b">
        <f t="shared" si="857"/>
        <v>1</v>
      </c>
      <c r="AV159" s="8" t="b">
        <f t="shared" si="858"/>
        <v>0</v>
      </c>
      <c r="AW159" s="8" t="b">
        <f t="shared" si="859"/>
        <v>1</v>
      </c>
      <c r="AX159" s="8" t="str">
        <f t="shared" si="860"/>
        <v>Qcorrecto</v>
      </c>
      <c r="AY159" s="22" t="str">
        <f t="shared" si="840"/>
        <v>aceptable</v>
      </c>
      <c r="AZ159" s="22" t="str">
        <f t="shared" si="841"/>
        <v>aceptable</v>
      </c>
      <c r="BA159" s="22" t="str">
        <f t="shared" si="861"/>
        <v>aceptable</v>
      </c>
      <c r="BB159" s="25" t="str">
        <f t="shared" si="862"/>
        <v>NO CONFORME</v>
      </c>
      <c r="BC159" s="5" t="str">
        <f t="shared" si="863"/>
        <v>NO CONFORME</v>
      </c>
      <c r="BD159" s="15">
        <f t="shared" si="842"/>
        <v>-1</v>
      </c>
      <c r="BE159" s="15">
        <f t="shared" si="843"/>
        <v>-1</v>
      </c>
      <c r="BF159" s="15">
        <f t="shared" si="844"/>
        <v>-1</v>
      </c>
      <c r="BG159" s="15" t="str">
        <f t="shared" si="845"/>
        <v>-1-1-1</v>
      </c>
      <c r="BH159" s="15" t="str">
        <f t="shared" si="846"/>
        <v>SD</v>
      </c>
      <c r="BI159" s="15" t="str">
        <f t="shared" si="847"/>
        <v>SI</v>
      </c>
      <c r="BJ159" s="15" t="b">
        <f t="shared" si="848"/>
        <v>1</v>
      </c>
      <c r="BK159" s="15" t="str">
        <f t="shared" si="849"/>
        <v>SIGIGUALES</v>
      </c>
      <c r="BL159" s="22" t="str">
        <f t="shared" si="850"/>
        <v>NO CONFORME</v>
      </c>
    </row>
    <row r="160" spans="1:64" ht="14.4" x14ac:dyDescent="0.3">
      <c r="A160" s="91">
        <v>152</v>
      </c>
      <c r="B160" s="28">
        <f t="shared" ref="B160:E160" si="1003">B159</f>
        <v>45920</v>
      </c>
      <c r="C160" s="28">
        <f t="shared" si="1003"/>
        <v>45920</v>
      </c>
      <c r="D160" s="12">
        <f t="shared" si="1003"/>
        <v>3</v>
      </c>
      <c r="E160" s="10">
        <f t="shared" si="1003"/>
        <v>8</v>
      </c>
      <c r="F160" s="13"/>
      <c r="G160" s="157"/>
      <c r="H160" s="70">
        <f t="shared" ref="H160:L160" si="1004">H159</f>
        <v>25.6</v>
      </c>
      <c r="I160" s="36">
        <f t="shared" si="1004"/>
        <v>0</v>
      </c>
      <c r="J160" s="35">
        <f t="shared" si="1004"/>
        <v>20.9</v>
      </c>
      <c r="K160" s="122">
        <f t="shared" si="1004"/>
        <v>8.4730000000000008</v>
      </c>
      <c r="L160" s="122">
        <f t="shared" si="1004"/>
        <v>0.52100000000000002</v>
      </c>
      <c r="M160" s="41"/>
      <c r="N160" s="41"/>
      <c r="O160" s="32">
        <f t="shared" ref="O160:P160" si="1005">O159</f>
        <v>100.48</v>
      </c>
      <c r="P160" s="168" t="str">
        <f t="shared" si="1005"/>
        <v>2,29,610</v>
      </c>
      <c r="Q160" s="11" t="str">
        <f t="shared" si="916"/>
        <v>2</v>
      </c>
      <c r="R160" s="11" t="str">
        <f t="shared" si="917"/>
        <v>29,610</v>
      </c>
      <c r="S160" s="11">
        <f t="shared" si="918"/>
        <v>4.1558333333333336E-2</v>
      </c>
      <c r="T160" s="14">
        <f t="shared" si="919"/>
        <v>2417.8062963705634</v>
      </c>
      <c r="U160" s="37">
        <f t="shared" si="920"/>
        <v>-100</v>
      </c>
      <c r="V160" s="38">
        <f t="shared" ref="V160:W160" si="1006">V159</f>
        <v>21.3</v>
      </c>
      <c r="W160" s="124">
        <f t="shared" si="1006"/>
        <v>1.0960000000000001</v>
      </c>
      <c r="X160" s="124">
        <f t="shared" si="975"/>
        <v>1.0880000000000001</v>
      </c>
      <c r="Y160" s="41"/>
      <c r="Z160" s="41"/>
      <c r="AA160" s="90">
        <f t="shared" ref="AA160:AB160" si="1007">AA159</f>
        <v>5.01</v>
      </c>
      <c r="AB160" s="73" t="str">
        <f t="shared" si="1007"/>
        <v>11,15,880</v>
      </c>
      <c r="AC160" s="11" t="str">
        <f t="shared" si="923"/>
        <v>11</v>
      </c>
      <c r="AD160" s="11" t="str">
        <f t="shared" si="924"/>
        <v>15,880</v>
      </c>
      <c r="AE160" s="11">
        <f t="shared" si="925"/>
        <v>0.18774444444444444</v>
      </c>
      <c r="AF160" s="14">
        <f t="shared" si="926"/>
        <v>26.685210392377346</v>
      </c>
      <c r="AG160" s="39">
        <f t="shared" si="927"/>
        <v>-100</v>
      </c>
      <c r="AH160" s="38">
        <f t="shared" si="983"/>
        <v>18.399999999999999</v>
      </c>
      <c r="AI160" s="124">
        <f t="shared" si="983"/>
        <v>1.0980000000000001</v>
      </c>
      <c r="AJ160" s="124">
        <f t="shared" si="983"/>
        <v>1.087</v>
      </c>
      <c r="AK160" s="41">
        <f t="shared" si="928"/>
        <v>0</v>
      </c>
      <c r="AL160" s="41"/>
      <c r="AM160" s="34">
        <f t="shared" ref="AM160:AN160" si="1008">AM159</f>
        <v>2.0049999999999999</v>
      </c>
      <c r="AN160" s="33" t="str">
        <f t="shared" si="1008"/>
        <v>7,19,050</v>
      </c>
      <c r="AO160" s="11" t="str">
        <f t="shared" si="930"/>
        <v>7,</v>
      </c>
      <c r="AP160" s="11" t="str">
        <f t="shared" si="931"/>
        <v>19,050</v>
      </c>
      <c r="AQ160" s="11">
        <f t="shared" si="932"/>
        <v>0.12195833333333334</v>
      </c>
      <c r="AR160" s="14">
        <f t="shared" si="933"/>
        <v>16.44004099760847</v>
      </c>
      <c r="AS160" s="39">
        <f t="shared" si="934"/>
        <v>-100</v>
      </c>
      <c r="AT160" s="40" t="str">
        <f t="shared" si="935"/>
        <v>NO CONFORME</v>
      </c>
      <c r="AU160" s="8" t="b">
        <f t="shared" si="857"/>
        <v>1</v>
      </c>
      <c r="AV160" s="8" t="b">
        <f t="shared" si="858"/>
        <v>0</v>
      </c>
      <c r="AW160" s="8" t="b">
        <f t="shared" si="859"/>
        <v>1</v>
      </c>
      <c r="AX160" s="8" t="str">
        <f t="shared" si="860"/>
        <v>Qcorrecto</v>
      </c>
      <c r="AY160" s="22" t="str">
        <f t="shared" si="840"/>
        <v>aceptable</v>
      </c>
      <c r="AZ160" s="22" t="str">
        <f t="shared" si="841"/>
        <v>aceptable</v>
      </c>
      <c r="BA160" s="22" t="str">
        <f t="shared" si="861"/>
        <v>aceptable</v>
      </c>
      <c r="BB160" s="25" t="str">
        <f t="shared" si="862"/>
        <v>NO CONFORME</v>
      </c>
      <c r="BC160" s="5" t="str">
        <f t="shared" si="863"/>
        <v>NO CONFORME</v>
      </c>
      <c r="BD160" s="15">
        <f t="shared" si="842"/>
        <v>-1</v>
      </c>
      <c r="BE160" s="15">
        <f t="shared" si="843"/>
        <v>-1</v>
      </c>
      <c r="BF160" s="15">
        <f t="shared" si="844"/>
        <v>-1</v>
      </c>
      <c r="BG160" s="15" t="str">
        <f t="shared" si="845"/>
        <v>-1-1-1</v>
      </c>
      <c r="BH160" s="15" t="str">
        <f t="shared" si="846"/>
        <v>SD</v>
      </c>
      <c r="BI160" s="15" t="str">
        <f t="shared" si="847"/>
        <v>SI</v>
      </c>
      <c r="BJ160" s="15" t="b">
        <f t="shared" si="848"/>
        <v>1</v>
      </c>
      <c r="BK160" s="15" t="str">
        <f t="shared" si="849"/>
        <v>SIGIGUALES</v>
      </c>
      <c r="BL160" s="22" t="str">
        <f t="shared" si="850"/>
        <v>NO CONFORME</v>
      </c>
    </row>
    <row r="161" spans="1:64" ht="14.4" x14ac:dyDescent="0.3">
      <c r="A161" s="91">
        <v>153</v>
      </c>
      <c r="B161" s="28">
        <f t="shared" ref="B161:E161" si="1009">B160</f>
        <v>45920</v>
      </c>
      <c r="C161" s="28">
        <f t="shared" si="1009"/>
        <v>45920</v>
      </c>
      <c r="D161" s="12">
        <f t="shared" si="1009"/>
        <v>3</v>
      </c>
      <c r="E161" s="10">
        <f t="shared" si="1009"/>
        <v>8</v>
      </c>
      <c r="F161" s="13"/>
      <c r="G161" s="157"/>
      <c r="H161" s="70">
        <f t="shared" ref="H161:L161" si="1010">H160</f>
        <v>25.6</v>
      </c>
      <c r="I161" s="36">
        <f t="shared" si="1010"/>
        <v>0</v>
      </c>
      <c r="J161" s="35">
        <f t="shared" si="1010"/>
        <v>20.9</v>
      </c>
      <c r="K161" s="122">
        <f t="shared" si="1010"/>
        <v>8.4730000000000008</v>
      </c>
      <c r="L161" s="122">
        <f t="shared" si="1010"/>
        <v>0.52100000000000002</v>
      </c>
      <c r="M161" s="41"/>
      <c r="N161" s="41"/>
      <c r="O161" s="32">
        <f t="shared" ref="O161:P161" si="1011">O160</f>
        <v>100.48</v>
      </c>
      <c r="P161" s="168" t="str">
        <f t="shared" si="1011"/>
        <v>2,29,610</v>
      </c>
      <c r="Q161" s="11" t="str">
        <f t="shared" si="916"/>
        <v>2</v>
      </c>
      <c r="R161" s="11" t="str">
        <f t="shared" si="917"/>
        <v>29,610</v>
      </c>
      <c r="S161" s="11">
        <f t="shared" si="918"/>
        <v>4.1558333333333336E-2</v>
      </c>
      <c r="T161" s="14">
        <f t="shared" si="919"/>
        <v>2417.8062963705634</v>
      </c>
      <c r="U161" s="37">
        <f t="shared" si="920"/>
        <v>-100</v>
      </c>
      <c r="V161" s="38">
        <f t="shared" ref="V161:W161" si="1012">V160</f>
        <v>21.3</v>
      </c>
      <c r="W161" s="124">
        <f t="shared" si="1012"/>
        <v>1.0960000000000001</v>
      </c>
      <c r="X161" s="124">
        <f t="shared" si="975"/>
        <v>1.0880000000000001</v>
      </c>
      <c r="Y161" s="41"/>
      <c r="Z161" s="41"/>
      <c r="AA161" s="90">
        <f t="shared" ref="AA161:AB161" si="1013">AA160</f>
        <v>5.01</v>
      </c>
      <c r="AB161" s="73" t="str">
        <f t="shared" si="1013"/>
        <v>11,15,880</v>
      </c>
      <c r="AC161" s="11" t="str">
        <f t="shared" si="923"/>
        <v>11</v>
      </c>
      <c r="AD161" s="11" t="str">
        <f t="shared" si="924"/>
        <v>15,880</v>
      </c>
      <c r="AE161" s="11">
        <f t="shared" si="925"/>
        <v>0.18774444444444444</v>
      </c>
      <c r="AF161" s="14">
        <f t="shared" si="926"/>
        <v>26.685210392377346</v>
      </c>
      <c r="AG161" s="39">
        <f t="shared" si="927"/>
        <v>-100</v>
      </c>
      <c r="AH161" s="38">
        <f t="shared" si="983"/>
        <v>18.399999999999999</v>
      </c>
      <c r="AI161" s="124">
        <f t="shared" si="983"/>
        <v>1.0980000000000001</v>
      </c>
      <c r="AJ161" s="124">
        <f t="shared" si="983"/>
        <v>1.087</v>
      </c>
      <c r="AK161" s="41">
        <f t="shared" si="928"/>
        <v>0</v>
      </c>
      <c r="AL161" s="41"/>
      <c r="AM161" s="34">
        <f t="shared" ref="AM161:AN161" si="1014">AM160</f>
        <v>2.0049999999999999</v>
      </c>
      <c r="AN161" s="33" t="str">
        <f t="shared" si="1014"/>
        <v>7,19,050</v>
      </c>
      <c r="AO161" s="11" t="str">
        <f t="shared" si="930"/>
        <v>7,</v>
      </c>
      <c r="AP161" s="11" t="str">
        <f t="shared" si="931"/>
        <v>19,050</v>
      </c>
      <c r="AQ161" s="11">
        <f t="shared" si="932"/>
        <v>0.12195833333333334</v>
      </c>
      <c r="AR161" s="14">
        <f t="shared" si="933"/>
        <v>16.44004099760847</v>
      </c>
      <c r="AS161" s="39">
        <f t="shared" si="934"/>
        <v>-100</v>
      </c>
      <c r="AT161" s="40" t="str">
        <f t="shared" si="935"/>
        <v>NO CONFORME</v>
      </c>
      <c r="AU161" s="8" t="b">
        <f t="shared" si="857"/>
        <v>1</v>
      </c>
      <c r="AV161" s="8" t="b">
        <f t="shared" si="858"/>
        <v>0</v>
      </c>
      <c r="AW161" s="8" t="b">
        <f t="shared" si="859"/>
        <v>1</v>
      </c>
      <c r="AX161" s="8" t="str">
        <f t="shared" si="860"/>
        <v>Qcorrecto</v>
      </c>
      <c r="AY161" s="22" t="str">
        <f t="shared" si="840"/>
        <v>aceptable</v>
      </c>
      <c r="AZ161" s="22" t="str">
        <f t="shared" si="841"/>
        <v>aceptable</v>
      </c>
      <c r="BA161" s="22" t="str">
        <f t="shared" si="861"/>
        <v>aceptable</v>
      </c>
      <c r="BB161" s="25" t="str">
        <f t="shared" si="862"/>
        <v>NO CONFORME</v>
      </c>
      <c r="BC161" s="5" t="str">
        <f t="shared" si="863"/>
        <v>NO CONFORME</v>
      </c>
      <c r="BD161" s="15">
        <f t="shared" si="842"/>
        <v>-1</v>
      </c>
      <c r="BE161" s="15">
        <f t="shared" si="843"/>
        <v>-1</v>
      </c>
      <c r="BF161" s="15">
        <f t="shared" si="844"/>
        <v>-1</v>
      </c>
      <c r="BG161" s="15" t="str">
        <f t="shared" si="845"/>
        <v>-1-1-1</v>
      </c>
      <c r="BH161" s="15" t="str">
        <f t="shared" si="846"/>
        <v>SD</v>
      </c>
      <c r="BI161" s="15" t="str">
        <f t="shared" si="847"/>
        <v>SI</v>
      </c>
      <c r="BJ161" s="15" t="b">
        <f t="shared" si="848"/>
        <v>1</v>
      </c>
      <c r="BK161" s="15" t="str">
        <f t="shared" si="849"/>
        <v>SIGIGUALES</v>
      </c>
      <c r="BL161" s="22" t="str">
        <f t="shared" si="850"/>
        <v>NO CONFORME</v>
      </c>
    </row>
    <row r="162" spans="1:64" ht="14.4" x14ac:dyDescent="0.3">
      <c r="A162" s="91">
        <v>154</v>
      </c>
      <c r="B162" s="28">
        <f t="shared" ref="B162:E162" si="1015">B161</f>
        <v>45920</v>
      </c>
      <c r="C162" s="28">
        <f t="shared" si="1015"/>
        <v>45920</v>
      </c>
      <c r="D162" s="12">
        <f t="shared" si="1015"/>
        <v>3</v>
      </c>
      <c r="E162" s="10">
        <f t="shared" si="1015"/>
        <v>8</v>
      </c>
      <c r="F162" s="13"/>
      <c r="G162" s="157"/>
      <c r="H162" s="70">
        <f t="shared" ref="H162:L162" si="1016">H161</f>
        <v>25.6</v>
      </c>
      <c r="I162" s="36">
        <f t="shared" si="1016"/>
        <v>0</v>
      </c>
      <c r="J162" s="35">
        <f t="shared" si="1016"/>
        <v>20.9</v>
      </c>
      <c r="K162" s="122">
        <f t="shared" si="1016"/>
        <v>8.4730000000000008</v>
      </c>
      <c r="L162" s="122">
        <f t="shared" si="1016"/>
        <v>0.52100000000000002</v>
      </c>
      <c r="M162" s="41"/>
      <c r="N162" s="41"/>
      <c r="O162" s="32">
        <f t="shared" ref="O162:P162" si="1017">O161</f>
        <v>100.48</v>
      </c>
      <c r="P162" s="168" t="str">
        <f t="shared" si="1017"/>
        <v>2,29,610</v>
      </c>
      <c r="Q162" s="11" t="str">
        <f t="shared" si="916"/>
        <v>2</v>
      </c>
      <c r="R162" s="11" t="str">
        <f t="shared" si="917"/>
        <v>29,610</v>
      </c>
      <c r="S162" s="11">
        <f t="shared" si="918"/>
        <v>4.1558333333333336E-2</v>
      </c>
      <c r="T162" s="14">
        <f t="shared" si="919"/>
        <v>2417.8062963705634</v>
      </c>
      <c r="U162" s="37">
        <f t="shared" si="920"/>
        <v>-100</v>
      </c>
      <c r="V162" s="38">
        <f t="shared" ref="V162:W162" si="1018">V161</f>
        <v>21.3</v>
      </c>
      <c r="W162" s="124">
        <f t="shared" si="1018"/>
        <v>1.0960000000000001</v>
      </c>
      <c r="X162" s="124">
        <f t="shared" si="975"/>
        <v>1.0880000000000001</v>
      </c>
      <c r="Y162" s="41"/>
      <c r="Z162" s="41"/>
      <c r="AA162" s="90">
        <f t="shared" ref="AA162:AB162" si="1019">AA161</f>
        <v>5.01</v>
      </c>
      <c r="AB162" s="73" t="str">
        <f t="shared" si="1019"/>
        <v>11,15,880</v>
      </c>
      <c r="AC162" s="11" t="str">
        <f t="shared" si="923"/>
        <v>11</v>
      </c>
      <c r="AD162" s="11" t="str">
        <f t="shared" si="924"/>
        <v>15,880</v>
      </c>
      <c r="AE162" s="11">
        <f t="shared" si="925"/>
        <v>0.18774444444444444</v>
      </c>
      <c r="AF162" s="14">
        <f t="shared" si="926"/>
        <v>26.685210392377346</v>
      </c>
      <c r="AG162" s="39">
        <f t="shared" si="927"/>
        <v>-100</v>
      </c>
      <c r="AH162" s="38">
        <f t="shared" si="983"/>
        <v>18.399999999999999</v>
      </c>
      <c r="AI162" s="124">
        <f t="shared" si="983"/>
        <v>1.0980000000000001</v>
      </c>
      <c r="AJ162" s="124">
        <f t="shared" si="983"/>
        <v>1.087</v>
      </c>
      <c r="AK162" s="41">
        <f t="shared" si="928"/>
        <v>0</v>
      </c>
      <c r="AL162" s="41"/>
      <c r="AM162" s="34">
        <f t="shared" ref="AM162:AN162" si="1020">AM161</f>
        <v>2.0049999999999999</v>
      </c>
      <c r="AN162" s="33" t="str">
        <f t="shared" si="1020"/>
        <v>7,19,050</v>
      </c>
      <c r="AO162" s="11" t="str">
        <f t="shared" si="930"/>
        <v>7,</v>
      </c>
      <c r="AP162" s="11" t="str">
        <f t="shared" si="931"/>
        <v>19,050</v>
      </c>
      <c r="AQ162" s="11">
        <f t="shared" si="932"/>
        <v>0.12195833333333334</v>
      </c>
      <c r="AR162" s="14">
        <f t="shared" si="933"/>
        <v>16.44004099760847</v>
      </c>
      <c r="AS162" s="39">
        <f t="shared" si="934"/>
        <v>-100</v>
      </c>
      <c r="AT162" s="40" t="str">
        <f t="shared" si="935"/>
        <v>NO CONFORME</v>
      </c>
      <c r="AU162" s="8" t="b">
        <f t="shared" si="857"/>
        <v>1</v>
      </c>
      <c r="AV162" s="8" t="b">
        <f t="shared" si="858"/>
        <v>0</v>
      </c>
      <c r="AW162" s="8" t="b">
        <f t="shared" si="859"/>
        <v>1</v>
      </c>
      <c r="AX162" s="8" t="str">
        <f t="shared" si="860"/>
        <v>Qcorrecto</v>
      </c>
      <c r="AY162" s="22" t="str">
        <f t="shared" si="840"/>
        <v>aceptable</v>
      </c>
      <c r="AZ162" s="22" t="str">
        <f t="shared" si="841"/>
        <v>aceptable</v>
      </c>
      <c r="BA162" s="22" t="str">
        <f t="shared" si="861"/>
        <v>aceptable</v>
      </c>
      <c r="BB162" s="25" t="str">
        <f t="shared" si="862"/>
        <v>NO CONFORME</v>
      </c>
      <c r="BC162" s="5" t="str">
        <f t="shared" si="863"/>
        <v>NO CONFORME</v>
      </c>
      <c r="BD162" s="15">
        <f t="shared" si="842"/>
        <v>-1</v>
      </c>
      <c r="BE162" s="15">
        <f t="shared" si="843"/>
        <v>-1</v>
      </c>
      <c r="BF162" s="15">
        <f t="shared" si="844"/>
        <v>-1</v>
      </c>
      <c r="BG162" s="15" t="str">
        <f t="shared" si="845"/>
        <v>-1-1-1</v>
      </c>
      <c r="BH162" s="15" t="str">
        <f t="shared" si="846"/>
        <v>SD</v>
      </c>
      <c r="BI162" s="15" t="str">
        <f t="shared" si="847"/>
        <v>SI</v>
      </c>
      <c r="BJ162" s="15" t="b">
        <f t="shared" si="848"/>
        <v>1</v>
      </c>
      <c r="BK162" s="15" t="str">
        <f t="shared" si="849"/>
        <v>SIGIGUALES</v>
      </c>
      <c r="BL162" s="22" t="str">
        <f t="shared" si="850"/>
        <v>NO CONFORME</v>
      </c>
    </row>
    <row r="163" spans="1:64" ht="14.4" x14ac:dyDescent="0.3">
      <c r="A163" s="91">
        <v>155</v>
      </c>
      <c r="B163" s="28">
        <f t="shared" ref="B163:E163" si="1021">B162</f>
        <v>45920</v>
      </c>
      <c r="C163" s="28">
        <f t="shared" si="1021"/>
        <v>45920</v>
      </c>
      <c r="D163" s="12">
        <f t="shared" si="1021"/>
        <v>3</v>
      </c>
      <c r="E163" s="10">
        <f t="shared" si="1021"/>
        <v>8</v>
      </c>
      <c r="F163" s="13"/>
      <c r="G163" s="157"/>
      <c r="H163" s="70">
        <f t="shared" ref="H163:L163" si="1022">H162</f>
        <v>25.6</v>
      </c>
      <c r="I163" s="36">
        <f t="shared" si="1022"/>
        <v>0</v>
      </c>
      <c r="J163" s="35">
        <f t="shared" si="1022"/>
        <v>20.9</v>
      </c>
      <c r="K163" s="122">
        <f t="shared" si="1022"/>
        <v>8.4730000000000008</v>
      </c>
      <c r="L163" s="122">
        <f t="shared" si="1022"/>
        <v>0.52100000000000002</v>
      </c>
      <c r="M163" s="41"/>
      <c r="N163" s="41"/>
      <c r="O163" s="32">
        <f t="shared" ref="O163:P163" si="1023">O162</f>
        <v>100.48</v>
      </c>
      <c r="P163" s="168" t="str">
        <f t="shared" si="1023"/>
        <v>2,29,610</v>
      </c>
      <c r="Q163" s="11" t="str">
        <f t="shared" si="916"/>
        <v>2</v>
      </c>
      <c r="R163" s="11" t="str">
        <f t="shared" si="917"/>
        <v>29,610</v>
      </c>
      <c r="S163" s="11">
        <f t="shared" si="918"/>
        <v>4.1558333333333336E-2</v>
      </c>
      <c r="T163" s="14">
        <f t="shared" si="919"/>
        <v>2417.8062963705634</v>
      </c>
      <c r="U163" s="37">
        <f t="shared" si="920"/>
        <v>-100</v>
      </c>
      <c r="V163" s="38">
        <f t="shared" ref="V163:W163" si="1024">V162</f>
        <v>21.3</v>
      </c>
      <c r="W163" s="124">
        <f t="shared" si="1024"/>
        <v>1.0960000000000001</v>
      </c>
      <c r="X163" s="124">
        <f t="shared" si="975"/>
        <v>1.0880000000000001</v>
      </c>
      <c r="Y163" s="41"/>
      <c r="Z163" s="41"/>
      <c r="AA163" s="90">
        <f t="shared" ref="AA163:AB163" si="1025">AA162</f>
        <v>5.01</v>
      </c>
      <c r="AB163" s="73" t="str">
        <f t="shared" si="1025"/>
        <v>11,15,880</v>
      </c>
      <c r="AC163" s="11" t="str">
        <f t="shared" si="923"/>
        <v>11</v>
      </c>
      <c r="AD163" s="11" t="str">
        <f t="shared" si="924"/>
        <v>15,880</v>
      </c>
      <c r="AE163" s="11">
        <f t="shared" si="925"/>
        <v>0.18774444444444444</v>
      </c>
      <c r="AF163" s="14">
        <f t="shared" si="926"/>
        <v>26.685210392377346</v>
      </c>
      <c r="AG163" s="39">
        <f t="shared" si="927"/>
        <v>-100</v>
      </c>
      <c r="AH163" s="38">
        <f t="shared" si="983"/>
        <v>18.399999999999999</v>
      </c>
      <c r="AI163" s="124">
        <f t="shared" si="983"/>
        <v>1.0980000000000001</v>
      </c>
      <c r="AJ163" s="124">
        <f t="shared" si="983"/>
        <v>1.087</v>
      </c>
      <c r="AK163" s="41">
        <f t="shared" si="928"/>
        <v>0</v>
      </c>
      <c r="AL163" s="41"/>
      <c r="AM163" s="34">
        <f t="shared" ref="AM163:AN163" si="1026">AM162</f>
        <v>2.0049999999999999</v>
      </c>
      <c r="AN163" s="33" t="str">
        <f t="shared" si="1026"/>
        <v>7,19,050</v>
      </c>
      <c r="AO163" s="11" t="str">
        <f t="shared" si="930"/>
        <v>7,</v>
      </c>
      <c r="AP163" s="11" t="str">
        <f t="shared" si="931"/>
        <v>19,050</v>
      </c>
      <c r="AQ163" s="11">
        <f t="shared" si="932"/>
        <v>0.12195833333333334</v>
      </c>
      <c r="AR163" s="14">
        <f t="shared" si="933"/>
        <v>16.44004099760847</v>
      </c>
      <c r="AS163" s="39">
        <f t="shared" si="934"/>
        <v>-100</v>
      </c>
      <c r="AT163" s="40" t="str">
        <f t="shared" si="935"/>
        <v>NO CONFORME</v>
      </c>
      <c r="AU163" s="8" t="b">
        <f t="shared" si="857"/>
        <v>1</v>
      </c>
      <c r="AV163" s="8" t="b">
        <f t="shared" si="858"/>
        <v>0</v>
      </c>
      <c r="AW163" s="8" t="b">
        <f t="shared" si="859"/>
        <v>1</v>
      </c>
      <c r="AX163" s="8" t="str">
        <f t="shared" si="860"/>
        <v>Qcorrecto</v>
      </c>
      <c r="AY163" s="22" t="str">
        <f t="shared" si="840"/>
        <v>aceptable</v>
      </c>
      <c r="AZ163" s="22" t="str">
        <f t="shared" si="841"/>
        <v>aceptable</v>
      </c>
      <c r="BA163" s="22" t="str">
        <f t="shared" si="861"/>
        <v>aceptable</v>
      </c>
      <c r="BB163" s="25" t="str">
        <f t="shared" si="862"/>
        <v>NO CONFORME</v>
      </c>
      <c r="BC163" s="5" t="str">
        <f t="shared" si="863"/>
        <v>NO CONFORME</v>
      </c>
      <c r="BD163" s="15">
        <f t="shared" si="842"/>
        <v>-1</v>
      </c>
      <c r="BE163" s="15">
        <f t="shared" si="843"/>
        <v>-1</v>
      </c>
      <c r="BF163" s="15">
        <f t="shared" si="844"/>
        <v>-1</v>
      </c>
      <c r="BG163" s="15" t="str">
        <f t="shared" si="845"/>
        <v>-1-1-1</v>
      </c>
      <c r="BH163" s="15" t="str">
        <f t="shared" si="846"/>
        <v>SD</v>
      </c>
      <c r="BI163" s="15" t="str">
        <f t="shared" si="847"/>
        <v>SI</v>
      </c>
      <c r="BJ163" s="15" t="b">
        <f t="shared" si="848"/>
        <v>1</v>
      </c>
      <c r="BK163" s="15" t="str">
        <f t="shared" si="849"/>
        <v>SIGIGUALES</v>
      </c>
      <c r="BL163" s="22" t="str">
        <f t="shared" si="850"/>
        <v>NO CONFORME</v>
      </c>
    </row>
    <row r="164" spans="1:64" ht="14.4" x14ac:dyDescent="0.3">
      <c r="A164" s="91">
        <v>156</v>
      </c>
      <c r="B164" s="28">
        <f t="shared" ref="B164:E164" si="1027">B163</f>
        <v>45920</v>
      </c>
      <c r="C164" s="28">
        <f t="shared" si="1027"/>
        <v>45920</v>
      </c>
      <c r="D164" s="12">
        <f t="shared" si="1027"/>
        <v>3</v>
      </c>
      <c r="E164" s="10">
        <f t="shared" si="1027"/>
        <v>8</v>
      </c>
      <c r="F164" s="13"/>
      <c r="G164" s="157"/>
      <c r="H164" s="70">
        <f t="shared" ref="H164:L164" si="1028">H163</f>
        <v>25.6</v>
      </c>
      <c r="I164" s="36">
        <f t="shared" si="1028"/>
        <v>0</v>
      </c>
      <c r="J164" s="35">
        <f t="shared" si="1028"/>
        <v>20.9</v>
      </c>
      <c r="K164" s="122">
        <f t="shared" si="1028"/>
        <v>8.4730000000000008</v>
      </c>
      <c r="L164" s="122">
        <f t="shared" si="1028"/>
        <v>0.52100000000000002</v>
      </c>
      <c r="M164" s="41"/>
      <c r="N164" s="41"/>
      <c r="O164" s="32">
        <f t="shared" ref="O164:P164" si="1029">O163</f>
        <v>100.48</v>
      </c>
      <c r="P164" s="168" t="str">
        <f t="shared" si="1029"/>
        <v>2,29,610</v>
      </c>
      <c r="Q164" s="11" t="str">
        <f t="shared" si="916"/>
        <v>2</v>
      </c>
      <c r="R164" s="11" t="str">
        <f t="shared" si="917"/>
        <v>29,610</v>
      </c>
      <c r="S164" s="11">
        <f t="shared" si="918"/>
        <v>4.1558333333333336E-2</v>
      </c>
      <c r="T164" s="14">
        <f t="shared" si="919"/>
        <v>2417.8062963705634</v>
      </c>
      <c r="U164" s="37">
        <f t="shared" si="920"/>
        <v>-100</v>
      </c>
      <c r="V164" s="38">
        <f t="shared" ref="V164:W164" si="1030">V163</f>
        <v>21.3</v>
      </c>
      <c r="W164" s="124">
        <f t="shared" si="1030"/>
        <v>1.0960000000000001</v>
      </c>
      <c r="X164" s="124">
        <f t="shared" si="975"/>
        <v>1.0880000000000001</v>
      </c>
      <c r="Y164" s="41"/>
      <c r="Z164" s="41"/>
      <c r="AA164" s="90">
        <f t="shared" ref="AA164:AB164" si="1031">AA163</f>
        <v>5.01</v>
      </c>
      <c r="AB164" s="73" t="str">
        <f t="shared" si="1031"/>
        <v>11,15,880</v>
      </c>
      <c r="AC164" s="11" t="str">
        <f t="shared" si="923"/>
        <v>11</v>
      </c>
      <c r="AD164" s="11" t="str">
        <f t="shared" si="924"/>
        <v>15,880</v>
      </c>
      <c r="AE164" s="11">
        <f t="shared" si="925"/>
        <v>0.18774444444444444</v>
      </c>
      <c r="AF164" s="14">
        <f t="shared" si="926"/>
        <v>26.685210392377346</v>
      </c>
      <c r="AG164" s="39">
        <f t="shared" si="927"/>
        <v>-100</v>
      </c>
      <c r="AH164" s="38">
        <f t="shared" si="983"/>
        <v>18.399999999999999</v>
      </c>
      <c r="AI164" s="124">
        <f t="shared" si="983"/>
        <v>1.0980000000000001</v>
      </c>
      <c r="AJ164" s="124">
        <f t="shared" si="983"/>
        <v>1.087</v>
      </c>
      <c r="AK164" s="41">
        <f t="shared" si="928"/>
        <v>0</v>
      </c>
      <c r="AL164" s="41"/>
      <c r="AM164" s="34">
        <f t="shared" ref="AM164:AN164" si="1032">AM163</f>
        <v>2.0049999999999999</v>
      </c>
      <c r="AN164" s="33" t="str">
        <f t="shared" si="1032"/>
        <v>7,19,050</v>
      </c>
      <c r="AO164" s="11" t="str">
        <f t="shared" si="930"/>
        <v>7,</v>
      </c>
      <c r="AP164" s="11" t="str">
        <f t="shared" si="931"/>
        <v>19,050</v>
      </c>
      <c r="AQ164" s="11">
        <f t="shared" si="932"/>
        <v>0.12195833333333334</v>
      </c>
      <c r="AR164" s="14">
        <f t="shared" si="933"/>
        <v>16.44004099760847</v>
      </c>
      <c r="AS164" s="39">
        <f t="shared" si="934"/>
        <v>-100</v>
      </c>
      <c r="AT164" s="40" t="str">
        <f t="shared" si="935"/>
        <v>NO CONFORME</v>
      </c>
      <c r="AU164" s="8" t="b">
        <f t="shared" si="857"/>
        <v>1</v>
      </c>
      <c r="AV164" s="8" t="b">
        <f t="shared" si="858"/>
        <v>0</v>
      </c>
      <c r="AW164" s="8" t="b">
        <f t="shared" si="859"/>
        <v>1</v>
      </c>
      <c r="AX164" s="8" t="str">
        <f t="shared" si="860"/>
        <v>Qcorrecto</v>
      </c>
      <c r="AY164" s="22" t="str">
        <f t="shared" si="840"/>
        <v>aceptable</v>
      </c>
      <c r="AZ164" s="22" t="str">
        <f t="shared" si="841"/>
        <v>aceptable</v>
      </c>
      <c r="BA164" s="22" t="str">
        <f t="shared" si="861"/>
        <v>aceptable</v>
      </c>
      <c r="BB164" s="25" t="str">
        <f t="shared" si="862"/>
        <v>NO CONFORME</v>
      </c>
      <c r="BC164" s="5" t="str">
        <f t="shared" si="863"/>
        <v>NO CONFORME</v>
      </c>
      <c r="BD164" s="15">
        <f t="shared" si="842"/>
        <v>-1</v>
      </c>
      <c r="BE164" s="15">
        <f t="shared" si="843"/>
        <v>-1</v>
      </c>
      <c r="BF164" s="15">
        <f t="shared" si="844"/>
        <v>-1</v>
      </c>
      <c r="BG164" s="15" t="str">
        <f t="shared" si="845"/>
        <v>-1-1-1</v>
      </c>
      <c r="BH164" s="15" t="str">
        <f t="shared" si="846"/>
        <v>SD</v>
      </c>
      <c r="BI164" s="15" t="str">
        <f t="shared" si="847"/>
        <v>SI</v>
      </c>
      <c r="BJ164" s="15" t="b">
        <f t="shared" si="848"/>
        <v>1</v>
      </c>
      <c r="BK164" s="15" t="str">
        <f t="shared" si="849"/>
        <v>SIGIGUALES</v>
      </c>
      <c r="BL164" s="22" t="str">
        <f t="shared" si="850"/>
        <v>NO CONFORME</v>
      </c>
    </row>
    <row r="165" spans="1:64" ht="14.4" x14ac:dyDescent="0.3">
      <c r="A165" s="91">
        <v>157</v>
      </c>
      <c r="B165" s="28">
        <f t="shared" ref="B165:E165" si="1033">B164</f>
        <v>45920</v>
      </c>
      <c r="C165" s="28">
        <f t="shared" si="1033"/>
        <v>45920</v>
      </c>
      <c r="D165" s="12">
        <f t="shared" si="1033"/>
        <v>3</v>
      </c>
      <c r="E165" s="10">
        <f t="shared" si="1033"/>
        <v>8</v>
      </c>
      <c r="F165" s="13"/>
      <c r="G165" s="157"/>
      <c r="H165" s="70">
        <f t="shared" ref="H165:L165" si="1034">H164</f>
        <v>25.6</v>
      </c>
      <c r="I165" s="36">
        <f t="shared" si="1034"/>
        <v>0</v>
      </c>
      <c r="J165" s="35">
        <f t="shared" si="1034"/>
        <v>20.9</v>
      </c>
      <c r="K165" s="122">
        <f t="shared" si="1034"/>
        <v>8.4730000000000008</v>
      </c>
      <c r="L165" s="122">
        <f t="shared" si="1034"/>
        <v>0.52100000000000002</v>
      </c>
      <c r="M165" s="41"/>
      <c r="N165" s="41"/>
      <c r="O165" s="32">
        <f t="shared" ref="O165:P165" si="1035">O164</f>
        <v>100.48</v>
      </c>
      <c r="P165" s="168" t="str">
        <f t="shared" si="1035"/>
        <v>2,29,610</v>
      </c>
      <c r="Q165" s="11" t="str">
        <f t="shared" si="916"/>
        <v>2</v>
      </c>
      <c r="R165" s="11" t="str">
        <f t="shared" si="917"/>
        <v>29,610</v>
      </c>
      <c r="S165" s="11">
        <f t="shared" si="918"/>
        <v>4.1558333333333336E-2</v>
      </c>
      <c r="T165" s="14">
        <f t="shared" si="919"/>
        <v>2417.8062963705634</v>
      </c>
      <c r="U165" s="37">
        <f t="shared" si="920"/>
        <v>-100</v>
      </c>
      <c r="V165" s="38">
        <f t="shared" ref="V165:W165" si="1036">V164</f>
        <v>21.3</v>
      </c>
      <c r="W165" s="124">
        <f t="shared" si="1036"/>
        <v>1.0960000000000001</v>
      </c>
      <c r="X165" s="124">
        <f t="shared" si="975"/>
        <v>1.0880000000000001</v>
      </c>
      <c r="Y165" s="41"/>
      <c r="Z165" s="41"/>
      <c r="AA165" s="90">
        <f t="shared" ref="AA165:AB165" si="1037">AA164</f>
        <v>5.01</v>
      </c>
      <c r="AB165" s="73" t="str">
        <f t="shared" si="1037"/>
        <v>11,15,880</v>
      </c>
      <c r="AC165" s="11" t="str">
        <f t="shared" si="923"/>
        <v>11</v>
      </c>
      <c r="AD165" s="11" t="str">
        <f t="shared" si="924"/>
        <v>15,880</v>
      </c>
      <c r="AE165" s="11">
        <f t="shared" si="925"/>
        <v>0.18774444444444444</v>
      </c>
      <c r="AF165" s="14">
        <f t="shared" si="926"/>
        <v>26.685210392377346</v>
      </c>
      <c r="AG165" s="39">
        <f t="shared" si="927"/>
        <v>-100</v>
      </c>
      <c r="AH165" s="38">
        <f t="shared" si="983"/>
        <v>18.399999999999999</v>
      </c>
      <c r="AI165" s="124">
        <f t="shared" si="983"/>
        <v>1.0980000000000001</v>
      </c>
      <c r="AJ165" s="124">
        <f t="shared" si="983"/>
        <v>1.087</v>
      </c>
      <c r="AK165" s="41">
        <f t="shared" si="928"/>
        <v>0</v>
      </c>
      <c r="AL165" s="41"/>
      <c r="AM165" s="34">
        <f t="shared" ref="AM165:AN165" si="1038">AM164</f>
        <v>2.0049999999999999</v>
      </c>
      <c r="AN165" s="33" t="str">
        <f t="shared" si="1038"/>
        <v>7,19,050</v>
      </c>
      <c r="AO165" s="11" t="str">
        <f t="shared" si="930"/>
        <v>7,</v>
      </c>
      <c r="AP165" s="11" t="str">
        <f t="shared" si="931"/>
        <v>19,050</v>
      </c>
      <c r="AQ165" s="11">
        <f t="shared" si="932"/>
        <v>0.12195833333333334</v>
      </c>
      <c r="AR165" s="14">
        <f t="shared" si="933"/>
        <v>16.44004099760847</v>
      </c>
      <c r="AS165" s="39">
        <f t="shared" si="934"/>
        <v>-100</v>
      </c>
      <c r="AT165" s="40" t="str">
        <f t="shared" si="935"/>
        <v>NO CONFORME</v>
      </c>
      <c r="AU165" s="8" t="b">
        <f t="shared" si="857"/>
        <v>1</v>
      </c>
      <c r="AV165" s="8" t="b">
        <f t="shared" si="858"/>
        <v>0</v>
      </c>
      <c r="AW165" s="8" t="b">
        <f t="shared" si="859"/>
        <v>1</v>
      </c>
      <c r="AX165" s="8" t="str">
        <f t="shared" si="860"/>
        <v>Qcorrecto</v>
      </c>
      <c r="AY165" s="22" t="str">
        <f t="shared" si="840"/>
        <v>aceptable</v>
      </c>
      <c r="AZ165" s="22" t="str">
        <f t="shared" si="841"/>
        <v>aceptable</v>
      </c>
      <c r="BA165" s="22" t="str">
        <f t="shared" si="861"/>
        <v>aceptable</v>
      </c>
      <c r="BB165" s="25" t="str">
        <f t="shared" si="862"/>
        <v>NO CONFORME</v>
      </c>
      <c r="BC165" s="5" t="str">
        <f t="shared" si="863"/>
        <v>NO CONFORME</v>
      </c>
      <c r="BD165" s="15">
        <f t="shared" si="842"/>
        <v>-1</v>
      </c>
      <c r="BE165" s="15">
        <f t="shared" si="843"/>
        <v>-1</v>
      </c>
      <c r="BF165" s="15">
        <f t="shared" si="844"/>
        <v>-1</v>
      </c>
      <c r="BG165" s="15" t="str">
        <f t="shared" si="845"/>
        <v>-1-1-1</v>
      </c>
      <c r="BH165" s="15" t="str">
        <f t="shared" si="846"/>
        <v>SD</v>
      </c>
      <c r="BI165" s="15" t="str">
        <f t="shared" si="847"/>
        <v>SI</v>
      </c>
      <c r="BJ165" s="15" t="b">
        <f t="shared" si="848"/>
        <v>1</v>
      </c>
      <c r="BK165" s="15" t="str">
        <f t="shared" si="849"/>
        <v>SIGIGUALES</v>
      </c>
      <c r="BL165" s="22" t="str">
        <f t="shared" si="850"/>
        <v>NO CONFORME</v>
      </c>
    </row>
    <row r="166" spans="1:64" ht="14.4" x14ac:dyDescent="0.3">
      <c r="A166" s="91">
        <v>158</v>
      </c>
      <c r="B166" s="28">
        <f t="shared" ref="B166:E166" si="1039">B165</f>
        <v>45920</v>
      </c>
      <c r="C166" s="28">
        <f t="shared" si="1039"/>
        <v>45920</v>
      </c>
      <c r="D166" s="12">
        <f t="shared" si="1039"/>
        <v>3</v>
      </c>
      <c r="E166" s="10">
        <f t="shared" si="1039"/>
        <v>8</v>
      </c>
      <c r="F166" s="13"/>
      <c r="G166" s="157"/>
      <c r="H166" s="70">
        <f t="shared" ref="H166:L166" si="1040">H165</f>
        <v>25.6</v>
      </c>
      <c r="I166" s="36">
        <f t="shared" si="1040"/>
        <v>0</v>
      </c>
      <c r="J166" s="35">
        <f t="shared" si="1040"/>
        <v>20.9</v>
      </c>
      <c r="K166" s="122">
        <f t="shared" si="1040"/>
        <v>8.4730000000000008</v>
      </c>
      <c r="L166" s="122">
        <f t="shared" si="1040"/>
        <v>0.52100000000000002</v>
      </c>
      <c r="M166" s="41"/>
      <c r="N166" s="41"/>
      <c r="O166" s="32">
        <f t="shared" ref="O166:P166" si="1041">O165</f>
        <v>100.48</v>
      </c>
      <c r="P166" s="168" t="str">
        <f t="shared" si="1041"/>
        <v>2,29,610</v>
      </c>
      <c r="Q166" s="11" t="str">
        <f t="shared" si="916"/>
        <v>2</v>
      </c>
      <c r="R166" s="11" t="str">
        <f t="shared" si="917"/>
        <v>29,610</v>
      </c>
      <c r="S166" s="11">
        <f t="shared" si="918"/>
        <v>4.1558333333333336E-2</v>
      </c>
      <c r="T166" s="14">
        <f t="shared" si="919"/>
        <v>2417.8062963705634</v>
      </c>
      <c r="U166" s="37">
        <f t="shared" si="920"/>
        <v>-100</v>
      </c>
      <c r="V166" s="38">
        <f t="shared" ref="V166:W166" si="1042">V165</f>
        <v>21.3</v>
      </c>
      <c r="W166" s="124">
        <f t="shared" si="1042"/>
        <v>1.0960000000000001</v>
      </c>
      <c r="X166" s="124">
        <f t="shared" si="975"/>
        <v>1.0880000000000001</v>
      </c>
      <c r="Y166" s="41"/>
      <c r="Z166" s="41"/>
      <c r="AA166" s="90">
        <f t="shared" ref="AA166:AB166" si="1043">AA165</f>
        <v>5.01</v>
      </c>
      <c r="AB166" s="73" t="str">
        <f t="shared" si="1043"/>
        <v>11,15,880</v>
      </c>
      <c r="AC166" s="11" t="str">
        <f t="shared" si="923"/>
        <v>11</v>
      </c>
      <c r="AD166" s="11" t="str">
        <f t="shared" si="924"/>
        <v>15,880</v>
      </c>
      <c r="AE166" s="11">
        <f t="shared" si="925"/>
        <v>0.18774444444444444</v>
      </c>
      <c r="AF166" s="14">
        <f t="shared" si="926"/>
        <v>26.685210392377346</v>
      </c>
      <c r="AG166" s="39">
        <f t="shared" si="927"/>
        <v>-100</v>
      </c>
      <c r="AH166" s="38">
        <f t="shared" si="983"/>
        <v>18.399999999999999</v>
      </c>
      <c r="AI166" s="124">
        <f t="shared" si="983"/>
        <v>1.0980000000000001</v>
      </c>
      <c r="AJ166" s="124">
        <f t="shared" si="983"/>
        <v>1.087</v>
      </c>
      <c r="AK166" s="41">
        <f t="shared" si="928"/>
        <v>0</v>
      </c>
      <c r="AL166" s="41"/>
      <c r="AM166" s="34">
        <f t="shared" ref="AM166:AN166" si="1044">AM165</f>
        <v>2.0049999999999999</v>
      </c>
      <c r="AN166" s="33" t="str">
        <f t="shared" si="1044"/>
        <v>7,19,050</v>
      </c>
      <c r="AO166" s="11" t="str">
        <f t="shared" si="930"/>
        <v>7,</v>
      </c>
      <c r="AP166" s="11" t="str">
        <f t="shared" si="931"/>
        <v>19,050</v>
      </c>
      <c r="AQ166" s="11">
        <f t="shared" si="932"/>
        <v>0.12195833333333334</v>
      </c>
      <c r="AR166" s="14">
        <f t="shared" si="933"/>
        <v>16.44004099760847</v>
      </c>
      <c r="AS166" s="39">
        <f t="shared" si="934"/>
        <v>-100</v>
      </c>
      <c r="AT166" s="40" t="str">
        <f t="shared" si="935"/>
        <v>NO CONFORME</v>
      </c>
      <c r="AU166" s="8" t="b">
        <f t="shared" si="857"/>
        <v>1</v>
      </c>
      <c r="AV166" s="8" t="b">
        <f t="shared" si="858"/>
        <v>0</v>
      </c>
      <c r="AW166" s="8" t="b">
        <f t="shared" si="859"/>
        <v>1</v>
      </c>
      <c r="AX166" s="8" t="str">
        <f t="shared" si="860"/>
        <v>Qcorrecto</v>
      </c>
      <c r="AY166" s="22" t="str">
        <f t="shared" si="840"/>
        <v>aceptable</v>
      </c>
      <c r="AZ166" s="22" t="str">
        <f t="shared" si="841"/>
        <v>aceptable</v>
      </c>
      <c r="BA166" s="22" t="str">
        <f t="shared" si="861"/>
        <v>aceptable</v>
      </c>
      <c r="BB166" s="25" t="str">
        <f t="shared" si="862"/>
        <v>NO CONFORME</v>
      </c>
      <c r="BC166" s="5" t="str">
        <f t="shared" si="863"/>
        <v>NO CONFORME</v>
      </c>
      <c r="BD166" s="15">
        <f t="shared" si="842"/>
        <v>-1</v>
      </c>
      <c r="BE166" s="15">
        <f t="shared" si="843"/>
        <v>-1</v>
      </c>
      <c r="BF166" s="15">
        <f t="shared" si="844"/>
        <v>-1</v>
      </c>
      <c r="BG166" s="15" t="str">
        <f t="shared" si="845"/>
        <v>-1-1-1</v>
      </c>
      <c r="BH166" s="15" t="str">
        <f t="shared" si="846"/>
        <v>SD</v>
      </c>
      <c r="BI166" s="15" t="str">
        <f t="shared" si="847"/>
        <v>SI</v>
      </c>
      <c r="BJ166" s="15" t="b">
        <f t="shared" si="848"/>
        <v>1</v>
      </c>
      <c r="BK166" s="15" t="str">
        <f t="shared" si="849"/>
        <v>SIGIGUALES</v>
      </c>
      <c r="BL166" s="22" t="str">
        <f t="shared" si="850"/>
        <v>NO CONFORME</v>
      </c>
    </row>
    <row r="167" spans="1:64" ht="14.4" x14ac:dyDescent="0.3">
      <c r="A167" s="91">
        <v>159</v>
      </c>
      <c r="B167" s="28">
        <f t="shared" ref="B167:E167" si="1045">B166</f>
        <v>45920</v>
      </c>
      <c r="C167" s="28">
        <f t="shared" si="1045"/>
        <v>45920</v>
      </c>
      <c r="D167" s="12">
        <f t="shared" si="1045"/>
        <v>3</v>
      </c>
      <c r="E167" s="10">
        <f t="shared" si="1045"/>
        <v>8</v>
      </c>
      <c r="F167" s="13"/>
      <c r="G167" s="157"/>
      <c r="H167" s="70">
        <f t="shared" ref="H167:L167" si="1046">H166</f>
        <v>25.6</v>
      </c>
      <c r="I167" s="36">
        <f t="shared" si="1046"/>
        <v>0</v>
      </c>
      <c r="J167" s="35">
        <f t="shared" si="1046"/>
        <v>20.9</v>
      </c>
      <c r="K167" s="122">
        <f t="shared" si="1046"/>
        <v>8.4730000000000008</v>
      </c>
      <c r="L167" s="122">
        <f t="shared" si="1046"/>
        <v>0.52100000000000002</v>
      </c>
      <c r="M167" s="41"/>
      <c r="N167" s="41"/>
      <c r="O167" s="32">
        <f t="shared" ref="O167:P167" si="1047">O166</f>
        <v>100.48</v>
      </c>
      <c r="P167" s="168" t="str">
        <f t="shared" si="1047"/>
        <v>2,29,610</v>
      </c>
      <c r="Q167" s="11" t="str">
        <f t="shared" si="916"/>
        <v>2</v>
      </c>
      <c r="R167" s="11" t="str">
        <f t="shared" si="917"/>
        <v>29,610</v>
      </c>
      <c r="S167" s="11">
        <f t="shared" si="918"/>
        <v>4.1558333333333336E-2</v>
      </c>
      <c r="T167" s="14">
        <f t="shared" si="919"/>
        <v>2417.8062963705634</v>
      </c>
      <c r="U167" s="37">
        <f t="shared" si="920"/>
        <v>-100</v>
      </c>
      <c r="V167" s="38">
        <f t="shared" ref="V167:W167" si="1048">V166</f>
        <v>21.3</v>
      </c>
      <c r="W167" s="124">
        <f t="shared" si="1048"/>
        <v>1.0960000000000001</v>
      </c>
      <c r="X167" s="124">
        <f t="shared" si="975"/>
        <v>1.0880000000000001</v>
      </c>
      <c r="Y167" s="41"/>
      <c r="Z167" s="41"/>
      <c r="AA167" s="90">
        <f t="shared" ref="AA167:AB167" si="1049">AA166</f>
        <v>5.01</v>
      </c>
      <c r="AB167" s="73" t="str">
        <f t="shared" si="1049"/>
        <v>11,15,880</v>
      </c>
      <c r="AC167" s="11" t="str">
        <f t="shared" si="923"/>
        <v>11</v>
      </c>
      <c r="AD167" s="11" t="str">
        <f t="shared" si="924"/>
        <v>15,880</v>
      </c>
      <c r="AE167" s="11">
        <f t="shared" si="925"/>
        <v>0.18774444444444444</v>
      </c>
      <c r="AF167" s="14">
        <f t="shared" si="926"/>
        <v>26.685210392377346</v>
      </c>
      <c r="AG167" s="39">
        <f t="shared" si="927"/>
        <v>-100</v>
      </c>
      <c r="AH167" s="38">
        <f t="shared" si="983"/>
        <v>18.399999999999999</v>
      </c>
      <c r="AI167" s="124">
        <f t="shared" si="983"/>
        <v>1.0980000000000001</v>
      </c>
      <c r="AJ167" s="124">
        <f t="shared" si="983"/>
        <v>1.087</v>
      </c>
      <c r="AK167" s="41">
        <f t="shared" si="928"/>
        <v>0</v>
      </c>
      <c r="AL167" s="41"/>
      <c r="AM167" s="34">
        <f t="shared" ref="AM167:AN167" si="1050">AM166</f>
        <v>2.0049999999999999</v>
      </c>
      <c r="AN167" s="33" t="str">
        <f t="shared" si="1050"/>
        <v>7,19,050</v>
      </c>
      <c r="AO167" s="11" t="str">
        <f t="shared" si="930"/>
        <v>7,</v>
      </c>
      <c r="AP167" s="11" t="str">
        <f t="shared" si="931"/>
        <v>19,050</v>
      </c>
      <c r="AQ167" s="11">
        <f t="shared" si="932"/>
        <v>0.12195833333333334</v>
      </c>
      <c r="AR167" s="14">
        <f t="shared" si="933"/>
        <v>16.44004099760847</v>
      </c>
      <c r="AS167" s="39">
        <f t="shared" si="934"/>
        <v>-100</v>
      </c>
      <c r="AT167" s="40" t="str">
        <f t="shared" si="935"/>
        <v>NO CONFORME</v>
      </c>
      <c r="AU167" s="8" t="b">
        <f t="shared" si="857"/>
        <v>1</v>
      </c>
      <c r="AV167" s="8" t="b">
        <f t="shared" si="858"/>
        <v>0</v>
      </c>
      <c r="AW167" s="8" t="b">
        <f t="shared" si="859"/>
        <v>1</v>
      </c>
      <c r="AX167" s="8" t="str">
        <f t="shared" si="860"/>
        <v>Qcorrecto</v>
      </c>
      <c r="AY167" s="22" t="str">
        <f t="shared" si="840"/>
        <v>aceptable</v>
      </c>
      <c r="AZ167" s="22" t="str">
        <f t="shared" si="841"/>
        <v>aceptable</v>
      </c>
      <c r="BA167" s="22" t="str">
        <f t="shared" si="861"/>
        <v>aceptable</v>
      </c>
      <c r="BB167" s="25" t="str">
        <f t="shared" si="862"/>
        <v>NO CONFORME</v>
      </c>
      <c r="BC167" s="5" t="str">
        <f t="shared" si="863"/>
        <v>NO CONFORME</v>
      </c>
      <c r="BD167" s="15">
        <f t="shared" si="842"/>
        <v>-1</v>
      </c>
      <c r="BE167" s="15">
        <f t="shared" si="843"/>
        <v>-1</v>
      </c>
      <c r="BF167" s="15">
        <f t="shared" si="844"/>
        <v>-1</v>
      </c>
      <c r="BG167" s="15" t="str">
        <f t="shared" si="845"/>
        <v>-1-1-1</v>
      </c>
      <c r="BH167" s="15" t="str">
        <f t="shared" si="846"/>
        <v>SD</v>
      </c>
      <c r="BI167" s="15" t="str">
        <f t="shared" si="847"/>
        <v>SI</v>
      </c>
      <c r="BJ167" s="15" t="b">
        <f t="shared" si="848"/>
        <v>1</v>
      </c>
      <c r="BK167" s="15" t="str">
        <f t="shared" si="849"/>
        <v>SIGIGUALES</v>
      </c>
      <c r="BL167" s="22" t="str">
        <f t="shared" si="850"/>
        <v>NO CONFORME</v>
      </c>
    </row>
    <row r="168" spans="1:64" ht="14.4" x14ac:dyDescent="0.3">
      <c r="A168" s="91">
        <v>160</v>
      </c>
      <c r="B168" s="28">
        <f t="shared" ref="B168:E168" si="1051">B167</f>
        <v>45920</v>
      </c>
      <c r="C168" s="28">
        <f t="shared" si="1051"/>
        <v>45920</v>
      </c>
      <c r="D168" s="12">
        <f t="shared" si="1051"/>
        <v>3</v>
      </c>
      <c r="E168" s="10">
        <f t="shared" si="1051"/>
        <v>8</v>
      </c>
      <c r="F168" s="13"/>
      <c r="G168" s="157"/>
      <c r="H168" s="70">
        <f t="shared" ref="H168:L168" si="1052">H167</f>
        <v>25.6</v>
      </c>
      <c r="I168" s="36">
        <f t="shared" si="1052"/>
        <v>0</v>
      </c>
      <c r="J168" s="35">
        <f t="shared" si="1052"/>
        <v>20.9</v>
      </c>
      <c r="K168" s="122">
        <f t="shared" si="1052"/>
        <v>8.4730000000000008</v>
      </c>
      <c r="L168" s="122">
        <f t="shared" si="1052"/>
        <v>0.52100000000000002</v>
      </c>
      <c r="M168" s="41"/>
      <c r="N168" s="41"/>
      <c r="O168" s="32">
        <f t="shared" ref="O168:P168" si="1053">O167</f>
        <v>100.48</v>
      </c>
      <c r="P168" s="168" t="str">
        <f t="shared" si="1053"/>
        <v>2,29,610</v>
      </c>
      <c r="Q168" s="11" t="str">
        <f t="shared" si="916"/>
        <v>2</v>
      </c>
      <c r="R168" s="11" t="str">
        <f t="shared" si="917"/>
        <v>29,610</v>
      </c>
      <c r="S168" s="11">
        <f t="shared" si="918"/>
        <v>4.1558333333333336E-2</v>
      </c>
      <c r="T168" s="14">
        <f t="shared" si="919"/>
        <v>2417.8062963705634</v>
      </c>
      <c r="U168" s="37">
        <f t="shared" si="920"/>
        <v>-100</v>
      </c>
      <c r="V168" s="38">
        <f t="shared" ref="V168:W168" si="1054">V167</f>
        <v>21.3</v>
      </c>
      <c r="W168" s="124">
        <f t="shared" si="1054"/>
        <v>1.0960000000000001</v>
      </c>
      <c r="X168" s="124">
        <f t="shared" si="975"/>
        <v>1.0880000000000001</v>
      </c>
      <c r="Y168" s="41"/>
      <c r="Z168" s="41"/>
      <c r="AA168" s="90">
        <f t="shared" ref="AA168:AB168" si="1055">AA167</f>
        <v>5.01</v>
      </c>
      <c r="AB168" s="73" t="str">
        <f t="shared" si="1055"/>
        <v>11,15,880</v>
      </c>
      <c r="AC168" s="11" t="str">
        <f t="shared" si="923"/>
        <v>11</v>
      </c>
      <c r="AD168" s="11" t="str">
        <f t="shared" si="924"/>
        <v>15,880</v>
      </c>
      <c r="AE168" s="11">
        <f t="shared" si="925"/>
        <v>0.18774444444444444</v>
      </c>
      <c r="AF168" s="14">
        <f t="shared" si="926"/>
        <v>26.685210392377346</v>
      </c>
      <c r="AG168" s="39">
        <f t="shared" si="927"/>
        <v>-100</v>
      </c>
      <c r="AH168" s="38">
        <f t="shared" si="983"/>
        <v>18.399999999999999</v>
      </c>
      <c r="AI168" s="124">
        <f t="shared" si="983"/>
        <v>1.0980000000000001</v>
      </c>
      <c r="AJ168" s="124">
        <f t="shared" si="983"/>
        <v>1.087</v>
      </c>
      <c r="AK168" s="41">
        <f t="shared" si="928"/>
        <v>0</v>
      </c>
      <c r="AL168" s="41"/>
      <c r="AM168" s="34">
        <f t="shared" ref="AM168:AN168" si="1056">AM167</f>
        <v>2.0049999999999999</v>
      </c>
      <c r="AN168" s="33" t="str">
        <f t="shared" si="1056"/>
        <v>7,19,050</v>
      </c>
      <c r="AO168" s="11" t="str">
        <f t="shared" si="930"/>
        <v>7,</v>
      </c>
      <c r="AP168" s="11" t="str">
        <f t="shared" si="931"/>
        <v>19,050</v>
      </c>
      <c r="AQ168" s="11">
        <f t="shared" si="932"/>
        <v>0.12195833333333334</v>
      </c>
      <c r="AR168" s="14">
        <f t="shared" si="933"/>
        <v>16.44004099760847</v>
      </c>
      <c r="AS168" s="39">
        <f t="shared" si="934"/>
        <v>-100</v>
      </c>
      <c r="AT168" s="40" t="str">
        <f t="shared" si="935"/>
        <v>NO CONFORME</v>
      </c>
      <c r="AU168" s="8" t="b">
        <f t="shared" si="857"/>
        <v>1</v>
      </c>
      <c r="AV168" s="8" t="b">
        <f t="shared" si="858"/>
        <v>0</v>
      </c>
      <c r="AW168" s="8" t="b">
        <f t="shared" si="859"/>
        <v>1</v>
      </c>
      <c r="AX168" s="8" t="str">
        <f t="shared" si="860"/>
        <v>Qcorrecto</v>
      </c>
      <c r="AY168" s="22" t="str">
        <f t="shared" si="840"/>
        <v>aceptable</v>
      </c>
      <c r="AZ168" s="22" t="str">
        <f t="shared" si="841"/>
        <v>aceptable</v>
      </c>
      <c r="BA168" s="22" t="str">
        <f t="shared" si="861"/>
        <v>aceptable</v>
      </c>
      <c r="BB168" s="25" t="str">
        <f t="shared" si="862"/>
        <v>NO CONFORME</v>
      </c>
      <c r="BC168" s="5" t="str">
        <f t="shared" si="863"/>
        <v>NO CONFORME</v>
      </c>
      <c r="BD168" s="15">
        <f t="shared" si="842"/>
        <v>-1</v>
      </c>
      <c r="BE168" s="15">
        <f t="shared" si="843"/>
        <v>-1</v>
      </c>
      <c r="BF168" s="15">
        <f t="shared" si="844"/>
        <v>-1</v>
      </c>
      <c r="BG168" s="15" t="str">
        <f t="shared" si="845"/>
        <v>-1-1-1</v>
      </c>
      <c r="BH168" s="15" t="str">
        <f t="shared" si="846"/>
        <v>SD</v>
      </c>
      <c r="BI168" s="15" t="str">
        <f t="shared" si="847"/>
        <v>SI</v>
      </c>
      <c r="BJ168" s="15" t="b">
        <f t="shared" si="848"/>
        <v>1</v>
      </c>
      <c r="BK168" s="15" t="str">
        <f t="shared" si="849"/>
        <v>SIGIGUALES</v>
      </c>
      <c r="BL168" s="22" t="str">
        <f t="shared" si="850"/>
        <v>NO CONFORME</v>
      </c>
    </row>
    <row r="169" spans="1:64" ht="14.4" x14ac:dyDescent="0.3">
      <c r="A169" s="91">
        <v>161</v>
      </c>
      <c r="B169" s="28">
        <f t="shared" ref="B169:E169" si="1057">B168</f>
        <v>45920</v>
      </c>
      <c r="C169" s="28">
        <f t="shared" si="1057"/>
        <v>45920</v>
      </c>
      <c r="D169" s="12">
        <f t="shared" si="1057"/>
        <v>3</v>
      </c>
      <c r="E169" s="10">
        <f t="shared" si="1057"/>
        <v>8</v>
      </c>
      <c r="F169" s="13"/>
      <c r="G169" s="157"/>
      <c r="H169" s="70">
        <f t="shared" ref="H169:L169" si="1058">H168</f>
        <v>25.6</v>
      </c>
      <c r="I169" s="36">
        <f t="shared" si="1058"/>
        <v>0</v>
      </c>
      <c r="J169" s="35">
        <f t="shared" si="1058"/>
        <v>20.9</v>
      </c>
      <c r="K169" s="122">
        <f t="shared" si="1058"/>
        <v>8.4730000000000008</v>
      </c>
      <c r="L169" s="122">
        <f t="shared" si="1058"/>
        <v>0.52100000000000002</v>
      </c>
      <c r="M169" s="41"/>
      <c r="N169" s="41"/>
      <c r="O169" s="32">
        <f t="shared" ref="O169:P169" si="1059">O168</f>
        <v>100.48</v>
      </c>
      <c r="P169" s="168" t="str">
        <f t="shared" si="1059"/>
        <v>2,29,610</v>
      </c>
      <c r="Q169" s="11" t="str">
        <f t="shared" si="916"/>
        <v>2</v>
      </c>
      <c r="R169" s="11" t="str">
        <f t="shared" si="917"/>
        <v>29,610</v>
      </c>
      <c r="S169" s="11">
        <f t="shared" si="918"/>
        <v>4.1558333333333336E-2</v>
      </c>
      <c r="T169" s="14">
        <f t="shared" si="919"/>
        <v>2417.8062963705634</v>
      </c>
      <c r="U169" s="37">
        <f t="shared" si="920"/>
        <v>-100</v>
      </c>
      <c r="V169" s="38">
        <f t="shared" ref="V169:W169" si="1060">V168</f>
        <v>21.3</v>
      </c>
      <c r="W169" s="124">
        <f t="shared" si="1060"/>
        <v>1.0960000000000001</v>
      </c>
      <c r="X169" s="124">
        <f t="shared" si="975"/>
        <v>1.0880000000000001</v>
      </c>
      <c r="Y169" s="41"/>
      <c r="Z169" s="41"/>
      <c r="AA169" s="90">
        <f t="shared" ref="AA169:AB169" si="1061">AA168</f>
        <v>5.01</v>
      </c>
      <c r="AB169" s="73" t="str">
        <f t="shared" si="1061"/>
        <v>11,15,880</v>
      </c>
      <c r="AC169" s="11" t="str">
        <f t="shared" si="923"/>
        <v>11</v>
      </c>
      <c r="AD169" s="11" t="str">
        <f t="shared" si="924"/>
        <v>15,880</v>
      </c>
      <c r="AE169" s="11">
        <f t="shared" si="925"/>
        <v>0.18774444444444444</v>
      </c>
      <c r="AF169" s="14">
        <f t="shared" si="926"/>
        <v>26.685210392377346</v>
      </c>
      <c r="AG169" s="39">
        <f t="shared" si="927"/>
        <v>-100</v>
      </c>
      <c r="AH169" s="38">
        <f t="shared" si="983"/>
        <v>18.399999999999999</v>
      </c>
      <c r="AI169" s="124">
        <f t="shared" si="983"/>
        <v>1.0980000000000001</v>
      </c>
      <c r="AJ169" s="124">
        <f t="shared" si="983"/>
        <v>1.087</v>
      </c>
      <c r="AK169" s="41">
        <f t="shared" si="928"/>
        <v>0</v>
      </c>
      <c r="AL169" s="41"/>
      <c r="AM169" s="34">
        <f t="shared" ref="AM169:AN169" si="1062">AM168</f>
        <v>2.0049999999999999</v>
      </c>
      <c r="AN169" s="33" t="str">
        <f t="shared" si="1062"/>
        <v>7,19,050</v>
      </c>
      <c r="AO169" s="11" t="str">
        <f t="shared" si="930"/>
        <v>7,</v>
      </c>
      <c r="AP169" s="11" t="str">
        <f t="shared" si="931"/>
        <v>19,050</v>
      </c>
      <c r="AQ169" s="11">
        <f t="shared" si="932"/>
        <v>0.12195833333333334</v>
      </c>
      <c r="AR169" s="14">
        <f t="shared" si="933"/>
        <v>16.44004099760847</v>
      </c>
      <c r="AS169" s="39">
        <f t="shared" si="934"/>
        <v>-100</v>
      </c>
      <c r="AT169" s="40" t="str">
        <f t="shared" si="935"/>
        <v>NO CONFORME</v>
      </c>
      <c r="AU169" s="8" t="b">
        <f t="shared" si="857"/>
        <v>1</v>
      </c>
      <c r="AV169" s="8" t="b">
        <f t="shared" si="858"/>
        <v>0</v>
      </c>
      <c r="AW169" s="8" t="b">
        <f t="shared" si="859"/>
        <v>1</v>
      </c>
      <c r="AX169" s="8" t="str">
        <f t="shared" si="860"/>
        <v>Qcorrecto</v>
      </c>
      <c r="AY169" s="22" t="str">
        <f t="shared" si="840"/>
        <v>aceptable</v>
      </c>
      <c r="AZ169" s="22" t="str">
        <f t="shared" si="841"/>
        <v>aceptable</v>
      </c>
      <c r="BA169" s="22" t="str">
        <f t="shared" si="861"/>
        <v>aceptable</v>
      </c>
      <c r="BB169" s="25" t="str">
        <f t="shared" si="862"/>
        <v>NO CONFORME</v>
      </c>
      <c r="BC169" s="5" t="str">
        <f t="shared" si="863"/>
        <v>NO CONFORME</v>
      </c>
      <c r="BD169" s="15">
        <f t="shared" si="842"/>
        <v>-1</v>
      </c>
      <c r="BE169" s="15">
        <f t="shared" si="843"/>
        <v>-1</v>
      </c>
      <c r="BF169" s="15">
        <f t="shared" si="844"/>
        <v>-1</v>
      </c>
      <c r="BG169" s="15" t="str">
        <f t="shared" si="845"/>
        <v>-1-1-1</v>
      </c>
      <c r="BH169" s="15" t="str">
        <f t="shared" si="846"/>
        <v>SD</v>
      </c>
      <c r="BI169" s="15" t="str">
        <f t="shared" si="847"/>
        <v>SI</v>
      </c>
      <c r="BJ169" s="15" t="b">
        <f t="shared" si="848"/>
        <v>1</v>
      </c>
      <c r="BK169" s="15" t="str">
        <f t="shared" si="849"/>
        <v>SIGIGUALES</v>
      </c>
      <c r="BL169" s="22" t="str">
        <f t="shared" si="850"/>
        <v>NO CONFORME</v>
      </c>
    </row>
    <row r="170" spans="1:64" ht="14.4" x14ac:dyDescent="0.3">
      <c r="A170" s="91">
        <v>162</v>
      </c>
      <c r="B170" s="28">
        <f t="shared" ref="B170:E170" si="1063">B169</f>
        <v>45920</v>
      </c>
      <c r="C170" s="28">
        <f t="shared" si="1063"/>
        <v>45920</v>
      </c>
      <c r="D170" s="12">
        <f t="shared" si="1063"/>
        <v>3</v>
      </c>
      <c r="E170" s="10">
        <f t="shared" si="1063"/>
        <v>8</v>
      </c>
      <c r="F170" s="13"/>
      <c r="G170" s="157"/>
      <c r="H170" s="70">
        <f t="shared" ref="H170:L170" si="1064">H169</f>
        <v>25.6</v>
      </c>
      <c r="I170" s="36">
        <f t="shared" si="1064"/>
        <v>0</v>
      </c>
      <c r="J170" s="35">
        <f t="shared" si="1064"/>
        <v>20.9</v>
      </c>
      <c r="K170" s="122">
        <f t="shared" si="1064"/>
        <v>8.4730000000000008</v>
      </c>
      <c r="L170" s="122">
        <f t="shared" si="1064"/>
        <v>0.52100000000000002</v>
      </c>
      <c r="M170" s="41"/>
      <c r="N170" s="41"/>
      <c r="O170" s="32">
        <f t="shared" ref="O170:P170" si="1065">O169</f>
        <v>100.48</v>
      </c>
      <c r="P170" s="168" t="str">
        <f t="shared" si="1065"/>
        <v>2,29,610</v>
      </c>
      <c r="Q170" s="11" t="str">
        <f t="shared" si="916"/>
        <v>2</v>
      </c>
      <c r="R170" s="11" t="str">
        <f t="shared" si="917"/>
        <v>29,610</v>
      </c>
      <c r="S170" s="11">
        <f t="shared" si="918"/>
        <v>4.1558333333333336E-2</v>
      </c>
      <c r="T170" s="14">
        <f t="shared" si="919"/>
        <v>2417.8062963705634</v>
      </c>
      <c r="U170" s="37">
        <f t="shared" si="920"/>
        <v>-100</v>
      </c>
      <c r="V170" s="38">
        <f t="shared" ref="V170:W170" si="1066">V169</f>
        <v>21.3</v>
      </c>
      <c r="W170" s="124">
        <f t="shared" si="1066"/>
        <v>1.0960000000000001</v>
      </c>
      <c r="X170" s="124">
        <f t="shared" si="975"/>
        <v>1.0880000000000001</v>
      </c>
      <c r="Y170" s="41"/>
      <c r="Z170" s="41"/>
      <c r="AA170" s="90">
        <f t="shared" ref="AA170:AB170" si="1067">AA169</f>
        <v>5.01</v>
      </c>
      <c r="AB170" s="73" t="str">
        <f t="shared" si="1067"/>
        <v>11,15,880</v>
      </c>
      <c r="AC170" s="11" t="str">
        <f t="shared" si="923"/>
        <v>11</v>
      </c>
      <c r="AD170" s="11" t="str">
        <f t="shared" si="924"/>
        <v>15,880</v>
      </c>
      <c r="AE170" s="11">
        <f t="shared" si="925"/>
        <v>0.18774444444444444</v>
      </c>
      <c r="AF170" s="14">
        <f t="shared" si="926"/>
        <v>26.685210392377346</v>
      </c>
      <c r="AG170" s="39">
        <f t="shared" si="927"/>
        <v>-100</v>
      </c>
      <c r="AH170" s="38">
        <f t="shared" si="983"/>
        <v>18.399999999999999</v>
      </c>
      <c r="AI170" s="124">
        <f t="shared" si="983"/>
        <v>1.0980000000000001</v>
      </c>
      <c r="AJ170" s="124">
        <f t="shared" si="983"/>
        <v>1.087</v>
      </c>
      <c r="AK170" s="41">
        <f t="shared" si="928"/>
        <v>0</v>
      </c>
      <c r="AL170" s="41"/>
      <c r="AM170" s="34">
        <f t="shared" ref="AM170:AN170" si="1068">AM169</f>
        <v>2.0049999999999999</v>
      </c>
      <c r="AN170" s="33" t="str">
        <f t="shared" si="1068"/>
        <v>7,19,050</v>
      </c>
      <c r="AO170" s="11" t="str">
        <f t="shared" si="930"/>
        <v>7,</v>
      </c>
      <c r="AP170" s="11" t="str">
        <f t="shared" si="931"/>
        <v>19,050</v>
      </c>
      <c r="AQ170" s="11">
        <f t="shared" si="932"/>
        <v>0.12195833333333334</v>
      </c>
      <c r="AR170" s="14">
        <f t="shared" si="933"/>
        <v>16.44004099760847</v>
      </c>
      <c r="AS170" s="39">
        <f t="shared" si="934"/>
        <v>-100</v>
      </c>
      <c r="AT170" s="40" t="str">
        <f t="shared" si="935"/>
        <v>NO CONFORME</v>
      </c>
      <c r="AU170" s="8" t="b">
        <f t="shared" si="857"/>
        <v>1</v>
      </c>
      <c r="AV170" s="8" t="b">
        <f t="shared" si="858"/>
        <v>0</v>
      </c>
      <c r="AW170" s="8" t="b">
        <f t="shared" si="859"/>
        <v>1</v>
      </c>
      <c r="AX170" s="8" t="str">
        <f t="shared" si="860"/>
        <v>Qcorrecto</v>
      </c>
      <c r="AY170" s="22" t="str">
        <f t="shared" si="840"/>
        <v>aceptable</v>
      </c>
      <c r="AZ170" s="22" t="str">
        <f t="shared" si="841"/>
        <v>aceptable</v>
      </c>
      <c r="BA170" s="22" t="str">
        <f t="shared" si="861"/>
        <v>aceptable</v>
      </c>
      <c r="BB170" s="25" t="str">
        <f t="shared" si="862"/>
        <v>NO CONFORME</v>
      </c>
      <c r="BC170" s="5" t="str">
        <f t="shared" si="863"/>
        <v>NO CONFORME</v>
      </c>
      <c r="BD170" s="15">
        <f t="shared" si="842"/>
        <v>-1</v>
      </c>
      <c r="BE170" s="15">
        <f t="shared" si="843"/>
        <v>-1</v>
      </c>
      <c r="BF170" s="15">
        <f t="shared" si="844"/>
        <v>-1</v>
      </c>
      <c r="BG170" s="15" t="str">
        <f t="shared" si="845"/>
        <v>-1-1-1</v>
      </c>
      <c r="BH170" s="15" t="str">
        <f t="shared" si="846"/>
        <v>SD</v>
      </c>
      <c r="BI170" s="15" t="str">
        <f t="shared" si="847"/>
        <v>SI</v>
      </c>
      <c r="BJ170" s="15" t="b">
        <f t="shared" si="848"/>
        <v>1</v>
      </c>
      <c r="BK170" s="15" t="str">
        <f t="shared" si="849"/>
        <v>SIGIGUALES</v>
      </c>
      <c r="BL170" s="22" t="str">
        <f t="shared" si="850"/>
        <v>NO CONFORME</v>
      </c>
    </row>
    <row r="171" spans="1:64" ht="14.4" x14ac:dyDescent="0.3">
      <c r="A171" s="91">
        <v>163</v>
      </c>
      <c r="B171" s="28">
        <f t="shared" ref="B171:E171" si="1069">B170</f>
        <v>45920</v>
      </c>
      <c r="C171" s="28">
        <f t="shared" si="1069"/>
        <v>45920</v>
      </c>
      <c r="D171" s="12">
        <f t="shared" si="1069"/>
        <v>3</v>
      </c>
      <c r="E171" s="10">
        <f t="shared" si="1069"/>
        <v>8</v>
      </c>
      <c r="F171" s="13"/>
      <c r="G171" s="157"/>
      <c r="H171" s="70">
        <f t="shared" ref="H171:L171" si="1070">H170</f>
        <v>25.6</v>
      </c>
      <c r="I171" s="36">
        <f t="shared" si="1070"/>
        <v>0</v>
      </c>
      <c r="J171" s="35">
        <f t="shared" si="1070"/>
        <v>20.9</v>
      </c>
      <c r="K171" s="122">
        <f t="shared" si="1070"/>
        <v>8.4730000000000008</v>
      </c>
      <c r="L171" s="122">
        <f t="shared" si="1070"/>
        <v>0.52100000000000002</v>
      </c>
      <c r="M171" s="41"/>
      <c r="N171" s="41"/>
      <c r="O171" s="32">
        <f t="shared" ref="O171:P171" si="1071">O170</f>
        <v>100.48</v>
      </c>
      <c r="P171" s="168" t="str">
        <f t="shared" si="1071"/>
        <v>2,29,610</v>
      </c>
      <c r="Q171" s="11" t="str">
        <f t="shared" si="916"/>
        <v>2</v>
      </c>
      <c r="R171" s="11" t="str">
        <f t="shared" si="917"/>
        <v>29,610</v>
      </c>
      <c r="S171" s="11">
        <f t="shared" si="918"/>
        <v>4.1558333333333336E-2</v>
      </c>
      <c r="T171" s="14">
        <f t="shared" si="919"/>
        <v>2417.8062963705634</v>
      </c>
      <c r="U171" s="37">
        <f t="shared" si="920"/>
        <v>-100</v>
      </c>
      <c r="V171" s="38">
        <f t="shared" ref="V171:X186" si="1072">V170</f>
        <v>21.3</v>
      </c>
      <c r="W171" s="124">
        <f t="shared" si="1072"/>
        <v>1.0960000000000001</v>
      </c>
      <c r="X171" s="124">
        <f t="shared" si="1072"/>
        <v>1.0880000000000001</v>
      </c>
      <c r="Y171" s="41"/>
      <c r="Z171" s="41"/>
      <c r="AA171" s="90">
        <f t="shared" ref="AA171:AB171" si="1073">AA170</f>
        <v>5.01</v>
      </c>
      <c r="AB171" s="73" t="str">
        <f t="shared" si="1073"/>
        <v>11,15,880</v>
      </c>
      <c r="AC171" s="11" t="str">
        <f t="shared" si="923"/>
        <v>11</v>
      </c>
      <c r="AD171" s="11" t="str">
        <f t="shared" si="924"/>
        <v>15,880</v>
      </c>
      <c r="AE171" s="11">
        <f t="shared" si="925"/>
        <v>0.18774444444444444</v>
      </c>
      <c r="AF171" s="14">
        <f t="shared" si="926"/>
        <v>26.685210392377346</v>
      </c>
      <c r="AG171" s="39">
        <f t="shared" si="927"/>
        <v>-100</v>
      </c>
      <c r="AH171" s="38">
        <f t="shared" si="983"/>
        <v>18.399999999999999</v>
      </c>
      <c r="AI171" s="124">
        <f t="shared" si="983"/>
        <v>1.0980000000000001</v>
      </c>
      <c r="AJ171" s="124">
        <f t="shared" si="983"/>
        <v>1.087</v>
      </c>
      <c r="AK171" s="41">
        <f t="shared" si="928"/>
        <v>0</v>
      </c>
      <c r="AL171" s="41"/>
      <c r="AM171" s="34">
        <f t="shared" ref="AM171:AN171" si="1074">AM170</f>
        <v>2.0049999999999999</v>
      </c>
      <c r="AN171" s="33" t="str">
        <f t="shared" si="1074"/>
        <v>7,19,050</v>
      </c>
      <c r="AO171" s="11" t="str">
        <f t="shared" si="930"/>
        <v>7,</v>
      </c>
      <c r="AP171" s="11" t="str">
        <f t="shared" si="931"/>
        <v>19,050</v>
      </c>
      <c r="AQ171" s="11">
        <f t="shared" si="932"/>
        <v>0.12195833333333334</v>
      </c>
      <c r="AR171" s="14">
        <f t="shared" si="933"/>
        <v>16.44004099760847</v>
      </c>
      <c r="AS171" s="39">
        <f t="shared" si="934"/>
        <v>-100</v>
      </c>
      <c r="AT171" s="40" t="str">
        <f t="shared" si="935"/>
        <v>NO CONFORME</v>
      </c>
      <c r="AU171" s="8" t="b">
        <f t="shared" si="857"/>
        <v>1</v>
      </c>
      <c r="AV171" s="8" t="b">
        <f t="shared" si="858"/>
        <v>0</v>
      </c>
      <c r="AW171" s="8" t="b">
        <f t="shared" si="859"/>
        <v>1</v>
      </c>
      <c r="AX171" s="8" t="str">
        <f t="shared" si="860"/>
        <v>Qcorrecto</v>
      </c>
      <c r="AY171" s="22" t="str">
        <f t="shared" si="840"/>
        <v>aceptable</v>
      </c>
      <c r="AZ171" s="22" t="str">
        <f t="shared" si="841"/>
        <v>aceptable</v>
      </c>
      <c r="BA171" s="22" t="str">
        <f t="shared" si="861"/>
        <v>aceptable</v>
      </c>
      <c r="BB171" s="25" t="str">
        <f t="shared" si="862"/>
        <v>NO CONFORME</v>
      </c>
      <c r="BC171" s="5" t="str">
        <f t="shared" si="863"/>
        <v>NO CONFORME</v>
      </c>
      <c r="BD171" s="15">
        <f t="shared" si="842"/>
        <v>-1</v>
      </c>
      <c r="BE171" s="15">
        <f t="shared" si="843"/>
        <v>-1</v>
      </c>
      <c r="BF171" s="15">
        <f t="shared" si="844"/>
        <v>-1</v>
      </c>
      <c r="BG171" s="15" t="str">
        <f t="shared" si="845"/>
        <v>-1-1-1</v>
      </c>
      <c r="BH171" s="15" t="str">
        <f t="shared" si="846"/>
        <v>SD</v>
      </c>
      <c r="BI171" s="15" t="str">
        <f t="shared" si="847"/>
        <v>SI</v>
      </c>
      <c r="BJ171" s="15" t="b">
        <f t="shared" si="848"/>
        <v>1</v>
      </c>
      <c r="BK171" s="15" t="str">
        <f t="shared" si="849"/>
        <v>SIGIGUALES</v>
      </c>
      <c r="BL171" s="22" t="str">
        <f t="shared" si="850"/>
        <v>NO CONFORME</v>
      </c>
    </row>
    <row r="172" spans="1:64" ht="14.4" x14ac:dyDescent="0.3">
      <c r="A172" s="91">
        <v>164</v>
      </c>
      <c r="B172" s="28">
        <f t="shared" ref="B172:E172" si="1075">B171</f>
        <v>45920</v>
      </c>
      <c r="C172" s="28">
        <f t="shared" si="1075"/>
        <v>45920</v>
      </c>
      <c r="D172" s="12">
        <f t="shared" si="1075"/>
        <v>3</v>
      </c>
      <c r="E172" s="10">
        <f t="shared" si="1075"/>
        <v>8</v>
      </c>
      <c r="F172" s="13"/>
      <c r="G172" s="157"/>
      <c r="H172" s="70">
        <f t="shared" ref="H172:L172" si="1076">H171</f>
        <v>25.6</v>
      </c>
      <c r="I172" s="36">
        <f t="shared" si="1076"/>
        <v>0</v>
      </c>
      <c r="J172" s="35">
        <f t="shared" si="1076"/>
        <v>20.9</v>
      </c>
      <c r="K172" s="122">
        <f t="shared" si="1076"/>
        <v>8.4730000000000008</v>
      </c>
      <c r="L172" s="122">
        <f t="shared" si="1076"/>
        <v>0.52100000000000002</v>
      </c>
      <c r="M172" s="41"/>
      <c r="N172" s="41"/>
      <c r="O172" s="32">
        <f t="shared" ref="O172:P172" si="1077">O171</f>
        <v>100.48</v>
      </c>
      <c r="P172" s="168" t="str">
        <f t="shared" si="1077"/>
        <v>2,29,610</v>
      </c>
      <c r="Q172" s="11" t="str">
        <f t="shared" si="916"/>
        <v>2</v>
      </c>
      <c r="R172" s="11" t="str">
        <f t="shared" si="917"/>
        <v>29,610</v>
      </c>
      <c r="S172" s="11">
        <f t="shared" si="918"/>
        <v>4.1558333333333336E-2</v>
      </c>
      <c r="T172" s="14">
        <f t="shared" si="919"/>
        <v>2417.8062963705634</v>
      </c>
      <c r="U172" s="37">
        <f t="shared" si="920"/>
        <v>-100</v>
      </c>
      <c r="V172" s="38">
        <f t="shared" ref="V172:W172" si="1078">V171</f>
        <v>21.3</v>
      </c>
      <c r="W172" s="124">
        <f t="shared" si="1078"/>
        <v>1.0960000000000001</v>
      </c>
      <c r="X172" s="124">
        <f t="shared" si="1072"/>
        <v>1.0880000000000001</v>
      </c>
      <c r="Y172" s="41"/>
      <c r="Z172" s="41"/>
      <c r="AA172" s="90">
        <f t="shared" ref="AA172:AB172" si="1079">AA171</f>
        <v>5.01</v>
      </c>
      <c r="AB172" s="73" t="str">
        <f t="shared" si="1079"/>
        <v>11,15,880</v>
      </c>
      <c r="AC172" s="11" t="str">
        <f t="shared" si="923"/>
        <v>11</v>
      </c>
      <c r="AD172" s="11" t="str">
        <f t="shared" si="924"/>
        <v>15,880</v>
      </c>
      <c r="AE172" s="11">
        <f t="shared" si="925"/>
        <v>0.18774444444444444</v>
      </c>
      <c r="AF172" s="14">
        <f t="shared" si="926"/>
        <v>26.685210392377346</v>
      </c>
      <c r="AG172" s="39">
        <f t="shared" si="927"/>
        <v>-100</v>
      </c>
      <c r="AH172" s="38">
        <f t="shared" ref="AH172:AJ187" si="1080">AH171</f>
        <v>18.399999999999999</v>
      </c>
      <c r="AI172" s="124">
        <f t="shared" si="1080"/>
        <v>1.0980000000000001</v>
      </c>
      <c r="AJ172" s="124">
        <f t="shared" si="1080"/>
        <v>1.087</v>
      </c>
      <c r="AK172" s="41">
        <f t="shared" si="928"/>
        <v>0</v>
      </c>
      <c r="AL172" s="41"/>
      <c r="AM172" s="34">
        <f t="shared" ref="AM172:AN172" si="1081">AM171</f>
        <v>2.0049999999999999</v>
      </c>
      <c r="AN172" s="33" t="str">
        <f t="shared" si="1081"/>
        <v>7,19,050</v>
      </c>
      <c r="AO172" s="11" t="str">
        <f t="shared" si="930"/>
        <v>7,</v>
      </c>
      <c r="AP172" s="11" t="str">
        <f t="shared" si="931"/>
        <v>19,050</v>
      </c>
      <c r="AQ172" s="11">
        <f t="shared" si="932"/>
        <v>0.12195833333333334</v>
      </c>
      <c r="AR172" s="14">
        <f t="shared" si="933"/>
        <v>16.44004099760847</v>
      </c>
      <c r="AS172" s="39">
        <f t="shared" si="934"/>
        <v>-100</v>
      </c>
      <c r="AT172" s="40" t="str">
        <f t="shared" si="935"/>
        <v>NO CONFORME</v>
      </c>
      <c r="AU172" s="8" t="b">
        <f t="shared" si="857"/>
        <v>1</v>
      </c>
      <c r="AV172" s="8" t="b">
        <f t="shared" si="858"/>
        <v>0</v>
      </c>
      <c r="AW172" s="8" t="b">
        <f t="shared" si="859"/>
        <v>1</v>
      </c>
      <c r="AX172" s="8" t="str">
        <f t="shared" si="860"/>
        <v>Qcorrecto</v>
      </c>
      <c r="AY172" s="22" t="str">
        <f t="shared" si="840"/>
        <v>aceptable</v>
      </c>
      <c r="AZ172" s="22" t="str">
        <f t="shared" si="841"/>
        <v>aceptable</v>
      </c>
      <c r="BA172" s="22" t="str">
        <f t="shared" si="861"/>
        <v>aceptable</v>
      </c>
      <c r="BB172" s="25" t="str">
        <f t="shared" si="862"/>
        <v>NO CONFORME</v>
      </c>
      <c r="BC172" s="5" t="str">
        <f t="shared" si="863"/>
        <v>NO CONFORME</v>
      </c>
      <c r="BD172" s="15">
        <f t="shared" si="842"/>
        <v>-1</v>
      </c>
      <c r="BE172" s="15">
        <f t="shared" si="843"/>
        <v>-1</v>
      </c>
      <c r="BF172" s="15">
        <f t="shared" si="844"/>
        <v>-1</v>
      </c>
      <c r="BG172" s="15" t="str">
        <f t="shared" si="845"/>
        <v>-1-1-1</v>
      </c>
      <c r="BH172" s="15" t="str">
        <f t="shared" si="846"/>
        <v>SD</v>
      </c>
      <c r="BI172" s="15" t="str">
        <f t="shared" si="847"/>
        <v>SI</v>
      </c>
      <c r="BJ172" s="15" t="b">
        <f t="shared" si="848"/>
        <v>1</v>
      </c>
      <c r="BK172" s="15" t="str">
        <f t="shared" si="849"/>
        <v>SIGIGUALES</v>
      </c>
      <c r="BL172" s="22" t="str">
        <f t="shared" si="850"/>
        <v>NO CONFORME</v>
      </c>
    </row>
    <row r="173" spans="1:64" ht="14.4" x14ac:dyDescent="0.3">
      <c r="A173" s="91">
        <v>165</v>
      </c>
      <c r="B173" s="28">
        <f t="shared" ref="B173:E173" si="1082">B172</f>
        <v>45920</v>
      </c>
      <c r="C173" s="28">
        <f t="shared" si="1082"/>
        <v>45920</v>
      </c>
      <c r="D173" s="12">
        <f t="shared" si="1082"/>
        <v>3</v>
      </c>
      <c r="E173" s="10">
        <f t="shared" si="1082"/>
        <v>8</v>
      </c>
      <c r="F173" s="13"/>
      <c r="G173" s="157"/>
      <c r="H173" s="70">
        <f t="shared" ref="H173:L173" si="1083">H172</f>
        <v>25.6</v>
      </c>
      <c r="I173" s="36">
        <f t="shared" si="1083"/>
        <v>0</v>
      </c>
      <c r="J173" s="35">
        <f t="shared" si="1083"/>
        <v>20.9</v>
      </c>
      <c r="K173" s="122">
        <f t="shared" si="1083"/>
        <v>8.4730000000000008</v>
      </c>
      <c r="L173" s="122">
        <f t="shared" si="1083"/>
        <v>0.52100000000000002</v>
      </c>
      <c r="M173" s="41"/>
      <c r="N173" s="41"/>
      <c r="O173" s="32">
        <f t="shared" ref="O173:P173" si="1084">O172</f>
        <v>100.48</v>
      </c>
      <c r="P173" s="168" t="str">
        <f t="shared" si="1084"/>
        <v>2,29,610</v>
      </c>
      <c r="Q173" s="11" t="str">
        <f t="shared" si="916"/>
        <v>2</v>
      </c>
      <c r="R173" s="11" t="str">
        <f t="shared" si="917"/>
        <v>29,610</v>
      </c>
      <c r="S173" s="11">
        <f t="shared" si="918"/>
        <v>4.1558333333333336E-2</v>
      </c>
      <c r="T173" s="14">
        <f t="shared" si="919"/>
        <v>2417.8062963705634</v>
      </c>
      <c r="U173" s="37">
        <f t="shared" si="920"/>
        <v>-100</v>
      </c>
      <c r="V173" s="38">
        <f t="shared" ref="V173:W173" si="1085">V172</f>
        <v>21.3</v>
      </c>
      <c r="W173" s="124">
        <f t="shared" si="1085"/>
        <v>1.0960000000000001</v>
      </c>
      <c r="X173" s="124">
        <f t="shared" si="1072"/>
        <v>1.0880000000000001</v>
      </c>
      <c r="Y173" s="41"/>
      <c r="Z173" s="41"/>
      <c r="AA173" s="90">
        <f t="shared" ref="AA173:AB173" si="1086">AA172</f>
        <v>5.01</v>
      </c>
      <c r="AB173" s="73" t="str">
        <f t="shared" si="1086"/>
        <v>11,15,880</v>
      </c>
      <c r="AC173" s="11" t="str">
        <f t="shared" si="923"/>
        <v>11</v>
      </c>
      <c r="AD173" s="11" t="str">
        <f t="shared" si="924"/>
        <v>15,880</v>
      </c>
      <c r="AE173" s="11">
        <f t="shared" si="925"/>
        <v>0.18774444444444444</v>
      </c>
      <c r="AF173" s="14">
        <f t="shared" si="926"/>
        <v>26.685210392377346</v>
      </c>
      <c r="AG173" s="39">
        <f t="shared" si="927"/>
        <v>-100</v>
      </c>
      <c r="AH173" s="38">
        <f t="shared" si="1080"/>
        <v>18.399999999999999</v>
      </c>
      <c r="AI173" s="124">
        <f t="shared" si="1080"/>
        <v>1.0980000000000001</v>
      </c>
      <c r="AJ173" s="124">
        <f t="shared" si="1080"/>
        <v>1.087</v>
      </c>
      <c r="AK173" s="41">
        <f t="shared" si="928"/>
        <v>0</v>
      </c>
      <c r="AL173" s="41"/>
      <c r="AM173" s="34">
        <f t="shared" ref="AM173:AN173" si="1087">AM172</f>
        <v>2.0049999999999999</v>
      </c>
      <c r="AN173" s="33" t="str">
        <f t="shared" si="1087"/>
        <v>7,19,050</v>
      </c>
      <c r="AO173" s="11" t="str">
        <f t="shared" si="930"/>
        <v>7,</v>
      </c>
      <c r="AP173" s="11" t="str">
        <f t="shared" si="931"/>
        <v>19,050</v>
      </c>
      <c r="AQ173" s="11">
        <f t="shared" si="932"/>
        <v>0.12195833333333334</v>
      </c>
      <c r="AR173" s="14">
        <f t="shared" si="933"/>
        <v>16.44004099760847</v>
      </c>
      <c r="AS173" s="39">
        <f t="shared" si="934"/>
        <v>-100</v>
      </c>
      <c r="AT173" s="40" t="str">
        <f t="shared" si="935"/>
        <v>NO CONFORME</v>
      </c>
      <c r="AU173" s="8" t="b">
        <f t="shared" si="857"/>
        <v>1</v>
      </c>
      <c r="AV173" s="8" t="b">
        <f t="shared" si="858"/>
        <v>0</v>
      </c>
      <c r="AW173" s="8" t="b">
        <f t="shared" si="859"/>
        <v>1</v>
      </c>
      <c r="AX173" s="8" t="str">
        <f t="shared" si="860"/>
        <v>Qcorrecto</v>
      </c>
      <c r="AY173" s="22" t="str">
        <f t="shared" si="840"/>
        <v>aceptable</v>
      </c>
      <c r="AZ173" s="22" t="str">
        <f t="shared" si="841"/>
        <v>aceptable</v>
      </c>
      <c r="BA173" s="22" t="str">
        <f t="shared" si="861"/>
        <v>aceptable</v>
      </c>
      <c r="BB173" s="25" t="str">
        <f t="shared" si="862"/>
        <v>NO CONFORME</v>
      </c>
      <c r="BC173" s="5" t="str">
        <f t="shared" si="863"/>
        <v>NO CONFORME</v>
      </c>
      <c r="BD173" s="15">
        <f t="shared" si="842"/>
        <v>-1</v>
      </c>
      <c r="BE173" s="15">
        <f t="shared" si="843"/>
        <v>-1</v>
      </c>
      <c r="BF173" s="15">
        <f t="shared" si="844"/>
        <v>-1</v>
      </c>
      <c r="BG173" s="15" t="str">
        <f t="shared" si="845"/>
        <v>-1-1-1</v>
      </c>
      <c r="BH173" s="15" t="str">
        <f t="shared" si="846"/>
        <v>SD</v>
      </c>
      <c r="BI173" s="15" t="str">
        <f t="shared" si="847"/>
        <v>SI</v>
      </c>
      <c r="BJ173" s="15" t="b">
        <f t="shared" si="848"/>
        <v>1</v>
      </c>
      <c r="BK173" s="15" t="str">
        <f t="shared" si="849"/>
        <v>SIGIGUALES</v>
      </c>
      <c r="BL173" s="22" t="str">
        <f t="shared" si="850"/>
        <v>NO CONFORME</v>
      </c>
    </row>
    <row r="174" spans="1:64" ht="14.4" x14ac:dyDescent="0.3">
      <c r="A174" s="91">
        <v>166</v>
      </c>
      <c r="B174" s="28">
        <f t="shared" ref="B174:E174" si="1088">B173</f>
        <v>45920</v>
      </c>
      <c r="C174" s="28">
        <f t="shared" si="1088"/>
        <v>45920</v>
      </c>
      <c r="D174" s="12">
        <f t="shared" si="1088"/>
        <v>3</v>
      </c>
      <c r="E174" s="10">
        <f t="shared" si="1088"/>
        <v>8</v>
      </c>
      <c r="F174" s="13"/>
      <c r="G174" s="157"/>
      <c r="H174" s="70">
        <f t="shared" ref="H174:L174" si="1089">H173</f>
        <v>25.6</v>
      </c>
      <c r="I174" s="36">
        <f t="shared" si="1089"/>
        <v>0</v>
      </c>
      <c r="J174" s="35">
        <f t="shared" si="1089"/>
        <v>20.9</v>
      </c>
      <c r="K174" s="122">
        <f t="shared" si="1089"/>
        <v>8.4730000000000008</v>
      </c>
      <c r="L174" s="122">
        <f t="shared" si="1089"/>
        <v>0.52100000000000002</v>
      </c>
      <c r="M174" s="41"/>
      <c r="N174" s="41"/>
      <c r="O174" s="32">
        <f t="shared" ref="O174:P174" si="1090">O173</f>
        <v>100.48</v>
      </c>
      <c r="P174" s="168" t="str">
        <f t="shared" si="1090"/>
        <v>2,29,610</v>
      </c>
      <c r="Q174" s="11" t="str">
        <f t="shared" si="916"/>
        <v>2</v>
      </c>
      <c r="R174" s="11" t="str">
        <f t="shared" si="917"/>
        <v>29,610</v>
      </c>
      <c r="S174" s="11">
        <f t="shared" si="918"/>
        <v>4.1558333333333336E-2</v>
      </c>
      <c r="T174" s="14">
        <f t="shared" si="919"/>
        <v>2417.8062963705634</v>
      </c>
      <c r="U174" s="37">
        <f t="shared" si="920"/>
        <v>-100</v>
      </c>
      <c r="V174" s="38">
        <f t="shared" ref="V174:W174" si="1091">V173</f>
        <v>21.3</v>
      </c>
      <c r="W174" s="124">
        <f t="shared" si="1091"/>
        <v>1.0960000000000001</v>
      </c>
      <c r="X174" s="124">
        <f t="shared" si="1072"/>
        <v>1.0880000000000001</v>
      </c>
      <c r="Y174" s="41"/>
      <c r="Z174" s="41"/>
      <c r="AA174" s="90">
        <f t="shared" ref="AA174:AB174" si="1092">AA173</f>
        <v>5.01</v>
      </c>
      <c r="AB174" s="73" t="str">
        <f t="shared" si="1092"/>
        <v>11,15,880</v>
      </c>
      <c r="AC174" s="11" t="str">
        <f t="shared" si="923"/>
        <v>11</v>
      </c>
      <c r="AD174" s="11" t="str">
        <f t="shared" si="924"/>
        <v>15,880</v>
      </c>
      <c r="AE174" s="11">
        <f t="shared" si="925"/>
        <v>0.18774444444444444</v>
      </c>
      <c r="AF174" s="14">
        <f t="shared" si="926"/>
        <v>26.685210392377346</v>
      </c>
      <c r="AG174" s="39">
        <f t="shared" si="927"/>
        <v>-100</v>
      </c>
      <c r="AH174" s="38">
        <f t="shared" si="1080"/>
        <v>18.399999999999999</v>
      </c>
      <c r="AI174" s="124">
        <f t="shared" si="1080"/>
        <v>1.0980000000000001</v>
      </c>
      <c r="AJ174" s="124">
        <f t="shared" si="1080"/>
        <v>1.087</v>
      </c>
      <c r="AK174" s="41">
        <f t="shared" si="928"/>
        <v>0</v>
      </c>
      <c r="AL174" s="41"/>
      <c r="AM174" s="34">
        <f t="shared" ref="AM174:AN174" si="1093">AM173</f>
        <v>2.0049999999999999</v>
      </c>
      <c r="AN174" s="33" t="str">
        <f t="shared" si="1093"/>
        <v>7,19,050</v>
      </c>
      <c r="AO174" s="11" t="str">
        <f t="shared" si="930"/>
        <v>7,</v>
      </c>
      <c r="AP174" s="11" t="str">
        <f t="shared" si="931"/>
        <v>19,050</v>
      </c>
      <c r="AQ174" s="11">
        <f t="shared" si="932"/>
        <v>0.12195833333333334</v>
      </c>
      <c r="AR174" s="14">
        <f t="shared" si="933"/>
        <v>16.44004099760847</v>
      </c>
      <c r="AS174" s="39">
        <f t="shared" si="934"/>
        <v>-100</v>
      </c>
      <c r="AT174" s="40" t="str">
        <f t="shared" si="935"/>
        <v>NO CONFORME</v>
      </c>
      <c r="AU174" s="8" t="b">
        <f t="shared" si="857"/>
        <v>1</v>
      </c>
      <c r="AV174" s="8" t="b">
        <f t="shared" si="858"/>
        <v>0</v>
      </c>
      <c r="AW174" s="8" t="b">
        <f t="shared" si="859"/>
        <v>1</v>
      </c>
      <c r="AX174" s="8" t="str">
        <f t="shared" si="860"/>
        <v>Qcorrecto</v>
      </c>
      <c r="AY174" s="22" t="str">
        <f t="shared" si="840"/>
        <v>aceptable</v>
      </c>
      <c r="AZ174" s="22" t="str">
        <f t="shared" si="841"/>
        <v>aceptable</v>
      </c>
      <c r="BA174" s="22" t="str">
        <f t="shared" si="861"/>
        <v>aceptable</v>
      </c>
      <c r="BB174" s="25" t="str">
        <f t="shared" si="862"/>
        <v>NO CONFORME</v>
      </c>
      <c r="BC174" s="5" t="str">
        <f t="shared" si="863"/>
        <v>NO CONFORME</v>
      </c>
      <c r="BD174" s="15">
        <f t="shared" si="842"/>
        <v>-1</v>
      </c>
      <c r="BE174" s="15">
        <f t="shared" si="843"/>
        <v>-1</v>
      </c>
      <c r="BF174" s="15">
        <f t="shared" si="844"/>
        <v>-1</v>
      </c>
      <c r="BG174" s="15" t="str">
        <f t="shared" si="845"/>
        <v>-1-1-1</v>
      </c>
      <c r="BH174" s="15" t="str">
        <f t="shared" si="846"/>
        <v>SD</v>
      </c>
      <c r="BI174" s="15" t="str">
        <f t="shared" si="847"/>
        <v>SI</v>
      </c>
      <c r="BJ174" s="15" t="b">
        <f t="shared" si="848"/>
        <v>1</v>
      </c>
      <c r="BK174" s="15" t="str">
        <f t="shared" si="849"/>
        <v>SIGIGUALES</v>
      </c>
      <c r="BL174" s="22" t="str">
        <f t="shared" si="850"/>
        <v>NO CONFORME</v>
      </c>
    </row>
    <row r="175" spans="1:64" ht="14.4" x14ac:dyDescent="0.3">
      <c r="A175" s="91">
        <v>167</v>
      </c>
      <c r="B175" s="28">
        <f t="shared" ref="B175:E175" si="1094">B174</f>
        <v>45920</v>
      </c>
      <c r="C175" s="28">
        <f t="shared" si="1094"/>
        <v>45920</v>
      </c>
      <c r="D175" s="12">
        <f t="shared" si="1094"/>
        <v>3</v>
      </c>
      <c r="E175" s="10">
        <f t="shared" si="1094"/>
        <v>8</v>
      </c>
      <c r="F175" s="13"/>
      <c r="G175" s="157"/>
      <c r="H175" s="70">
        <f t="shared" ref="H175:L175" si="1095">H174</f>
        <v>25.6</v>
      </c>
      <c r="I175" s="36">
        <f t="shared" si="1095"/>
        <v>0</v>
      </c>
      <c r="J175" s="35">
        <f t="shared" si="1095"/>
        <v>20.9</v>
      </c>
      <c r="K175" s="122">
        <f t="shared" si="1095"/>
        <v>8.4730000000000008</v>
      </c>
      <c r="L175" s="122">
        <f t="shared" si="1095"/>
        <v>0.52100000000000002</v>
      </c>
      <c r="M175" s="41"/>
      <c r="N175" s="41"/>
      <c r="O175" s="32">
        <f t="shared" ref="O175:P175" si="1096">O174</f>
        <v>100.48</v>
      </c>
      <c r="P175" s="168" t="str">
        <f t="shared" si="1096"/>
        <v>2,29,610</v>
      </c>
      <c r="Q175" s="11" t="str">
        <f t="shared" si="916"/>
        <v>2</v>
      </c>
      <c r="R175" s="11" t="str">
        <f t="shared" si="917"/>
        <v>29,610</v>
      </c>
      <c r="S175" s="11">
        <f t="shared" si="918"/>
        <v>4.1558333333333336E-2</v>
      </c>
      <c r="T175" s="14">
        <f t="shared" si="919"/>
        <v>2417.8062963705634</v>
      </c>
      <c r="U175" s="37">
        <f t="shared" si="920"/>
        <v>-100</v>
      </c>
      <c r="V175" s="38">
        <f t="shared" ref="V175:W175" si="1097">V174</f>
        <v>21.3</v>
      </c>
      <c r="W175" s="124">
        <f t="shared" si="1097"/>
        <v>1.0960000000000001</v>
      </c>
      <c r="X175" s="124">
        <f t="shared" si="1072"/>
        <v>1.0880000000000001</v>
      </c>
      <c r="Y175" s="41"/>
      <c r="Z175" s="41"/>
      <c r="AA175" s="90">
        <f t="shared" ref="AA175:AB175" si="1098">AA174</f>
        <v>5.01</v>
      </c>
      <c r="AB175" s="73" t="str">
        <f t="shared" si="1098"/>
        <v>11,15,880</v>
      </c>
      <c r="AC175" s="11" t="str">
        <f t="shared" si="923"/>
        <v>11</v>
      </c>
      <c r="AD175" s="11" t="str">
        <f t="shared" si="924"/>
        <v>15,880</v>
      </c>
      <c r="AE175" s="11">
        <f t="shared" si="925"/>
        <v>0.18774444444444444</v>
      </c>
      <c r="AF175" s="14">
        <f t="shared" si="926"/>
        <v>26.685210392377346</v>
      </c>
      <c r="AG175" s="39">
        <f t="shared" si="927"/>
        <v>-100</v>
      </c>
      <c r="AH175" s="38">
        <f t="shared" si="1080"/>
        <v>18.399999999999999</v>
      </c>
      <c r="AI175" s="124">
        <f t="shared" si="1080"/>
        <v>1.0980000000000001</v>
      </c>
      <c r="AJ175" s="124">
        <f t="shared" si="1080"/>
        <v>1.087</v>
      </c>
      <c r="AK175" s="41">
        <f t="shared" si="928"/>
        <v>0</v>
      </c>
      <c r="AL175" s="41"/>
      <c r="AM175" s="34">
        <f t="shared" ref="AM175:AN175" si="1099">AM174</f>
        <v>2.0049999999999999</v>
      </c>
      <c r="AN175" s="33" t="str">
        <f t="shared" si="1099"/>
        <v>7,19,050</v>
      </c>
      <c r="AO175" s="11" t="str">
        <f t="shared" si="930"/>
        <v>7,</v>
      </c>
      <c r="AP175" s="11" t="str">
        <f t="shared" si="931"/>
        <v>19,050</v>
      </c>
      <c r="AQ175" s="11">
        <f t="shared" si="932"/>
        <v>0.12195833333333334</v>
      </c>
      <c r="AR175" s="14">
        <f t="shared" si="933"/>
        <v>16.44004099760847</v>
      </c>
      <c r="AS175" s="39">
        <f t="shared" si="934"/>
        <v>-100</v>
      </c>
      <c r="AT175" s="40" t="str">
        <f t="shared" si="935"/>
        <v>NO CONFORME</v>
      </c>
      <c r="AU175" s="8" t="b">
        <f t="shared" si="857"/>
        <v>1</v>
      </c>
      <c r="AV175" s="8" t="b">
        <f t="shared" si="858"/>
        <v>0</v>
      </c>
      <c r="AW175" s="8" t="b">
        <f t="shared" si="859"/>
        <v>1</v>
      </c>
      <c r="AX175" s="8" t="str">
        <f t="shared" si="860"/>
        <v>Qcorrecto</v>
      </c>
      <c r="AY175" s="22" t="str">
        <f t="shared" si="840"/>
        <v>aceptable</v>
      </c>
      <c r="AZ175" s="22" t="str">
        <f t="shared" si="841"/>
        <v>aceptable</v>
      </c>
      <c r="BA175" s="22" t="str">
        <f t="shared" si="861"/>
        <v>aceptable</v>
      </c>
      <c r="BB175" s="25" t="str">
        <f t="shared" si="862"/>
        <v>NO CONFORME</v>
      </c>
      <c r="BC175" s="5" t="str">
        <f t="shared" si="863"/>
        <v>NO CONFORME</v>
      </c>
      <c r="BD175" s="15">
        <f t="shared" si="842"/>
        <v>-1</v>
      </c>
      <c r="BE175" s="15">
        <f t="shared" si="843"/>
        <v>-1</v>
      </c>
      <c r="BF175" s="15">
        <f t="shared" si="844"/>
        <v>-1</v>
      </c>
      <c r="BG175" s="15" t="str">
        <f t="shared" si="845"/>
        <v>-1-1-1</v>
      </c>
      <c r="BH175" s="15" t="str">
        <f t="shared" si="846"/>
        <v>SD</v>
      </c>
      <c r="BI175" s="15" t="str">
        <f t="shared" si="847"/>
        <v>SI</v>
      </c>
      <c r="BJ175" s="15" t="b">
        <f t="shared" si="848"/>
        <v>1</v>
      </c>
      <c r="BK175" s="15" t="str">
        <f t="shared" si="849"/>
        <v>SIGIGUALES</v>
      </c>
      <c r="BL175" s="22" t="str">
        <f t="shared" si="850"/>
        <v>NO CONFORME</v>
      </c>
    </row>
    <row r="176" spans="1:64" ht="14.4" x14ac:dyDescent="0.3">
      <c r="A176" s="91">
        <v>168</v>
      </c>
      <c r="B176" s="28">
        <f t="shared" ref="B176:E176" si="1100">B175</f>
        <v>45920</v>
      </c>
      <c r="C176" s="28">
        <f t="shared" si="1100"/>
        <v>45920</v>
      </c>
      <c r="D176" s="12">
        <f t="shared" si="1100"/>
        <v>3</v>
      </c>
      <c r="E176" s="10">
        <f t="shared" si="1100"/>
        <v>8</v>
      </c>
      <c r="F176" s="13"/>
      <c r="G176" s="157"/>
      <c r="H176" s="70">
        <f t="shared" ref="H176:L176" si="1101">H175</f>
        <v>25.6</v>
      </c>
      <c r="I176" s="36">
        <f t="shared" si="1101"/>
        <v>0</v>
      </c>
      <c r="J176" s="35">
        <f t="shared" si="1101"/>
        <v>20.9</v>
      </c>
      <c r="K176" s="122">
        <f t="shared" si="1101"/>
        <v>8.4730000000000008</v>
      </c>
      <c r="L176" s="122">
        <f t="shared" si="1101"/>
        <v>0.52100000000000002</v>
      </c>
      <c r="M176" s="41"/>
      <c r="N176" s="41"/>
      <c r="O176" s="32">
        <f t="shared" ref="O176:P176" si="1102">O175</f>
        <v>100.48</v>
      </c>
      <c r="P176" s="168" t="str">
        <f t="shared" si="1102"/>
        <v>2,29,610</v>
      </c>
      <c r="Q176" s="11" t="str">
        <f t="shared" si="916"/>
        <v>2</v>
      </c>
      <c r="R176" s="11" t="str">
        <f t="shared" si="917"/>
        <v>29,610</v>
      </c>
      <c r="S176" s="11">
        <f t="shared" si="918"/>
        <v>4.1558333333333336E-2</v>
      </c>
      <c r="T176" s="14">
        <f t="shared" si="919"/>
        <v>2417.8062963705634</v>
      </c>
      <c r="U176" s="37">
        <f t="shared" si="920"/>
        <v>-100</v>
      </c>
      <c r="V176" s="38">
        <f t="shared" ref="V176:W176" si="1103">V175</f>
        <v>21.3</v>
      </c>
      <c r="W176" s="124">
        <f t="shared" si="1103"/>
        <v>1.0960000000000001</v>
      </c>
      <c r="X176" s="124">
        <f t="shared" si="1072"/>
        <v>1.0880000000000001</v>
      </c>
      <c r="Y176" s="41"/>
      <c r="Z176" s="41"/>
      <c r="AA176" s="90">
        <f t="shared" ref="AA176:AB176" si="1104">AA175</f>
        <v>5.01</v>
      </c>
      <c r="AB176" s="73" t="str">
        <f t="shared" si="1104"/>
        <v>11,15,880</v>
      </c>
      <c r="AC176" s="11" t="str">
        <f t="shared" si="923"/>
        <v>11</v>
      </c>
      <c r="AD176" s="11" t="str">
        <f t="shared" si="924"/>
        <v>15,880</v>
      </c>
      <c r="AE176" s="11">
        <f t="shared" si="925"/>
        <v>0.18774444444444444</v>
      </c>
      <c r="AF176" s="14">
        <f t="shared" si="926"/>
        <v>26.685210392377346</v>
      </c>
      <c r="AG176" s="39">
        <f t="shared" si="927"/>
        <v>-100</v>
      </c>
      <c r="AH176" s="38">
        <f t="shared" si="1080"/>
        <v>18.399999999999999</v>
      </c>
      <c r="AI176" s="124">
        <f t="shared" si="1080"/>
        <v>1.0980000000000001</v>
      </c>
      <c r="AJ176" s="124">
        <f t="shared" si="1080"/>
        <v>1.087</v>
      </c>
      <c r="AK176" s="41">
        <f t="shared" si="928"/>
        <v>0</v>
      </c>
      <c r="AL176" s="41"/>
      <c r="AM176" s="34">
        <f t="shared" ref="AM176:AN176" si="1105">AM175</f>
        <v>2.0049999999999999</v>
      </c>
      <c r="AN176" s="33" t="str">
        <f t="shared" si="1105"/>
        <v>7,19,050</v>
      </c>
      <c r="AO176" s="11" t="str">
        <f t="shared" si="930"/>
        <v>7,</v>
      </c>
      <c r="AP176" s="11" t="str">
        <f t="shared" si="931"/>
        <v>19,050</v>
      </c>
      <c r="AQ176" s="11">
        <f t="shared" si="932"/>
        <v>0.12195833333333334</v>
      </c>
      <c r="AR176" s="14">
        <f t="shared" si="933"/>
        <v>16.44004099760847</v>
      </c>
      <c r="AS176" s="39">
        <f t="shared" si="934"/>
        <v>-100</v>
      </c>
      <c r="AT176" s="40" t="str">
        <f t="shared" si="935"/>
        <v>NO CONFORME</v>
      </c>
      <c r="AU176" s="8" t="b">
        <f t="shared" si="857"/>
        <v>1</v>
      </c>
      <c r="AV176" s="8" t="b">
        <f t="shared" si="858"/>
        <v>0</v>
      </c>
      <c r="AW176" s="8" t="b">
        <f t="shared" si="859"/>
        <v>1</v>
      </c>
      <c r="AX176" s="8" t="str">
        <f t="shared" si="860"/>
        <v>Qcorrecto</v>
      </c>
      <c r="AY176" s="22" t="str">
        <f t="shared" si="840"/>
        <v>aceptable</v>
      </c>
      <c r="AZ176" s="22" t="str">
        <f t="shared" si="841"/>
        <v>aceptable</v>
      </c>
      <c r="BA176" s="22" t="str">
        <f t="shared" si="861"/>
        <v>aceptable</v>
      </c>
      <c r="BB176" s="25" t="str">
        <f t="shared" si="862"/>
        <v>NO CONFORME</v>
      </c>
      <c r="BC176" s="5" t="str">
        <f t="shared" si="863"/>
        <v>NO CONFORME</v>
      </c>
      <c r="BD176" s="15">
        <f t="shared" si="842"/>
        <v>-1</v>
      </c>
      <c r="BE176" s="15">
        <f t="shared" si="843"/>
        <v>-1</v>
      </c>
      <c r="BF176" s="15">
        <f t="shared" si="844"/>
        <v>-1</v>
      </c>
      <c r="BG176" s="15" t="str">
        <f t="shared" si="845"/>
        <v>-1-1-1</v>
      </c>
      <c r="BH176" s="15" t="str">
        <f t="shared" si="846"/>
        <v>SD</v>
      </c>
      <c r="BI176" s="15" t="str">
        <f t="shared" si="847"/>
        <v>SI</v>
      </c>
      <c r="BJ176" s="15" t="b">
        <f t="shared" si="848"/>
        <v>1</v>
      </c>
      <c r="BK176" s="15" t="str">
        <f t="shared" si="849"/>
        <v>SIGIGUALES</v>
      </c>
      <c r="BL176" s="22" t="str">
        <f t="shared" si="850"/>
        <v>NO CONFORME</v>
      </c>
    </row>
    <row r="177" spans="1:64" ht="14.4" x14ac:dyDescent="0.3">
      <c r="A177" s="91">
        <v>169</v>
      </c>
      <c r="B177" s="28">
        <f t="shared" ref="B177:E177" si="1106">B176</f>
        <v>45920</v>
      </c>
      <c r="C177" s="28">
        <f t="shared" si="1106"/>
        <v>45920</v>
      </c>
      <c r="D177" s="12">
        <f t="shared" si="1106"/>
        <v>3</v>
      </c>
      <c r="E177" s="10">
        <f t="shared" si="1106"/>
        <v>8</v>
      </c>
      <c r="F177" s="13"/>
      <c r="G177" s="157"/>
      <c r="H177" s="70">
        <f t="shared" ref="H177:L177" si="1107">H176</f>
        <v>25.6</v>
      </c>
      <c r="I177" s="36">
        <f t="shared" si="1107"/>
        <v>0</v>
      </c>
      <c r="J177" s="35">
        <f t="shared" si="1107"/>
        <v>20.9</v>
      </c>
      <c r="K177" s="122">
        <f t="shared" si="1107"/>
        <v>8.4730000000000008</v>
      </c>
      <c r="L177" s="122">
        <f t="shared" si="1107"/>
        <v>0.52100000000000002</v>
      </c>
      <c r="M177" s="41"/>
      <c r="N177" s="41"/>
      <c r="O177" s="32">
        <f t="shared" ref="O177:P177" si="1108">O176</f>
        <v>100.48</v>
      </c>
      <c r="P177" s="168" t="str">
        <f t="shared" si="1108"/>
        <v>2,29,610</v>
      </c>
      <c r="Q177" s="11" t="str">
        <f t="shared" si="916"/>
        <v>2</v>
      </c>
      <c r="R177" s="11" t="str">
        <f t="shared" si="917"/>
        <v>29,610</v>
      </c>
      <c r="S177" s="11">
        <f t="shared" si="918"/>
        <v>4.1558333333333336E-2</v>
      </c>
      <c r="T177" s="14">
        <f t="shared" si="919"/>
        <v>2417.8062963705634</v>
      </c>
      <c r="U177" s="37">
        <f t="shared" si="920"/>
        <v>-100</v>
      </c>
      <c r="V177" s="38">
        <f t="shared" ref="V177:W177" si="1109">V176</f>
        <v>21.3</v>
      </c>
      <c r="W177" s="124">
        <f t="shared" si="1109"/>
        <v>1.0960000000000001</v>
      </c>
      <c r="X177" s="124">
        <f t="shared" si="1072"/>
        <v>1.0880000000000001</v>
      </c>
      <c r="Y177" s="41"/>
      <c r="Z177" s="41"/>
      <c r="AA177" s="90">
        <f t="shared" ref="AA177:AB177" si="1110">AA176</f>
        <v>5.01</v>
      </c>
      <c r="AB177" s="73" t="str">
        <f t="shared" si="1110"/>
        <v>11,15,880</v>
      </c>
      <c r="AC177" s="11" t="str">
        <f t="shared" si="923"/>
        <v>11</v>
      </c>
      <c r="AD177" s="11" t="str">
        <f t="shared" si="924"/>
        <v>15,880</v>
      </c>
      <c r="AE177" s="11">
        <f t="shared" si="925"/>
        <v>0.18774444444444444</v>
      </c>
      <c r="AF177" s="14">
        <f t="shared" si="926"/>
        <v>26.685210392377346</v>
      </c>
      <c r="AG177" s="39">
        <f t="shared" si="927"/>
        <v>-100</v>
      </c>
      <c r="AH177" s="38">
        <f t="shared" si="1080"/>
        <v>18.399999999999999</v>
      </c>
      <c r="AI177" s="124">
        <f t="shared" si="1080"/>
        <v>1.0980000000000001</v>
      </c>
      <c r="AJ177" s="124">
        <f t="shared" si="1080"/>
        <v>1.087</v>
      </c>
      <c r="AK177" s="41">
        <f t="shared" si="928"/>
        <v>0</v>
      </c>
      <c r="AL177" s="41"/>
      <c r="AM177" s="34">
        <f t="shared" ref="AM177:AN177" si="1111">AM176</f>
        <v>2.0049999999999999</v>
      </c>
      <c r="AN177" s="33" t="str">
        <f t="shared" si="1111"/>
        <v>7,19,050</v>
      </c>
      <c r="AO177" s="11" t="str">
        <f t="shared" si="930"/>
        <v>7,</v>
      </c>
      <c r="AP177" s="11" t="str">
        <f t="shared" si="931"/>
        <v>19,050</v>
      </c>
      <c r="AQ177" s="11">
        <f t="shared" si="932"/>
        <v>0.12195833333333334</v>
      </c>
      <c r="AR177" s="14">
        <f t="shared" si="933"/>
        <v>16.44004099760847</v>
      </c>
      <c r="AS177" s="39">
        <f t="shared" si="934"/>
        <v>-100</v>
      </c>
      <c r="AT177" s="40" t="str">
        <f t="shared" si="935"/>
        <v>NO CONFORME</v>
      </c>
      <c r="AU177" s="8" t="b">
        <f t="shared" si="857"/>
        <v>1</v>
      </c>
      <c r="AV177" s="8" t="b">
        <f t="shared" si="858"/>
        <v>0</v>
      </c>
      <c r="AW177" s="8" t="b">
        <f t="shared" si="859"/>
        <v>1</v>
      </c>
      <c r="AX177" s="8" t="str">
        <f t="shared" si="860"/>
        <v>Qcorrecto</v>
      </c>
      <c r="AY177" s="22" t="str">
        <f t="shared" si="840"/>
        <v>aceptable</v>
      </c>
      <c r="AZ177" s="22" t="str">
        <f t="shared" si="841"/>
        <v>aceptable</v>
      </c>
      <c r="BA177" s="22" t="str">
        <f t="shared" si="861"/>
        <v>aceptable</v>
      </c>
      <c r="BB177" s="25" t="str">
        <f t="shared" si="862"/>
        <v>NO CONFORME</v>
      </c>
      <c r="BC177" s="5" t="str">
        <f t="shared" si="863"/>
        <v>NO CONFORME</v>
      </c>
      <c r="BD177" s="15">
        <f t="shared" si="842"/>
        <v>-1</v>
      </c>
      <c r="BE177" s="15">
        <f t="shared" si="843"/>
        <v>-1</v>
      </c>
      <c r="BF177" s="15">
        <f t="shared" si="844"/>
        <v>-1</v>
      </c>
      <c r="BG177" s="15" t="str">
        <f t="shared" si="845"/>
        <v>-1-1-1</v>
      </c>
      <c r="BH177" s="15" t="str">
        <f t="shared" si="846"/>
        <v>SD</v>
      </c>
      <c r="BI177" s="15" t="str">
        <f t="shared" si="847"/>
        <v>SI</v>
      </c>
      <c r="BJ177" s="15" t="b">
        <f t="shared" si="848"/>
        <v>1</v>
      </c>
      <c r="BK177" s="15" t="str">
        <f t="shared" si="849"/>
        <v>SIGIGUALES</v>
      </c>
      <c r="BL177" s="22" t="str">
        <f t="shared" si="850"/>
        <v>NO CONFORME</v>
      </c>
    </row>
    <row r="178" spans="1:64" ht="14.4" x14ac:dyDescent="0.3">
      <c r="A178" s="91">
        <v>170</v>
      </c>
      <c r="B178" s="28">
        <f t="shared" ref="B178:E178" si="1112">B177</f>
        <v>45920</v>
      </c>
      <c r="C178" s="28">
        <f t="shared" si="1112"/>
        <v>45920</v>
      </c>
      <c r="D178" s="12">
        <f t="shared" si="1112"/>
        <v>3</v>
      </c>
      <c r="E178" s="10">
        <f t="shared" si="1112"/>
        <v>8</v>
      </c>
      <c r="F178" s="13"/>
      <c r="G178" s="157"/>
      <c r="H178" s="70">
        <f t="shared" ref="H178:L178" si="1113">H177</f>
        <v>25.6</v>
      </c>
      <c r="I178" s="36">
        <f t="shared" si="1113"/>
        <v>0</v>
      </c>
      <c r="J178" s="35">
        <f t="shared" si="1113"/>
        <v>20.9</v>
      </c>
      <c r="K178" s="122">
        <f t="shared" si="1113"/>
        <v>8.4730000000000008</v>
      </c>
      <c r="L178" s="122">
        <f t="shared" si="1113"/>
        <v>0.52100000000000002</v>
      </c>
      <c r="M178" s="41"/>
      <c r="N178" s="41"/>
      <c r="O178" s="32">
        <f t="shared" ref="O178:P178" si="1114">O177</f>
        <v>100.48</v>
      </c>
      <c r="P178" s="168" t="str">
        <f t="shared" si="1114"/>
        <v>2,29,610</v>
      </c>
      <c r="Q178" s="11" t="str">
        <f t="shared" si="916"/>
        <v>2</v>
      </c>
      <c r="R178" s="11" t="str">
        <f t="shared" si="917"/>
        <v>29,610</v>
      </c>
      <c r="S178" s="11">
        <f t="shared" si="918"/>
        <v>4.1558333333333336E-2</v>
      </c>
      <c r="T178" s="14">
        <f t="shared" si="919"/>
        <v>2417.8062963705634</v>
      </c>
      <c r="U178" s="37">
        <f t="shared" si="920"/>
        <v>-100</v>
      </c>
      <c r="V178" s="38">
        <f t="shared" ref="V178:W178" si="1115">V177</f>
        <v>21.3</v>
      </c>
      <c r="W178" s="124">
        <f t="shared" si="1115"/>
        <v>1.0960000000000001</v>
      </c>
      <c r="X178" s="124">
        <f t="shared" si="1072"/>
        <v>1.0880000000000001</v>
      </c>
      <c r="Y178" s="41"/>
      <c r="Z178" s="41"/>
      <c r="AA178" s="90">
        <f t="shared" ref="AA178:AB178" si="1116">AA177</f>
        <v>5.01</v>
      </c>
      <c r="AB178" s="73" t="str">
        <f t="shared" si="1116"/>
        <v>11,15,880</v>
      </c>
      <c r="AC178" s="11" t="str">
        <f t="shared" si="923"/>
        <v>11</v>
      </c>
      <c r="AD178" s="11" t="str">
        <f t="shared" si="924"/>
        <v>15,880</v>
      </c>
      <c r="AE178" s="11">
        <f t="shared" si="925"/>
        <v>0.18774444444444444</v>
      </c>
      <c r="AF178" s="14">
        <f t="shared" si="926"/>
        <v>26.685210392377346</v>
      </c>
      <c r="AG178" s="39">
        <f t="shared" si="927"/>
        <v>-100</v>
      </c>
      <c r="AH178" s="38">
        <f t="shared" si="1080"/>
        <v>18.399999999999999</v>
      </c>
      <c r="AI178" s="124">
        <f t="shared" si="1080"/>
        <v>1.0980000000000001</v>
      </c>
      <c r="AJ178" s="124">
        <f t="shared" si="1080"/>
        <v>1.087</v>
      </c>
      <c r="AK178" s="41">
        <f t="shared" si="928"/>
        <v>0</v>
      </c>
      <c r="AL178" s="41"/>
      <c r="AM178" s="34">
        <f t="shared" ref="AM178:AN178" si="1117">AM177</f>
        <v>2.0049999999999999</v>
      </c>
      <c r="AN178" s="33" t="str">
        <f t="shared" si="1117"/>
        <v>7,19,050</v>
      </c>
      <c r="AO178" s="11" t="str">
        <f t="shared" si="930"/>
        <v>7,</v>
      </c>
      <c r="AP178" s="11" t="str">
        <f t="shared" si="931"/>
        <v>19,050</v>
      </c>
      <c r="AQ178" s="11">
        <f t="shared" si="932"/>
        <v>0.12195833333333334</v>
      </c>
      <c r="AR178" s="14">
        <f t="shared" si="933"/>
        <v>16.44004099760847</v>
      </c>
      <c r="AS178" s="39">
        <f t="shared" si="934"/>
        <v>-100</v>
      </c>
      <c r="AT178" s="40" t="str">
        <f t="shared" si="935"/>
        <v>NO CONFORME</v>
      </c>
      <c r="AU178" s="8" t="b">
        <f t="shared" si="857"/>
        <v>1</v>
      </c>
      <c r="AV178" s="8" t="b">
        <f t="shared" si="858"/>
        <v>0</v>
      </c>
      <c r="AW178" s="8" t="b">
        <f t="shared" si="859"/>
        <v>1</v>
      </c>
      <c r="AX178" s="8" t="str">
        <f t="shared" si="860"/>
        <v>Qcorrecto</v>
      </c>
      <c r="AY178" s="22" t="str">
        <f t="shared" si="840"/>
        <v>aceptable</v>
      </c>
      <c r="AZ178" s="22" t="str">
        <f t="shared" si="841"/>
        <v>aceptable</v>
      </c>
      <c r="BA178" s="22" t="str">
        <f t="shared" si="861"/>
        <v>aceptable</v>
      </c>
      <c r="BB178" s="25" t="str">
        <f t="shared" si="862"/>
        <v>NO CONFORME</v>
      </c>
      <c r="BC178" s="5" t="str">
        <f t="shared" si="863"/>
        <v>NO CONFORME</v>
      </c>
      <c r="BD178" s="15">
        <f t="shared" si="842"/>
        <v>-1</v>
      </c>
      <c r="BE178" s="15">
        <f t="shared" si="843"/>
        <v>-1</v>
      </c>
      <c r="BF178" s="15">
        <f t="shared" si="844"/>
        <v>-1</v>
      </c>
      <c r="BG178" s="15" t="str">
        <f t="shared" si="845"/>
        <v>-1-1-1</v>
      </c>
      <c r="BH178" s="15" t="str">
        <f t="shared" si="846"/>
        <v>SD</v>
      </c>
      <c r="BI178" s="15" t="str">
        <f t="shared" si="847"/>
        <v>SI</v>
      </c>
      <c r="BJ178" s="15" t="b">
        <f t="shared" si="848"/>
        <v>1</v>
      </c>
      <c r="BK178" s="15" t="str">
        <f t="shared" si="849"/>
        <v>SIGIGUALES</v>
      </c>
      <c r="BL178" s="22" t="str">
        <f t="shared" si="850"/>
        <v>NO CONFORME</v>
      </c>
    </row>
    <row r="179" spans="1:64" ht="14.4" x14ac:dyDescent="0.3">
      <c r="A179" s="91">
        <v>171</v>
      </c>
      <c r="B179" s="28">
        <f t="shared" ref="B179:E179" si="1118">B178</f>
        <v>45920</v>
      </c>
      <c r="C179" s="28">
        <f t="shared" si="1118"/>
        <v>45920</v>
      </c>
      <c r="D179" s="12">
        <f t="shared" si="1118"/>
        <v>3</v>
      </c>
      <c r="E179" s="10">
        <f t="shared" si="1118"/>
        <v>8</v>
      </c>
      <c r="F179" s="13"/>
      <c r="G179" s="157"/>
      <c r="H179" s="70">
        <f t="shared" ref="H179:L179" si="1119">H178</f>
        <v>25.6</v>
      </c>
      <c r="I179" s="36">
        <f t="shared" si="1119"/>
        <v>0</v>
      </c>
      <c r="J179" s="35">
        <f t="shared" si="1119"/>
        <v>20.9</v>
      </c>
      <c r="K179" s="122">
        <f t="shared" si="1119"/>
        <v>8.4730000000000008</v>
      </c>
      <c r="L179" s="122">
        <f t="shared" si="1119"/>
        <v>0.52100000000000002</v>
      </c>
      <c r="M179" s="41"/>
      <c r="N179" s="41"/>
      <c r="O179" s="32">
        <f t="shared" ref="O179:P179" si="1120">O178</f>
        <v>100.48</v>
      </c>
      <c r="P179" s="168" t="str">
        <f t="shared" si="1120"/>
        <v>2,29,610</v>
      </c>
      <c r="Q179" s="11" t="str">
        <f t="shared" si="916"/>
        <v>2</v>
      </c>
      <c r="R179" s="11" t="str">
        <f t="shared" si="917"/>
        <v>29,610</v>
      </c>
      <c r="S179" s="11">
        <f t="shared" si="918"/>
        <v>4.1558333333333336E-2</v>
      </c>
      <c r="T179" s="14">
        <f t="shared" si="919"/>
        <v>2417.8062963705634</v>
      </c>
      <c r="U179" s="37">
        <f t="shared" si="920"/>
        <v>-100</v>
      </c>
      <c r="V179" s="38">
        <f t="shared" ref="V179:W179" si="1121">V178</f>
        <v>21.3</v>
      </c>
      <c r="W179" s="124">
        <f t="shared" si="1121"/>
        <v>1.0960000000000001</v>
      </c>
      <c r="X179" s="124">
        <f t="shared" si="1072"/>
        <v>1.0880000000000001</v>
      </c>
      <c r="Y179" s="41"/>
      <c r="Z179" s="41"/>
      <c r="AA179" s="90">
        <f t="shared" ref="AA179:AB179" si="1122">AA178</f>
        <v>5.01</v>
      </c>
      <c r="AB179" s="73" t="str">
        <f t="shared" si="1122"/>
        <v>11,15,880</v>
      </c>
      <c r="AC179" s="11" t="str">
        <f t="shared" si="923"/>
        <v>11</v>
      </c>
      <c r="AD179" s="11" t="str">
        <f t="shared" si="924"/>
        <v>15,880</v>
      </c>
      <c r="AE179" s="11">
        <f t="shared" si="925"/>
        <v>0.18774444444444444</v>
      </c>
      <c r="AF179" s="14">
        <f t="shared" si="926"/>
        <v>26.685210392377346</v>
      </c>
      <c r="AG179" s="39">
        <f t="shared" si="927"/>
        <v>-100</v>
      </c>
      <c r="AH179" s="38">
        <f t="shared" si="1080"/>
        <v>18.399999999999999</v>
      </c>
      <c r="AI179" s="124">
        <f t="shared" si="1080"/>
        <v>1.0980000000000001</v>
      </c>
      <c r="AJ179" s="124">
        <f t="shared" si="1080"/>
        <v>1.087</v>
      </c>
      <c r="AK179" s="41">
        <f t="shared" si="928"/>
        <v>0</v>
      </c>
      <c r="AL179" s="41"/>
      <c r="AM179" s="34">
        <f t="shared" ref="AM179:AN179" si="1123">AM178</f>
        <v>2.0049999999999999</v>
      </c>
      <c r="AN179" s="33" t="str">
        <f t="shared" si="1123"/>
        <v>7,19,050</v>
      </c>
      <c r="AO179" s="11" t="str">
        <f t="shared" si="930"/>
        <v>7,</v>
      </c>
      <c r="AP179" s="11" t="str">
        <f t="shared" si="931"/>
        <v>19,050</v>
      </c>
      <c r="AQ179" s="11">
        <f t="shared" si="932"/>
        <v>0.12195833333333334</v>
      </c>
      <c r="AR179" s="14">
        <f t="shared" si="933"/>
        <v>16.44004099760847</v>
      </c>
      <c r="AS179" s="39">
        <f t="shared" si="934"/>
        <v>-100</v>
      </c>
      <c r="AT179" s="40" t="str">
        <f t="shared" si="935"/>
        <v>NO CONFORME</v>
      </c>
      <c r="AU179" s="8" t="b">
        <f t="shared" si="857"/>
        <v>1</v>
      </c>
      <c r="AV179" s="8" t="b">
        <f t="shared" si="858"/>
        <v>0</v>
      </c>
      <c r="AW179" s="8" t="b">
        <f t="shared" si="859"/>
        <v>1</v>
      </c>
      <c r="AX179" s="8" t="str">
        <f t="shared" si="860"/>
        <v>Qcorrecto</v>
      </c>
      <c r="AY179" s="22" t="str">
        <f t="shared" si="840"/>
        <v>aceptable</v>
      </c>
      <c r="AZ179" s="22" t="str">
        <f t="shared" si="841"/>
        <v>aceptable</v>
      </c>
      <c r="BA179" s="22" t="str">
        <f t="shared" si="861"/>
        <v>aceptable</v>
      </c>
      <c r="BB179" s="25" t="str">
        <f t="shared" si="862"/>
        <v>NO CONFORME</v>
      </c>
      <c r="BC179" s="5" t="str">
        <f t="shared" si="863"/>
        <v>NO CONFORME</v>
      </c>
      <c r="BD179" s="15">
        <f t="shared" si="842"/>
        <v>-1</v>
      </c>
      <c r="BE179" s="15">
        <f t="shared" si="843"/>
        <v>-1</v>
      </c>
      <c r="BF179" s="15">
        <f t="shared" si="844"/>
        <v>-1</v>
      </c>
      <c r="BG179" s="15" t="str">
        <f t="shared" si="845"/>
        <v>-1-1-1</v>
      </c>
      <c r="BH179" s="15" t="str">
        <f t="shared" si="846"/>
        <v>SD</v>
      </c>
      <c r="BI179" s="15" t="str">
        <f t="shared" si="847"/>
        <v>SI</v>
      </c>
      <c r="BJ179" s="15" t="b">
        <f t="shared" si="848"/>
        <v>1</v>
      </c>
      <c r="BK179" s="15" t="str">
        <f t="shared" si="849"/>
        <v>SIGIGUALES</v>
      </c>
      <c r="BL179" s="22" t="str">
        <f t="shared" si="850"/>
        <v>NO CONFORME</v>
      </c>
    </row>
    <row r="180" spans="1:64" ht="14.4" x14ac:dyDescent="0.3">
      <c r="A180" s="91">
        <v>172</v>
      </c>
      <c r="B180" s="28">
        <f t="shared" ref="B180:E180" si="1124">B179</f>
        <v>45920</v>
      </c>
      <c r="C180" s="28">
        <f t="shared" si="1124"/>
        <v>45920</v>
      </c>
      <c r="D180" s="12">
        <f t="shared" si="1124"/>
        <v>3</v>
      </c>
      <c r="E180" s="10">
        <f t="shared" si="1124"/>
        <v>8</v>
      </c>
      <c r="F180" s="13"/>
      <c r="G180" s="157"/>
      <c r="H180" s="70">
        <f t="shared" ref="H180:L180" si="1125">H179</f>
        <v>25.6</v>
      </c>
      <c r="I180" s="36">
        <f t="shared" si="1125"/>
        <v>0</v>
      </c>
      <c r="J180" s="35">
        <f t="shared" si="1125"/>
        <v>20.9</v>
      </c>
      <c r="K180" s="122">
        <f t="shared" si="1125"/>
        <v>8.4730000000000008</v>
      </c>
      <c r="L180" s="122">
        <f t="shared" si="1125"/>
        <v>0.52100000000000002</v>
      </c>
      <c r="M180" s="41"/>
      <c r="N180" s="41"/>
      <c r="O180" s="32">
        <f t="shared" ref="O180:P180" si="1126">O179</f>
        <v>100.48</v>
      </c>
      <c r="P180" s="168" t="str">
        <f t="shared" si="1126"/>
        <v>2,29,610</v>
      </c>
      <c r="Q180" s="11" t="str">
        <f t="shared" si="916"/>
        <v>2</v>
      </c>
      <c r="R180" s="11" t="str">
        <f t="shared" si="917"/>
        <v>29,610</v>
      </c>
      <c r="S180" s="11">
        <f t="shared" si="918"/>
        <v>4.1558333333333336E-2</v>
      </c>
      <c r="T180" s="14">
        <f t="shared" si="919"/>
        <v>2417.8062963705634</v>
      </c>
      <c r="U180" s="37">
        <f t="shared" si="920"/>
        <v>-100</v>
      </c>
      <c r="V180" s="38">
        <f t="shared" ref="V180:W180" si="1127">V179</f>
        <v>21.3</v>
      </c>
      <c r="W180" s="124">
        <f t="shared" si="1127"/>
        <v>1.0960000000000001</v>
      </c>
      <c r="X180" s="124">
        <f t="shared" si="1072"/>
        <v>1.0880000000000001</v>
      </c>
      <c r="Y180" s="41"/>
      <c r="Z180" s="41"/>
      <c r="AA180" s="90">
        <f t="shared" ref="AA180:AB180" si="1128">AA179</f>
        <v>5.01</v>
      </c>
      <c r="AB180" s="73" t="str">
        <f t="shared" si="1128"/>
        <v>11,15,880</v>
      </c>
      <c r="AC180" s="11" t="str">
        <f t="shared" si="923"/>
        <v>11</v>
      </c>
      <c r="AD180" s="11" t="str">
        <f t="shared" si="924"/>
        <v>15,880</v>
      </c>
      <c r="AE180" s="11">
        <f t="shared" si="925"/>
        <v>0.18774444444444444</v>
      </c>
      <c r="AF180" s="14">
        <f t="shared" si="926"/>
        <v>26.685210392377346</v>
      </c>
      <c r="AG180" s="39">
        <f t="shared" si="927"/>
        <v>-100</v>
      </c>
      <c r="AH180" s="38">
        <f t="shared" si="1080"/>
        <v>18.399999999999999</v>
      </c>
      <c r="AI180" s="124">
        <f t="shared" si="1080"/>
        <v>1.0980000000000001</v>
      </c>
      <c r="AJ180" s="124">
        <f t="shared" si="1080"/>
        <v>1.087</v>
      </c>
      <c r="AK180" s="41">
        <f t="shared" si="928"/>
        <v>0</v>
      </c>
      <c r="AL180" s="41"/>
      <c r="AM180" s="34">
        <f t="shared" ref="AM180:AN180" si="1129">AM179</f>
        <v>2.0049999999999999</v>
      </c>
      <c r="AN180" s="33" t="str">
        <f t="shared" si="1129"/>
        <v>7,19,050</v>
      </c>
      <c r="AO180" s="11" t="str">
        <f t="shared" si="930"/>
        <v>7,</v>
      </c>
      <c r="AP180" s="11" t="str">
        <f t="shared" si="931"/>
        <v>19,050</v>
      </c>
      <c r="AQ180" s="11">
        <f t="shared" si="932"/>
        <v>0.12195833333333334</v>
      </c>
      <c r="AR180" s="14">
        <f t="shared" si="933"/>
        <v>16.44004099760847</v>
      </c>
      <c r="AS180" s="39">
        <f t="shared" si="934"/>
        <v>-100</v>
      </c>
      <c r="AT180" s="40" t="str">
        <f t="shared" si="935"/>
        <v>NO CONFORME</v>
      </c>
      <c r="AU180" s="8" t="b">
        <f t="shared" si="857"/>
        <v>1</v>
      </c>
      <c r="AV180" s="8" t="b">
        <f t="shared" si="858"/>
        <v>0</v>
      </c>
      <c r="AW180" s="8" t="b">
        <f t="shared" si="859"/>
        <v>1</v>
      </c>
      <c r="AX180" s="8" t="str">
        <f t="shared" si="860"/>
        <v>Qcorrecto</v>
      </c>
      <c r="AY180" s="22" t="str">
        <f t="shared" si="840"/>
        <v>aceptable</v>
      </c>
      <c r="AZ180" s="22" t="str">
        <f t="shared" si="841"/>
        <v>aceptable</v>
      </c>
      <c r="BA180" s="22" t="str">
        <f t="shared" si="861"/>
        <v>aceptable</v>
      </c>
      <c r="BB180" s="25" t="str">
        <f t="shared" si="862"/>
        <v>NO CONFORME</v>
      </c>
      <c r="BC180" s="5" t="str">
        <f t="shared" si="863"/>
        <v>NO CONFORME</v>
      </c>
      <c r="BD180" s="15">
        <f t="shared" si="842"/>
        <v>-1</v>
      </c>
      <c r="BE180" s="15">
        <f t="shared" si="843"/>
        <v>-1</v>
      </c>
      <c r="BF180" s="15">
        <f t="shared" si="844"/>
        <v>-1</v>
      </c>
      <c r="BG180" s="15" t="str">
        <f t="shared" si="845"/>
        <v>-1-1-1</v>
      </c>
      <c r="BH180" s="15" t="str">
        <f t="shared" si="846"/>
        <v>SD</v>
      </c>
      <c r="BI180" s="15" t="str">
        <f t="shared" si="847"/>
        <v>SI</v>
      </c>
      <c r="BJ180" s="15" t="b">
        <f t="shared" si="848"/>
        <v>1</v>
      </c>
      <c r="BK180" s="15" t="str">
        <f t="shared" si="849"/>
        <v>SIGIGUALES</v>
      </c>
      <c r="BL180" s="22" t="str">
        <f t="shared" si="850"/>
        <v>NO CONFORME</v>
      </c>
    </row>
    <row r="181" spans="1:64" ht="14.4" x14ac:dyDescent="0.3">
      <c r="A181" s="91">
        <v>173</v>
      </c>
      <c r="B181" s="28">
        <f t="shared" ref="B181:E181" si="1130">B180</f>
        <v>45920</v>
      </c>
      <c r="C181" s="28">
        <f t="shared" si="1130"/>
        <v>45920</v>
      </c>
      <c r="D181" s="12">
        <f t="shared" si="1130"/>
        <v>3</v>
      </c>
      <c r="E181" s="10">
        <f t="shared" si="1130"/>
        <v>8</v>
      </c>
      <c r="F181" s="13"/>
      <c r="G181" s="157"/>
      <c r="H181" s="70">
        <f t="shared" ref="H181:L181" si="1131">H180</f>
        <v>25.6</v>
      </c>
      <c r="I181" s="36">
        <f t="shared" si="1131"/>
        <v>0</v>
      </c>
      <c r="J181" s="35">
        <f t="shared" si="1131"/>
        <v>20.9</v>
      </c>
      <c r="K181" s="122">
        <f t="shared" si="1131"/>
        <v>8.4730000000000008</v>
      </c>
      <c r="L181" s="122">
        <f t="shared" si="1131"/>
        <v>0.52100000000000002</v>
      </c>
      <c r="M181" s="41"/>
      <c r="N181" s="41"/>
      <c r="O181" s="32">
        <f t="shared" ref="O181:P181" si="1132">O180</f>
        <v>100.48</v>
      </c>
      <c r="P181" s="168" t="str">
        <f t="shared" si="1132"/>
        <v>2,29,610</v>
      </c>
      <c r="Q181" s="11" t="str">
        <f t="shared" si="916"/>
        <v>2</v>
      </c>
      <c r="R181" s="11" t="str">
        <f t="shared" si="917"/>
        <v>29,610</v>
      </c>
      <c r="S181" s="11">
        <f t="shared" si="918"/>
        <v>4.1558333333333336E-2</v>
      </c>
      <c r="T181" s="14">
        <f t="shared" si="919"/>
        <v>2417.8062963705634</v>
      </c>
      <c r="U181" s="37">
        <f t="shared" si="920"/>
        <v>-100</v>
      </c>
      <c r="V181" s="38">
        <f t="shared" ref="V181:W181" si="1133">V180</f>
        <v>21.3</v>
      </c>
      <c r="W181" s="124">
        <f t="shared" si="1133"/>
        <v>1.0960000000000001</v>
      </c>
      <c r="X181" s="124">
        <f t="shared" si="1072"/>
        <v>1.0880000000000001</v>
      </c>
      <c r="Y181" s="41"/>
      <c r="Z181" s="41"/>
      <c r="AA181" s="90">
        <f t="shared" ref="AA181:AB181" si="1134">AA180</f>
        <v>5.01</v>
      </c>
      <c r="AB181" s="73" t="str">
        <f t="shared" si="1134"/>
        <v>11,15,880</v>
      </c>
      <c r="AC181" s="11" t="str">
        <f t="shared" si="923"/>
        <v>11</v>
      </c>
      <c r="AD181" s="11" t="str">
        <f t="shared" si="924"/>
        <v>15,880</v>
      </c>
      <c r="AE181" s="11">
        <f t="shared" si="925"/>
        <v>0.18774444444444444</v>
      </c>
      <c r="AF181" s="14">
        <f t="shared" si="926"/>
        <v>26.685210392377346</v>
      </c>
      <c r="AG181" s="39">
        <f t="shared" si="927"/>
        <v>-100</v>
      </c>
      <c r="AH181" s="38">
        <f t="shared" si="1080"/>
        <v>18.399999999999999</v>
      </c>
      <c r="AI181" s="124">
        <f t="shared" si="1080"/>
        <v>1.0980000000000001</v>
      </c>
      <c r="AJ181" s="124">
        <f t="shared" si="1080"/>
        <v>1.087</v>
      </c>
      <c r="AK181" s="41">
        <f t="shared" si="928"/>
        <v>0</v>
      </c>
      <c r="AL181" s="41"/>
      <c r="AM181" s="34">
        <f t="shared" ref="AM181:AN181" si="1135">AM180</f>
        <v>2.0049999999999999</v>
      </c>
      <c r="AN181" s="33" t="str">
        <f t="shared" si="1135"/>
        <v>7,19,050</v>
      </c>
      <c r="AO181" s="11" t="str">
        <f t="shared" si="930"/>
        <v>7,</v>
      </c>
      <c r="AP181" s="11" t="str">
        <f t="shared" si="931"/>
        <v>19,050</v>
      </c>
      <c r="AQ181" s="11">
        <f t="shared" si="932"/>
        <v>0.12195833333333334</v>
      </c>
      <c r="AR181" s="14">
        <f t="shared" si="933"/>
        <v>16.44004099760847</v>
      </c>
      <c r="AS181" s="39">
        <f t="shared" si="934"/>
        <v>-100</v>
      </c>
      <c r="AT181" s="40" t="str">
        <f t="shared" si="935"/>
        <v>NO CONFORME</v>
      </c>
      <c r="AU181" s="8" t="b">
        <f t="shared" si="857"/>
        <v>1</v>
      </c>
      <c r="AV181" s="8" t="b">
        <f t="shared" si="858"/>
        <v>0</v>
      </c>
      <c r="AW181" s="8" t="b">
        <f t="shared" si="859"/>
        <v>1</v>
      </c>
      <c r="AX181" s="8" t="str">
        <f t="shared" si="860"/>
        <v>Qcorrecto</v>
      </c>
      <c r="AY181" s="22" t="str">
        <f t="shared" si="840"/>
        <v>aceptable</v>
      </c>
      <c r="AZ181" s="22" t="str">
        <f t="shared" si="841"/>
        <v>aceptable</v>
      </c>
      <c r="BA181" s="22" t="str">
        <f t="shared" si="861"/>
        <v>aceptable</v>
      </c>
      <c r="BB181" s="25" t="str">
        <f t="shared" si="862"/>
        <v>NO CONFORME</v>
      </c>
      <c r="BC181" s="5" t="str">
        <f t="shared" si="863"/>
        <v>NO CONFORME</v>
      </c>
      <c r="BD181" s="15">
        <f t="shared" si="842"/>
        <v>-1</v>
      </c>
      <c r="BE181" s="15">
        <f t="shared" si="843"/>
        <v>-1</v>
      </c>
      <c r="BF181" s="15">
        <f t="shared" si="844"/>
        <v>-1</v>
      </c>
      <c r="BG181" s="15" t="str">
        <f t="shared" si="845"/>
        <v>-1-1-1</v>
      </c>
      <c r="BH181" s="15" t="str">
        <f t="shared" si="846"/>
        <v>SD</v>
      </c>
      <c r="BI181" s="15" t="str">
        <f t="shared" si="847"/>
        <v>SI</v>
      </c>
      <c r="BJ181" s="15" t="b">
        <f t="shared" si="848"/>
        <v>1</v>
      </c>
      <c r="BK181" s="15" t="str">
        <f t="shared" si="849"/>
        <v>SIGIGUALES</v>
      </c>
      <c r="BL181" s="22" t="str">
        <f t="shared" si="850"/>
        <v>NO CONFORME</v>
      </c>
    </row>
    <row r="182" spans="1:64" ht="14.4" x14ac:dyDescent="0.3">
      <c r="A182" s="91">
        <v>174</v>
      </c>
      <c r="B182" s="28">
        <f t="shared" ref="B182:E182" si="1136">B181</f>
        <v>45920</v>
      </c>
      <c r="C182" s="28">
        <f t="shared" si="1136"/>
        <v>45920</v>
      </c>
      <c r="D182" s="12">
        <f t="shared" si="1136"/>
        <v>3</v>
      </c>
      <c r="E182" s="10">
        <f t="shared" si="1136"/>
        <v>8</v>
      </c>
      <c r="F182" s="13"/>
      <c r="G182" s="157"/>
      <c r="H182" s="70">
        <f t="shared" ref="H182:L182" si="1137">H181</f>
        <v>25.6</v>
      </c>
      <c r="I182" s="36">
        <f t="shared" si="1137"/>
        <v>0</v>
      </c>
      <c r="J182" s="35">
        <f t="shared" si="1137"/>
        <v>20.9</v>
      </c>
      <c r="K182" s="122">
        <f t="shared" si="1137"/>
        <v>8.4730000000000008</v>
      </c>
      <c r="L182" s="122">
        <f t="shared" si="1137"/>
        <v>0.52100000000000002</v>
      </c>
      <c r="M182" s="41"/>
      <c r="N182" s="41"/>
      <c r="O182" s="32">
        <f t="shared" ref="O182:P182" si="1138">O181</f>
        <v>100.48</v>
      </c>
      <c r="P182" s="168" t="str">
        <f t="shared" si="1138"/>
        <v>2,29,610</v>
      </c>
      <c r="Q182" s="11" t="str">
        <f t="shared" si="916"/>
        <v>2</v>
      </c>
      <c r="R182" s="11" t="str">
        <f t="shared" si="917"/>
        <v>29,610</v>
      </c>
      <c r="S182" s="11">
        <f t="shared" si="918"/>
        <v>4.1558333333333336E-2</v>
      </c>
      <c r="T182" s="14">
        <f t="shared" si="919"/>
        <v>2417.8062963705634</v>
      </c>
      <c r="U182" s="37">
        <f t="shared" si="920"/>
        <v>-100</v>
      </c>
      <c r="V182" s="38">
        <f t="shared" ref="V182:W182" si="1139">V181</f>
        <v>21.3</v>
      </c>
      <c r="W182" s="124">
        <f t="shared" si="1139"/>
        <v>1.0960000000000001</v>
      </c>
      <c r="X182" s="124">
        <f t="shared" si="1072"/>
        <v>1.0880000000000001</v>
      </c>
      <c r="Y182" s="41"/>
      <c r="Z182" s="41"/>
      <c r="AA182" s="90">
        <f t="shared" ref="AA182:AB182" si="1140">AA181</f>
        <v>5.01</v>
      </c>
      <c r="AB182" s="73" t="str">
        <f t="shared" si="1140"/>
        <v>11,15,880</v>
      </c>
      <c r="AC182" s="11" t="str">
        <f t="shared" si="923"/>
        <v>11</v>
      </c>
      <c r="AD182" s="11" t="str">
        <f t="shared" si="924"/>
        <v>15,880</v>
      </c>
      <c r="AE182" s="11">
        <f t="shared" si="925"/>
        <v>0.18774444444444444</v>
      </c>
      <c r="AF182" s="14">
        <f t="shared" si="926"/>
        <v>26.685210392377346</v>
      </c>
      <c r="AG182" s="39">
        <f t="shared" si="927"/>
        <v>-100</v>
      </c>
      <c r="AH182" s="38">
        <f t="shared" si="1080"/>
        <v>18.399999999999999</v>
      </c>
      <c r="AI182" s="124">
        <f t="shared" si="1080"/>
        <v>1.0980000000000001</v>
      </c>
      <c r="AJ182" s="124">
        <f t="shared" si="1080"/>
        <v>1.087</v>
      </c>
      <c r="AK182" s="41">
        <f t="shared" si="928"/>
        <v>0</v>
      </c>
      <c r="AL182" s="41"/>
      <c r="AM182" s="34">
        <f t="shared" ref="AM182:AN182" si="1141">AM181</f>
        <v>2.0049999999999999</v>
      </c>
      <c r="AN182" s="33" t="str">
        <f t="shared" si="1141"/>
        <v>7,19,050</v>
      </c>
      <c r="AO182" s="11" t="str">
        <f t="shared" si="930"/>
        <v>7,</v>
      </c>
      <c r="AP182" s="11" t="str">
        <f t="shared" si="931"/>
        <v>19,050</v>
      </c>
      <c r="AQ182" s="11">
        <f t="shared" si="932"/>
        <v>0.12195833333333334</v>
      </c>
      <c r="AR182" s="14">
        <f t="shared" si="933"/>
        <v>16.44004099760847</v>
      </c>
      <c r="AS182" s="39">
        <f t="shared" si="934"/>
        <v>-100</v>
      </c>
      <c r="AT182" s="40" t="str">
        <f t="shared" si="935"/>
        <v>NO CONFORME</v>
      </c>
      <c r="AU182" s="8" t="b">
        <f t="shared" si="857"/>
        <v>1</v>
      </c>
      <c r="AV182" s="8" t="b">
        <f t="shared" si="858"/>
        <v>0</v>
      </c>
      <c r="AW182" s="8" t="b">
        <f t="shared" si="859"/>
        <v>1</v>
      </c>
      <c r="AX182" s="8" t="str">
        <f t="shared" si="860"/>
        <v>Qcorrecto</v>
      </c>
      <c r="AY182" s="22" t="str">
        <f t="shared" si="840"/>
        <v>aceptable</v>
      </c>
      <c r="AZ182" s="22" t="str">
        <f t="shared" si="841"/>
        <v>aceptable</v>
      </c>
      <c r="BA182" s="22" t="str">
        <f t="shared" si="861"/>
        <v>aceptable</v>
      </c>
      <c r="BB182" s="25" t="str">
        <f t="shared" si="862"/>
        <v>NO CONFORME</v>
      </c>
      <c r="BC182" s="5" t="str">
        <f t="shared" si="863"/>
        <v>NO CONFORME</v>
      </c>
      <c r="BD182" s="15">
        <f t="shared" si="842"/>
        <v>-1</v>
      </c>
      <c r="BE182" s="15">
        <f t="shared" si="843"/>
        <v>-1</v>
      </c>
      <c r="BF182" s="15">
        <f t="shared" si="844"/>
        <v>-1</v>
      </c>
      <c r="BG182" s="15" t="str">
        <f t="shared" si="845"/>
        <v>-1-1-1</v>
      </c>
      <c r="BH182" s="15" t="str">
        <f t="shared" si="846"/>
        <v>SD</v>
      </c>
      <c r="BI182" s="15" t="str">
        <f t="shared" si="847"/>
        <v>SI</v>
      </c>
      <c r="BJ182" s="15" t="b">
        <f t="shared" si="848"/>
        <v>1</v>
      </c>
      <c r="BK182" s="15" t="str">
        <f t="shared" si="849"/>
        <v>SIGIGUALES</v>
      </c>
      <c r="BL182" s="22" t="str">
        <f t="shared" si="850"/>
        <v>NO CONFORME</v>
      </c>
    </row>
    <row r="183" spans="1:64" ht="14.4" x14ac:dyDescent="0.3">
      <c r="A183" s="91">
        <v>175</v>
      </c>
      <c r="B183" s="28">
        <f t="shared" ref="B183:E183" si="1142">B182</f>
        <v>45920</v>
      </c>
      <c r="C183" s="28">
        <f t="shared" si="1142"/>
        <v>45920</v>
      </c>
      <c r="D183" s="12">
        <f t="shared" si="1142"/>
        <v>3</v>
      </c>
      <c r="E183" s="10">
        <f t="shared" si="1142"/>
        <v>8</v>
      </c>
      <c r="F183" s="13"/>
      <c r="G183" s="157"/>
      <c r="H183" s="70">
        <f t="shared" ref="H183:L183" si="1143">H182</f>
        <v>25.6</v>
      </c>
      <c r="I183" s="36">
        <f t="shared" si="1143"/>
        <v>0</v>
      </c>
      <c r="J183" s="35">
        <f t="shared" si="1143"/>
        <v>20.9</v>
      </c>
      <c r="K183" s="122">
        <f t="shared" si="1143"/>
        <v>8.4730000000000008</v>
      </c>
      <c r="L183" s="122">
        <f t="shared" si="1143"/>
        <v>0.52100000000000002</v>
      </c>
      <c r="M183" s="41"/>
      <c r="N183" s="41"/>
      <c r="O183" s="32">
        <f t="shared" ref="O183:P183" si="1144">O182</f>
        <v>100.48</v>
      </c>
      <c r="P183" s="168" t="str">
        <f t="shared" si="1144"/>
        <v>2,29,610</v>
      </c>
      <c r="Q183" s="11" t="str">
        <f t="shared" si="916"/>
        <v>2</v>
      </c>
      <c r="R183" s="11" t="str">
        <f t="shared" si="917"/>
        <v>29,610</v>
      </c>
      <c r="S183" s="11">
        <f t="shared" si="918"/>
        <v>4.1558333333333336E-2</v>
      </c>
      <c r="T183" s="14">
        <f t="shared" si="919"/>
        <v>2417.8062963705634</v>
      </c>
      <c r="U183" s="37">
        <f t="shared" si="920"/>
        <v>-100</v>
      </c>
      <c r="V183" s="38">
        <f t="shared" ref="V183:W183" si="1145">V182</f>
        <v>21.3</v>
      </c>
      <c r="W183" s="124">
        <f t="shared" si="1145"/>
        <v>1.0960000000000001</v>
      </c>
      <c r="X183" s="124">
        <f t="shared" si="1072"/>
        <v>1.0880000000000001</v>
      </c>
      <c r="Y183" s="41"/>
      <c r="Z183" s="41"/>
      <c r="AA183" s="90">
        <f t="shared" ref="AA183:AB183" si="1146">AA182</f>
        <v>5.01</v>
      </c>
      <c r="AB183" s="73" t="str">
        <f t="shared" si="1146"/>
        <v>11,15,880</v>
      </c>
      <c r="AC183" s="11" t="str">
        <f t="shared" si="923"/>
        <v>11</v>
      </c>
      <c r="AD183" s="11" t="str">
        <f t="shared" si="924"/>
        <v>15,880</v>
      </c>
      <c r="AE183" s="11">
        <f t="shared" si="925"/>
        <v>0.18774444444444444</v>
      </c>
      <c r="AF183" s="14">
        <f t="shared" si="926"/>
        <v>26.685210392377346</v>
      </c>
      <c r="AG183" s="39">
        <f t="shared" si="927"/>
        <v>-100</v>
      </c>
      <c r="AH183" s="38">
        <f t="shared" si="1080"/>
        <v>18.399999999999999</v>
      </c>
      <c r="AI183" s="124">
        <f t="shared" si="1080"/>
        <v>1.0980000000000001</v>
      </c>
      <c r="AJ183" s="124">
        <f t="shared" si="1080"/>
        <v>1.087</v>
      </c>
      <c r="AK183" s="41">
        <f t="shared" si="928"/>
        <v>0</v>
      </c>
      <c r="AL183" s="41"/>
      <c r="AM183" s="34">
        <f t="shared" ref="AM183:AN183" si="1147">AM182</f>
        <v>2.0049999999999999</v>
      </c>
      <c r="AN183" s="33" t="str">
        <f t="shared" si="1147"/>
        <v>7,19,050</v>
      </c>
      <c r="AO183" s="11" t="str">
        <f t="shared" si="930"/>
        <v>7,</v>
      </c>
      <c r="AP183" s="11" t="str">
        <f t="shared" si="931"/>
        <v>19,050</v>
      </c>
      <c r="AQ183" s="11">
        <f t="shared" si="932"/>
        <v>0.12195833333333334</v>
      </c>
      <c r="AR183" s="14">
        <f t="shared" si="933"/>
        <v>16.44004099760847</v>
      </c>
      <c r="AS183" s="39">
        <f t="shared" si="934"/>
        <v>-100</v>
      </c>
      <c r="AT183" s="40" t="str">
        <f t="shared" si="935"/>
        <v>NO CONFORME</v>
      </c>
      <c r="AU183" s="8" t="b">
        <f t="shared" si="857"/>
        <v>1</v>
      </c>
      <c r="AV183" s="8" t="b">
        <f t="shared" si="858"/>
        <v>0</v>
      </c>
      <c r="AW183" s="8" t="b">
        <f t="shared" si="859"/>
        <v>1</v>
      </c>
      <c r="AX183" s="8" t="str">
        <f t="shared" si="860"/>
        <v>Qcorrecto</v>
      </c>
      <c r="AY183" s="22" t="str">
        <f t="shared" si="840"/>
        <v>aceptable</v>
      </c>
      <c r="AZ183" s="22" t="str">
        <f t="shared" si="841"/>
        <v>aceptable</v>
      </c>
      <c r="BA183" s="22" t="str">
        <f t="shared" si="861"/>
        <v>aceptable</v>
      </c>
      <c r="BB183" s="25" t="str">
        <f t="shared" si="862"/>
        <v>NO CONFORME</v>
      </c>
      <c r="BC183" s="5" t="str">
        <f t="shared" si="863"/>
        <v>NO CONFORME</v>
      </c>
      <c r="BD183" s="15">
        <f t="shared" si="842"/>
        <v>-1</v>
      </c>
      <c r="BE183" s="15">
        <f t="shared" si="843"/>
        <v>-1</v>
      </c>
      <c r="BF183" s="15">
        <f t="shared" si="844"/>
        <v>-1</v>
      </c>
      <c r="BG183" s="15" t="str">
        <f t="shared" si="845"/>
        <v>-1-1-1</v>
      </c>
      <c r="BH183" s="15" t="str">
        <f t="shared" si="846"/>
        <v>SD</v>
      </c>
      <c r="BI183" s="15" t="str">
        <f t="shared" si="847"/>
        <v>SI</v>
      </c>
      <c r="BJ183" s="15" t="b">
        <f t="shared" si="848"/>
        <v>1</v>
      </c>
      <c r="BK183" s="15" t="str">
        <f t="shared" si="849"/>
        <v>SIGIGUALES</v>
      </c>
      <c r="BL183" s="22" t="str">
        <f t="shared" si="850"/>
        <v>NO CONFORME</v>
      </c>
    </row>
    <row r="184" spans="1:64" ht="14.4" x14ac:dyDescent="0.3">
      <c r="A184" s="91">
        <v>176</v>
      </c>
      <c r="B184" s="28">
        <f t="shared" ref="B184:E184" si="1148">B183</f>
        <v>45920</v>
      </c>
      <c r="C184" s="28">
        <f t="shared" si="1148"/>
        <v>45920</v>
      </c>
      <c r="D184" s="12">
        <f t="shared" si="1148"/>
        <v>3</v>
      </c>
      <c r="E184" s="10">
        <f t="shared" si="1148"/>
        <v>8</v>
      </c>
      <c r="F184" s="13"/>
      <c r="G184" s="157"/>
      <c r="H184" s="70">
        <f t="shared" ref="H184:L184" si="1149">H183</f>
        <v>25.6</v>
      </c>
      <c r="I184" s="36">
        <f t="shared" si="1149"/>
        <v>0</v>
      </c>
      <c r="J184" s="35">
        <f t="shared" si="1149"/>
        <v>20.9</v>
      </c>
      <c r="K184" s="122">
        <f t="shared" si="1149"/>
        <v>8.4730000000000008</v>
      </c>
      <c r="L184" s="122">
        <f t="shared" si="1149"/>
        <v>0.52100000000000002</v>
      </c>
      <c r="M184" s="41"/>
      <c r="N184" s="41"/>
      <c r="O184" s="32">
        <f t="shared" ref="O184:P184" si="1150">O183</f>
        <v>100.48</v>
      </c>
      <c r="P184" s="168" t="str">
        <f t="shared" si="1150"/>
        <v>2,29,610</v>
      </c>
      <c r="Q184" s="11" t="str">
        <f t="shared" si="916"/>
        <v>2</v>
      </c>
      <c r="R184" s="11" t="str">
        <f t="shared" si="917"/>
        <v>29,610</v>
      </c>
      <c r="S184" s="11">
        <f t="shared" si="918"/>
        <v>4.1558333333333336E-2</v>
      </c>
      <c r="T184" s="14">
        <f t="shared" si="919"/>
        <v>2417.8062963705634</v>
      </c>
      <c r="U184" s="37">
        <f t="shared" si="920"/>
        <v>-100</v>
      </c>
      <c r="V184" s="38">
        <f t="shared" ref="V184:W184" si="1151">V183</f>
        <v>21.3</v>
      </c>
      <c r="W184" s="124">
        <f t="shared" si="1151"/>
        <v>1.0960000000000001</v>
      </c>
      <c r="X184" s="124">
        <f t="shared" si="1072"/>
        <v>1.0880000000000001</v>
      </c>
      <c r="Y184" s="41"/>
      <c r="Z184" s="41"/>
      <c r="AA184" s="90">
        <f t="shared" ref="AA184:AB184" si="1152">AA183</f>
        <v>5.01</v>
      </c>
      <c r="AB184" s="73" t="str">
        <f t="shared" si="1152"/>
        <v>11,15,880</v>
      </c>
      <c r="AC184" s="11" t="str">
        <f t="shared" si="923"/>
        <v>11</v>
      </c>
      <c r="AD184" s="11" t="str">
        <f t="shared" si="924"/>
        <v>15,880</v>
      </c>
      <c r="AE184" s="11">
        <f t="shared" si="925"/>
        <v>0.18774444444444444</v>
      </c>
      <c r="AF184" s="14">
        <f t="shared" si="926"/>
        <v>26.685210392377346</v>
      </c>
      <c r="AG184" s="39">
        <f t="shared" si="927"/>
        <v>-100</v>
      </c>
      <c r="AH184" s="38">
        <f t="shared" si="1080"/>
        <v>18.399999999999999</v>
      </c>
      <c r="AI184" s="124">
        <f t="shared" si="1080"/>
        <v>1.0980000000000001</v>
      </c>
      <c r="AJ184" s="124">
        <f t="shared" si="1080"/>
        <v>1.087</v>
      </c>
      <c r="AK184" s="41">
        <f t="shared" si="928"/>
        <v>0</v>
      </c>
      <c r="AL184" s="41"/>
      <c r="AM184" s="34">
        <f t="shared" ref="AM184:AN184" si="1153">AM183</f>
        <v>2.0049999999999999</v>
      </c>
      <c r="AN184" s="33" t="str">
        <f t="shared" si="1153"/>
        <v>7,19,050</v>
      </c>
      <c r="AO184" s="11" t="str">
        <f t="shared" si="930"/>
        <v>7,</v>
      </c>
      <c r="AP184" s="11" t="str">
        <f t="shared" si="931"/>
        <v>19,050</v>
      </c>
      <c r="AQ184" s="11">
        <f t="shared" si="932"/>
        <v>0.12195833333333334</v>
      </c>
      <c r="AR184" s="14">
        <f t="shared" si="933"/>
        <v>16.44004099760847</v>
      </c>
      <c r="AS184" s="39">
        <f t="shared" si="934"/>
        <v>-100</v>
      </c>
      <c r="AT184" s="40" t="str">
        <f t="shared" si="935"/>
        <v>NO CONFORME</v>
      </c>
      <c r="AU184" s="8" t="b">
        <f t="shared" si="857"/>
        <v>1</v>
      </c>
      <c r="AV184" s="8" t="b">
        <f t="shared" si="858"/>
        <v>0</v>
      </c>
      <c r="AW184" s="8" t="b">
        <f t="shared" si="859"/>
        <v>1</v>
      </c>
      <c r="AX184" s="8" t="str">
        <f t="shared" si="860"/>
        <v>Qcorrecto</v>
      </c>
      <c r="AY184" s="22" t="str">
        <f t="shared" si="840"/>
        <v>aceptable</v>
      </c>
      <c r="AZ184" s="22" t="str">
        <f t="shared" si="841"/>
        <v>aceptable</v>
      </c>
      <c r="BA184" s="22" t="str">
        <f t="shared" si="861"/>
        <v>aceptable</v>
      </c>
      <c r="BB184" s="25" t="str">
        <f t="shared" si="862"/>
        <v>NO CONFORME</v>
      </c>
      <c r="BC184" s="5" t="str">
        <f t="shared" si="863"/>
        <v>NO CONFORME</v>
      </c>
      <c r="BD184" s="15">
        <f t="shared" si="842"/>
        <v>-1</v>
      </c>
      <c r="BE184" s="15">
        <f t="shared" si="843"/>
        <v>-1</v>
      </c>
      <c r="BF184" s="15">
        <f t="shared" si="844"/>
        <v>-1</v>
      </c>
      <c r="BG184" s="15" t="str">
        <f t="shared" si="845"/>
        <v>-1-1-1</v>
      </c>
      <c r="BH184" s="15" t="str">
        <f t="shared" si="846"/>
        <v>SD</v>
      </c>
      <c r="BI184" s="15" t="str">
        <f t="shared" si="847"/>
        <v>SI</v>
      </c>
      <c r="BJ184" s="15" t="b">
        <f t="shared" si="848"/>
        <v>1</v>
      </c>
      <c r="BK184" s="15" t="str">
        <f t="shared" si="849"/>
        <v>SIGIGUALES</v>
      </c>
      <c r="BL184" s="22" t="str">
        <f t="shared" si="850"/>
        <v>NO CONFORME</v>
      </c>
    </row>
    <row r="185" spans="1:64" ht="14.4" x14ac:dyDescent="0.3">
      <c r="A185" s="91">
        <v>177</v>
      </c>
      <c r="B185" s="28">
        <f t="shared" ref="B185:E185" si="1154">B184</f>
        <v>45920</v>
      </c>
      <c r="C185" s="28">
        <f t="shared" si="1154"/>
        <v>45920</v>
      </c>
      <c r="D185" s="12">
        <f t="shared" si="1154"/>
        <v>3</v>
      </c>
      <c r="E185" s="10">
        <f t="shared" si="1154"/>
        <v>8</v>
      </c>
      <c r="F185" s="13"/>
      <c r="G185" s="157"/>
      <c r="H185" s="70">
        <f t="shared" ref="H185:L185" si="1155">H184</f>
        <v>25.6</v>
      </c>
      <c r="I185" s="36">
        <f t="shared" si="1155"/>
        <v>0</v>
      </c>
      <c r="J185" s="35">
        <f t="shared" si="1155"/>
        <v>20.9</v>
      </c>
      <c r="K185" s="122">
        <f t="shared" si="1155"/>
        <v>8.4730000000000008</v>
      </c>
      <c r="L185" s="122">
        <f t="shared" si="1155"/>
        <v>0.52100000000000002</v>
      </c>
      <c r="M185" s="41"/>
      <c r="N185" s="41"/>
      <c r="O185" s="32">
        <f t="shared" ref="O185:P185" si="1156">O184</f>
        <v>100.48</v>
      </c>
      <c r="P185" s="168" t="str">
        <f t="shared" si="1156"/>
        <v>2,29,610</v>
      </c>
      <c r="Q185" s="11" t="str">
        <f t="shared" si="916"/>
        <v>2</v>
      </c>
      <c r="R185" s="11" t="str">
        <f t="shared" si="917"/>
        <v>29,610</v>
      </c>
      <c r="S185" s="11">
        <f t="shared" si="918"/>
        <v>4.1558333333333336E-2</v>
      </c>
      <c r="T185" s="14">
        <f t="shared" si="919"/>
        <v>2417.8062963705634</v>
      </c>
      <c r="U185" s="37">
        <f t="shared" si="920"/>
        <v>-100</v>
      </c>
      <c r="V185" s="38">
        <f t="shared" ref="V185:W185" si="1157">V184</f>
        <v>21.3</v>
      </c>
      <c r="W185" s="124">
        <f t="shared" si="1157"/>
        <v>1.0960000000000001</v>
      </c>
      <c r="X185" s="124">
        <f t="shared" si="1072"/>
        <v>1.0880000000000001</v>
      </c>
      <c r="Y185" s="41"/>
      <c r="Z185" s="41"/>
      <c r="AA185" s="90">
        <f t="shared" ref="AA185:AB185" si="1158">AA184</f>
        <v>5.01</v>
      </c>
      <c r="AB185" s="73" t="str">
        <f t="shared" si="1158"/>
        <v>11,15,880</v>
      </c>
      <c r="AC185" s="11" t="str">
        <f t="shared" si="923"/>
        <v>11</v>
      </c>
      <c r="AD185" s="11" t="str">
        <f t="shared" si="924"/>
        <v>15,880</v>
      </c>
      <c r="AE185" s="11">
        <f t="shared" si="925"/>
        <v>0.18774444444444444</v>
      </c>
      <c r="AF185" s="14">
        <f t="shared" si="926"/>
        <v>26.685210392377346</v>
      </c>
      <c r="AG185" s="39">
        <f t="shared" si="927"/>
        <v>-100</v>
      </c>
      <c r="AH185" s="38">
        <f t="shared" si="1080"/>
        <v>18.399999999999999</v>
      </c>
      <c r="AI185" s="124">
        <f t="shared" si="1080"/>
        <v>1.0980000000000001</v>
      </c>
      <c r="AJ185" s="124">
        <f t="shared" si="1080"/>
        <v>1.087</v>
      </c>
      <c r="AK185" s="41">
        <f t="shared" si="928"/>
        <v>0</v>
      </c>
      <c r="AL185" s="41"/>
      <c r="AM185" s="34">
        <f t="shared" ref="AM185:AN185" si="1159">AM184</f>
        <v>2.0049999999999999</v>
      </c>
      <c r="AN185" s="33" t="str">
        <f t="shared" si="1159"/>
        <v>7,19,050</v>
      </c>
      <c r="AO185" s="11" t="str">
        <f t="shared" si="930"/>
        <v>7,</v>
      </c>
      <c r="AP185" s="11" t="str">
        <f t="shared" si="931"/>
        <v>19,050</v>
      </c>
      <c r="AQ185" s="11">
        <f t="shared" si="932"/>
        <v>0.12195833333333334</v>
      </c>
      <c r="AR185" s="14">
        <f t="shared" si="933"/>
        <v>16.44004099760847</v>
      </c>
      <c r="AS185" s="39">
        <f t="shared" si="934"/>
        <v>-100</v>
      </c>
      <c r="AT185" s="40" t="str">
        <f t="shared" si="935"/>
        <v>NO CONFORME</v>
      </c>
      <c r="AU185" s="8" t="b">
        <f t="shared" si="857"/>
        <v>1</v>
      </c>
      <c r="AV185" s="8" t="b">
        <f t="shared" si="858"/>
        <v>0</v>
      </c>
      <c r="AW185" s="8" t="b">
        <f t="shared" si="859"/>
        <v>1</v>
      </c>
      <c r="AX185" s="8" t="str">
        <f t="shared" si="860"/>
        <v>Qcorrecto</v>
      </c>
      <c r="AY185" s="22" t="str">
        <f t="shared" si="840"/>
        <v>aceptable</v>
      </c>
      <c r="AZ185" s="22" t="str">
        <f t="shared" si="841"/>
        <v>aceptable</v>
      </c>
      <c r="BA185" s="22" t="str">
        <f t="shared" si="861"/>
        <v>aceptable</v>
      </c>
      <c r="BB185" s="25" t="str">
        <f t="shared" si="862"/>
        <v>NO CONFORME</v>
      </c>
      <c r="BC185" s="5" t="str">
        <f t="shared" si="863"/>
        <v>NO CONFORME</v>
      </c>
      <c r="BD185" s="15">
        <f t="shared" si="842"/>
        <v>-1</v>
      </c>
      <c r="BE185" s="15">
        <f t="shared" si="843"/>
        <v>-1</v>
      </c>
      <c r="BF185" s="15">
        <f t="shared" si="844"/>
        <v>-1</v>
      </c>
      <c r="BG185" s="15" t="str">
        <f t="shared" si="845"/>
        <v>-1-1-1</v>
      </c>
      <c r="BH185" s="15" t="str">
        <f t="shared" si="846"/>
        <v>SD</v>
      </c>
      <c r="BI185" s="15" t="str">
        <f t="shared" si="847"/>
        <v>SI</v>
      </c>
      <c r="BJ185" s="15" t="b">
        <f t="shared" si="848"/>
        <v>1</v>
      </c>
      <c r="BK185" s="15" t="str">
        <f t="shared" si="849"/>
        <v>SIGIGUALES</v>
      </c>
      <c r="BL185" s="22" t="str">
        <f t="shared" si="850"/>
        <v>NO CONFORME</v>
      </c>
    </row>
    <row r="186" spans="1:64" ht="14.4" x14ac:dyDescent="0.3">
      <c r="A186" s="91">
        <v>178</v>
      </c>
      <c r="B186" s="28">
        <f t="shared" ref="B186:E186" si="1160">B185</f>
        <v>45920</v>
      </c>
      <c r="C186" s="28">
        <f t="shared" si="1160"/>
        <v>45920</v>
      </c>
      <c r="D186" s="12">
        <f t="shared" si="1160"/>
        <v>3</v>
      </c>
      <c r="E186" s="10">
        <f t="shared" si="1160"/>
        <v>8</v>
      </c>
      <c r="F186" s="13"/>
      <c r="G186" s="157"/>
      <c r="H186" s="70">
        <f t="shared" ref="H186:L186" si="1161">H185</f>
        <v>25.6</v>
      </c>
      <c r="I186" s="36">
        <f t="shared" si="1161"/>
        <v>0</v>
      </c>
      <c r="J186" s="35">
        <f t="shared" si="1161"/>
        <v>20.9</v>
      </c>
      <c r="K186" s="122">
        <f t="shared" si="1161"/>
        <v>8.4730000000000008</v>
      </c>
      <c r="L186" s="122">
        <f t="shared" si="1161"/>
        <v>0.52100000000000002</v>
      </c>
      <c r="M186" s="41"/>
      <c r="N186" s="41"/>
      <c r="O186" s="32">
        <f t="shared" ref="O186:P186" si="1162">O185</f>
        <v>100.48</v>
      </c>
      <c r="P186" s="168" t="str">
        <f t="shared" si="1162"/>
        <v>2,29,610</v>
      </c>
      <c r="Q186" s="11" t="str">
        <f t="shared" si="916"/>
        <v>2</v>
      </c>
      <c r="R186" s="11" t="str">
        <f t="shared" si="917"/>
        <v>29,610</v>
      </c>
      <c r="S186" s="11">
        <f t="shared" si="918"/>
        <v>4.1558333333333336E-2</v>
      </c>
      <c r="T186" s="14">
        <f t="shared" si="919"/>
        <v>2417.8062963705634</v>
      </c>
      <c r="U186" s="37">
        <f t="shared" si="920"/>
        <v>-100</v>
      </c>
      <c r="V186" s="38">
        <f t="shared" ref="V186:W186" si="1163">V185</f>
        <v>21.3</v>
      </c>
      <c r="W186" s="124">
        <f t="shared" si="1163"/>
        <v>1.0960000000000001</v>
      </c>
      <c r="X186" s="124">
        <f t="shared" si="1072"/>
        <v>1.0880000000000001</v>
      </c>
      <c r="Y186" s="41"/>
      <c r="Z186" s="41"/>
      <c r="AA186" s="90">
        <f t="shared" ref="AA186:AB186" si="1164">AA185</f>
        <v>5.01</v>
      </c>
      <c r="AB186" s="73" t="str">
        <f t="shared" si="1164"/>
        <v>11,15,880</v>
      </c>
      <c r="AC186" s="11" t="str">
        <f t="shared" si="923"/>
        <v>11</v>
      </c>
      <c r="AD186" s="11" t="str">
        <f t="shared" si="924"/>
        <v>15,880</v>
      </c>
      <c r="AE186" s="11">
        <f t="shared" si="925"/>
        <v>0.18774444444444444</v>
      </c>
      <c r="AF186" s="14">
        <f t="shared" si="926"/>
        <v>26.685210392377346</v>
      </c>
      <c r="AG186" s="39">
        <f t="shared" si="927"/>
        <v>-100</v>
      </c>
      <c r="AH186" s="38">
        <f t="shared" si="1080"/>
        <v>18.399999999999999</v>
      </c>
      <c r="AI186" s="124">
        <f t="shared" si="1080"/>
        <v>1.0980000000000001</v>
      </c>
      <c r="AJ186" s="124">
        <f t="shared" si="1080"/>
        <v>1.087</v>
      </c>
      <c r="AK186" s="41">
        <f t="shared" si="928"/>
        <v>0</v>
      </c>
      <c r="AL186" s="41"/>
      <c r="AM186" s="34">
        <f t="shared" ref="AM186:AN186" si="1165">AM185</f>
        <v>2.0049999999999999</v>
      </c>
      <c r="AN186" s="33" t="str">
        <f t="shared" si="1165"/>
        <v>7,19,050</v>
      </c>
      <c r="AO186" s="11" t="str">
        <f t="shared" si="930"/>
        <v>7,</v>
      </c>
      <c r="AP186" s="11" t="str">
        <f t="shared" si="931"/>
        <v>19,050</v>
      </c>
      <c r="AQ186" s="11">
        <f t="shared" si="932"/>
        <v>0.12195833333333334</v>
      </c>
      <c r="AR186" s="14">
        <f t="shared" si="933"/>
        <v>16.44004099760847</v>
      </c>
      <c r="AS186" s="39">
        <f t="shared" si="934"/>
        <v>-100</v>
      </c>
      <c r="AT186" s="40" t="str">
        <f t="shared" si="935"/>
        <v>NO CONFORME</v>
      </c>
      <c r="AU186" s="8" t="b">
        <f t="shared" si="857"/>
        <v>1</v>
      </c>
      <c r="AV186" s="8" t="b">
        <f t="shared" si="858"/>
        <v>0</v>
      </c>
      <c r="AW186" s="8" t="b">
        <f t="shared" si="859"/>
        <v>1</v>
      </c>
      <c r="AX186" s="8" t="str">
        <f t="shared" si="860"/>
        <v>Qcorrecto</v>
      </c>
      <c r="AY186" s="22" t="str">
        <f t="shared" si="840"/>
        <v>aceptable</v>
      </c>
      <c r="AZ186" s="22" t="str">
        <f t="shared" si="841"/>
        <v>aceptable</v>
      </c>
      <c r="BA186" s="22" t="str">
        <f t="shared" si="861"/>
        <v>aceptable</v>
      </c>
      <c r="BB186" s="25" t="str">
        <f t="shared" si="862"/>
        <v>NO CONFORME</v>
      </c>
      <c r="BC186" s="5" t="str">
        <f t="shared" si="863"/>
        <v>NO CONFORME</v>
      </c>
      <c r="BD186" s="15">
        <f t="shared" si="842"/>
        <v>-1</v>
      </c>
      <c r="BE186" s="15">
        <f t="shared" si="843"/>
        <v>-1</v>
      </c>
      <c r="BF186" s="15">
        <f t="shared" si="844"/>
        <v>-1</v>
      </c>
      <c r="BG186" s="15" t="str">
        <f t="shared" si="845"/>
        <v>-1-1-1</v>
      </c>
      <c r="BH186" s="15" t="str">
        <f t="shared" si="846"/>
        <v>SD</v>
      </c>
      <c r="BI186" s="15" t="str">
        <f t="shared" si="847"/>
        <v>SI</v>
      </c>
      <c r="BJ186" s="15" t="b">
        <f t="shared" si="848"/>
        <v>1</v>
      </c>
      <c r="BK186" s="15" t="str">
        <f t="shared" si="849"/>
        <v>SIGIGUALES</v>
      </c>
      <c r="BL186" s="22" t="str">
        <f t="shared" si="850"/>
        <v>NO CONFORME</v>
      </c>
    </row>
    <row r="187" spans="1:64" ht="14.4" x14ac:dyDescent="0.3">
      <c r="A187" s="91">
        <v>179</v>
      </c>
      <c r="B187" s="28">
        <f t="shared" ref="B187:E187" si="1166">B186</f>
        <v>45920</v>
      </c>
      <c r="C187" s="28">
        <f t="shared" si="1166"/>
        <v>45920</v>
      </c>
      <c r="D187" s="12">
        <f t="shared" si="1166"/>
        <v>3</v>
      </c>
      <c r="E187" s="10">
        <f t="shared" si="1166"/>
        <v>8</v>
      </c>
      <c r="F187" s="13"/>
      <c r="G187" s="157"/>
      <c r="H187" s="70">
        <f t="shared" ref="H187:L187" si="1167">H186</f>
        <v>25.6</v>
      </c>
      <c r="I187" s="36">
        <f t="shared" si="1167"/>
        <v>0</v>
      </c>
      <c r="J187" s="35">
        <f t="shared" si="1167"/>
        <v>20.9</v>
      </c>
      <c r="K187" s="122">
        <f t="shared" si="1167"/>
        <v>8.4730000000000008</v>
      </c>
      <c r="L187" s="122">
        <f t="shared" si="1167"/>
        <v>0.52100000000000002</v>
      </c>
      <c r="M187" s="41"/>
      <c r="N187" s="41"/>
      <c r="O187" s="32">
        <f t="shared" ref="O187:P187" si="1168">O186</f>
        <v>100.48</v>
      </c>
      <c r="P187" s="168" t="str">
        <f t="shared" si="1168"/>
        <v>2,29,610</v>
      </c>
      <c r="Q187" s="11" t="str">
        <f t="shared" si="916"/>
        <v>2</v>
      </c>
      <c r="R187" s="11" t="str">
        <f t="shared" si="917"/>
        <v>29,610</v>
      </c>
      <c r="S187" s="11">
        <f t="shared" si="918"/>
        <v>4.1558333333333336E-2</v>
      </c>
      <c r="T187" s="14">
        <f t="shared" si="919"/>
        <v>2417.8062963705634</v>
      </c>
      <c r="U187" s="37">
        <f t="shared" si="920"/>
        <v>-100</v>
      </c>
      <c r="V187" s="38">
        <f t="shared" ref="V187:X202" si="1169">V186</f>
        <v>21.3</v>
      </c>
      <c r="W187" s="124">
        <f t="shared" si="1169"/>
        <v>1.0960000000000001</v>
      </c>
      <c r="X187" s="124">
        <f t="shared" si="1169"/>
        <v>1.0880000000000001</v>
      </c>
      <c r="Y187" s="41"/>
      <c r="Z187" s="41"/>
      <c r="AA187" s="90">
        <f t="shared" ref="AA187:AB187" si="1170">AA186</f>
        <v>5.01</v>
      </c>
      <c r="AB187" s="73" t="str">
        <f t="shared" si="1170"/>
        <v>11,15,880</v>
      </c>
      <c r="AC187" s="11" t="str">
        <f t="shared" si="923"/>
        <v>11</v>
      </c>
      <c r="AD187" s="11" t="str">
        <f t="shared" si="924"/>
        <v>15,880</v>
      </c>
      <c r="AE187" s="11">
        <f t="shared" si="925"/>
        <v>0.18774444444444444</v>
      </c>
      <c r="AF187" s="14">
        <f t="shared" si="926"/>
        <v>26.685210392377346</v>
      </c>
      <c r="AG187" s="39">
        <f t="shared" si="927"/>
        <v>-100</v>
      </c>
      <c r="AH187" s="38">
        <f t="shared" si="1080"/>
        <v>18.399999999999999</v>
      </c>
      <c r="AI187" s="124">
        <f t="shared" si="1080"/>
        <v>1.0980000000000001</v>
      </c>
      <c r="AJ187" s="124">
        <f t="shared" si="1080"/>
        <v>1.087</v>
      </c>
      <c r="AK187" s="41">
        <f t="shared" si="928"/>
        <v>0</v>
      </c>
      <c r="AL187" s="41"/>
      <c r="AM187" s="34">
        <f t="shared" ref="AM187:AN187" si="1171">AM186</f>
        <v>2.0049999999999999</v>
      </c>
      <c r="AN187" s="33" t="str">
        <f t="shared" si="1171"/>
        <v>7,19,050</v>
      </c>
      <c r="AO187" s="11" t="str">
        <f t="shared" si="930"/>
        <v>7,</v>
      </c>
      <c r="AP187" s="11" t="str">
        <f t="shared" si="931"/>
        <v>19,050</v>
      </c>
      <c r="AQ187" s="11">
        <f t="shared" si="932"/>
        <v>0.12195833333333334</v>
      </c>
      <c r="AR187" s="14">
        <f t="shared" si="933"/>
        <v>16.44004099760847</v>
      </c>
      <c r="AS187" s="39">
        <f t="shared" si="934"/>
        <v>-100</v>
      </c>
      <c r="AT187" s="40" t="str">
        <f t="shared" si="935"/>
        <v>NO CONFORME</v>
      </c>
      <c r="AU187" s="8" t="b">
        <f t="shared" si="857"/>
        <v>1</v>
      </c>
      <c r="AV187" s="8" t="b">
        <f t="shared" si="858"/>
        <v>0</v>
      </c>
      <c r="AW187" s="8" t="b">
        <f t="shared" si="859"/>
        <v>1</v>
      </c>
      <c r="AX187" s="8" t="str">
        <f t="shared" si="860"/>
        <v>Qcorrecto</v>
      </c>
      <c r="AY187" s="22" t="str">
        <f t="shared" si="840"/>
        <v>aceptable</v>
      </c>
      <c r="AZ187" s="22" t="str">
        <f t="shared" si="841"/>
        <v>aceptable</v>
      </c>
      <c r="BA187" s="22" t="str">
        <f t="shared" si="861"/>
        <v>aceptable</v>
      </c>
      <c r="BB187" s="25" t="str">
        <f t="shared" si="862"/>
        <v>NO CONFORME</v>
      </c>
      <c r="BC187" s="5" t="str">
        <f t="shared" si="863"/>
        <v>NO CONFORME</v>
      </c>
      <c r="BD187" s="15">
        <f t="shared" si="842"/>
        <v>-1</v>
      </c>
      <c r="BE187" s="15">
        <f t="shared" si="843"/>
        <v>-1</v>
      </c>
      <c r="BF187" s="15">
        <f t="shared" si="844"/>
        <v>-1</v>
      </c>
      <c r="BG187" s="15" t="str">
        <f t="shared" si="845"/>
        <v>-1-1-1</v>
      </c>
      <c r="BH187" s="15" t="str">
        <f t="shared" si="846"/>
        <v>SD</v>
      </c>
      <c r="BI187" s="15" t="str">
        <f t="shared" si="847"/>
        <v>SI</v>
      </c>
      <c r="BJ187" s="15" t="b">
        <f t="shared" si="848"/>
        <v>1</v>
      </c>
      <c r="BK187" s="15" t="str">
        <f t="shared" si="849"/>
        <v>SIGIGUALES</v>
      </c>
      <c r="BL187" s="22" t="str">
        <f t="shared" si="850"/>
        <v>NO CONFORME</v>
      </c>
    </row>
    <row r="188" spans="1:64" ht="14.4" x14ac:dyDescent="0.3">
      <c r="A188" s="91">
        <v>180</v>
      </c>
      <c r="B188" s="28">
        <f t="shared" ref="B188:E188" si="1172">B187</f>
        <v>45920</v>
      </c>
      <c r="C188" s="28">
        <f t="shared" si="1172"/>
        <v>45920</v>
      </c>
      <c r="D188" s="12">
        <f t="shared" si="1172"/>
        <v>3</v>
      </c>
      <c r="E188" s="10">
        <f t="shared" si="1172"/>
        <v>8</v>
      </c>
      <c r="F188" s="13"/>
      <c r="G188" s="157"/>
      <c r="H188" s="70">
        <f t="shared" ref="H188:L188" si="1173">H187</f>
        <v>25.6</v>
      </c>
      <c r="I188" s="36">
        <f t="shared" si="1173"/>
        <v>0</v>
      </c>
      <c r="J188" s="35">
        <f t="shared" si="1173"/>
        <v>20.9</v>
      </c>
      <c r="K188" s="122">
        <f t="shared" si="1173"/>
        <v>8.4730000000000008</v>
      </c>
      <c r="L188" s="122">
        <f t="shared" si="1173"/>
        <v>0.52100000000000002</v>
      </c>
      <c r="M188" s="41"/>
      <c r="N188" s="41"/>
      <c r="O188" s="32">
        <f t="shared" ref="O188:P188" si="1174">O187</f>
        <v>100.48</v>
      </c>
      <c r="P188" s="168" t="str">
        <f t="shared" si="1174"/>
        <v>2,29,610</v>
      </c>
      <c r="Q188" s="11" t="str">
        <f t="shared" si="916"/>
        <v>2</v>
      </c>
      <c r="R188" s="11" t="str">
        <f t="shared" si="917"/>
        <v>29,610</v>
      </c>
      <c r="S188" s="11">
        <f t="shared" si="918"/>
        <v>4.1558333333333336E-2</v>
      </c>
      <c r="T188" s="14">
        <f t="shared" si="919"/>
        <v>2417.8062963705634</v>
      </c>
      <c r="U188" s="37">
        <f t="shared" si="920"/>
        <v>-100</v>
      </c>
      <c r="V188" s="38">
        <f t="shared" ref="V188:W188" si="1175">V187</f>
        <v>21.3</v>
      </c>
      <c r="W188" s="124">
        <f t="shared" si="1175"/>
        <v>1.0960000000000001</v>
      </c>
      <c r="X188" s="124">
        <f t="shared" si="1169"/>
        <v>1.0880000000000001</v>
      </c>
      <c r="Y188" s="41"/>
      <c r="Z188" s="41"/>
      <c r="AA188" s="90">
        <f t="shared" ref="AA188:AB188" si="1176">AA187</f>
        <v>5.01</v>
      </c>
      <c r="AB188" s="73" t="str">
        <f t="shared" si="1176"/>
        <v>11,15,880</v>
      </c>
      <c r="AC188" s="11" t="str">
        <f t="shared" si="923"/>
        <v>11</v>
      </c>
      <c r="AD188" s="11" t="str">
        <f t="shared" si="924"/>
        <v>15,880</v>
      </c>
      <c r="AE188" s="11">
        <f t="shared" si="925"/>
        <v>0.18774444444444444</v>
      </c>
      <c r="AF188" s="14">
        <f t="shared" si="926"/>
        <v>26.685210392377346</v>
      </c>
      <c r="AG188" s="39">
        <f t="shared" si="927"/>
        <v>-100</v>
      </c>
      <c r="AH188" s="38">
        <f t="shared" ref="AH188:AJ203" si="1177">AH187</f>
        <v>18.399999999999999</v>
      </c>
      <c r="AI188" s="124">
        <f t="shared" si="1177"/>
        <v>1.0980000000000001</v>
      </c>
      <c r="AJ188" s="124">
        <f t="shared" si="1177"/>
        <v>1.087</v>
      </c>
      <c r="AK188" s="41">
        <f t="shared" si="928"/>
        <v>0</v>
      </c>
      <c r="AL188" s="41"/>
      <c r="AM188" s="34">
        <f t="shared" ref="AM188:AN188" si="1178">AM187</f>
        <v>2.0049999999999999</v>
      </c>
      <c r="AN188" s="33" t="str">
        <f t="shared" si="1178"/>
        <v>7,19,050</v>
      </c>
      <c r="AO188" s="11" t="str">
        <f t="shared" si="930"/>
        <v>7,</v>
      </c>
      <c r="AP188" s="11" t="str">
        <f t="shared" si="931"/>
        <v>19,050</v>
      </c>
      <c r="AQ188" s="11">
        <f t="shared" si="932"/>
        <v>0.12195833333333334</v>
      </c>
      <c r="AR188" s="14">
        <f t="shared" si="933"/>
        <v>16.44004099760847</v>
      </c>
      <c r="AS188" s="39">
        <f t="shared" si="934"/>
        <v>-100</v>
      </c>
      <c r="AT188" s="40" t="str">
        <f t="shared" si="935"/>
        <v>NO CONFORME</v>
      </c>
      <c r="AU188" s="8" t="b">
        <f t="shared" si="857"/>
        <v>1</v>
      </c>
      <c r="AV188" s="8" t="b">
        <f t="shared" si="858"/>
        <v>0</v>
      </c>
      <c r="AW188" s="8" t="b">
        <f t="shared" si="859"/>
        <v>1</v>
      </c>
      <c r="AX188" s="8" t="str">
        <f t="shared" si="860"/>
        <v>Qcorrecto</v>
      </c>
      <c r="AY188" s="22" t="str">
        <f t="shared" si="840"/>
        <v>aceptable</v>
      </c>
      <c r="AZ188" s="22" t="str">
        <f t="shared" si="841"/>
        <v>aceptable</v>
      </c>
      <c r="BA188" s="22" t="str">
        <f t="shared" si="861"/>
        <v>aceptable</v>
      </c>
      <c r="BB188" s="25" t="str">
        <f t="shared" si="862"/>
        <v>NO CONFORME</v>
      </c>
      <c r="BC188" s="5" t="str">
        <f t="shared" si="863"/>
        <v>NO CONFORME</v>
      </c>
      <c r="BD188" s="15">
        <f t="shared" si="842"/>
        <v>-1</v>
      </c>
      <c r="BE188" s="15">
        <f t="shared" si="843"/>
        <v>-1</v>
      </c>
      <c r="BF188" s="15">
        <f t="shared" si="844"/>
        <v>-1</v>
      </c>
      <c r="BG188" s="15" t="str">
        <f t="shared" si="845"/>
        <v>-1-1-1</v>
      </c>
      <c r="BH188" s="15" t="str">
        <f t="shared" si="846"/>
        <v>SD</v>
      </c>
      <c r="BI188" s="15" t="str">
        <f t="shared" si="847"/>
        <v>SI</v>
      </c>
      <c r="BJ188" s="15" t="b">
        <f t="shared" si="848"/>
        <v>1</v>
      </c>
      <c r="BK188" s="15" t="str">
        <f t="shared" si="849"/>
        <v>SIGIGUALES</v>
      </c>
      <c r="BL188" s="22" t="str">
        <f t="shared" si="850"/>
        <v>NO CONFORME</v>
      </c>
    </row>
    <row r="189" spans="1:64" ht="14.4" x14ac:dyDescent="0.3">
      <c r="A189" s="91">
        <v>181</v>
      </c>
      <c r="B189" s="28">
        <f t="shared" ref="B189:E189" si="1179">B188</f>
        <v>45920</v>
      </c>
      <c r="C189" s="28">
        <f t="shared" si="1179"/>
        <v>45920</v>
      </c>
      <c r="D189" s="12">
        <f t="shared" si="1179"/>
        <v>3</v>
      </c>
      <c r="E189" s="10">
        <f t="shared" si="1179"/>
        <v>8</v>
      </c>
      <c r="F189" s="13"/>
      <c r="G189" s="157"/>
      <c r="H189" s="70">
        <f t="shared" ref="H189:L189" si="1180">H188</f>
        <v>25.6</v>
      </c>
      <c r="I189" s="36">
        <f t="shared" si="1180"/>
        <v>0</v>
      </c>
      <c r="J189" s="35">
        <f t="shared" si="1180"/>
        <v>20.9</v>
      </c>
      <c r="K189" s="122">
        <f t="shared" si="1180"/>
        <v>8.4730000000000008</v>
      </c>
      <c r="L189" s="122">
        <f t="shared" si="1180"/>
        <v>0.52100000000000002</v>
      </c>
      <c r="M189" s="41"/>
      <c r="N189" s="41"/>
      <c r="O189" s="32">
        <f t="shared" ref="O189:P189" si="1181">O188</f>
        <v>100.48</v>
      </c>
      <c r="P189" s="168" t="str">
        <f t="shared" si="1181"/>
        <v>2,29,610</v>
      </c>
      <c r="Q189" s="11" t="str">
        <f t="shared" si="916"/>
        <v>2</v>
      </c>
      <c r="R189" s="11" t="str">
        <f t="shared" si="917"/>
        <v>29,610</v>
      </c>
      <c r="S189" s="11">
        <f t="shared" si="918"/>
        <v>4.1558333333333336E-2</v>
      </c>
      <c r="T189" s="14">
        <f t="shared" si="919"/>
        <v>2417.8062963705634</v>
      </c>
      <c r="U189" s="37">
        <f t="shared" si="920"/>
        <v>-100</v>
      </c>
      <c r="V189" s="38">
        <f t="shared" ref="V189:W189" si="1182">V188</f>
        <v>21.3</v>
      </c>
      <c r="W189" s="124">
        <f t="shared" si="1182"/>
        <v>1.0960000000000001</v>
      </c>
      <c r="X189" s="124">
        <f t="shared" si="1169"/>
        <v>1.0880000000000001</v>
      </c>
      <c r="Y189" s="41"/>
      <c r="Z189" s="41"/>
      <c r="AA189" s="90">
        <f t="shared" ref="AA189:AB189" si="1183">AA188</f>
        <v>5.01</v>
      </c>
      <c r="AB189" s="73" t="str">
        <f t="shared" si="1183"/>
        <v>11,15,880</v>
      </c>
      <c r="AC189" s="11" t="str">
        <f t="shared" si="923"/>
        <v>11</v>
      </c>
      <c r="AD189" s="11" t="str">
        <f t="shared" si="924"/>
        <v>15,880</v>
      </c>
      <c r="AE189" s="11">
        <f t="shared" si="925"/>
        <v>0.18774444444444444</v>
      </c>
      <c r="AF189" s="14">
        <f t="shared" si="926"/>
        <v>26.685210392377346</v>
      </c>
      <c r="AG189" s="39">
        <f t="shared" si="927"/>
        <v>-100</v>
      </c>
      <c r="AH189" s="38">
        <f t="shared" si="1177"/>
        <v>18.399999999999999</v>
      </c>
      <c r="AI189" s="124">
        <f t="shared" si="1177"/>
        <v>1.0980000000000001</v>
      </c>
      <c r="AJ189" s="124">
        <f t="shared" si="1177"/>
        <v>1.087</v>
      </c>
      <c r="AK189" s="41">
        <f t="shared" si="928"/>
        <v>0</v>
      </c>
      <c r="AL189" s="41"/>
      <c r="AM189" s="34">
        <f t="shared" ref="AM189:AN189" si="1184">AM188</f>
        <v>2.0049999999999999</v>
      </c>
      <c r="AN189" s="33" t="str">
        <f t="shared" si="1184"/>
        <v>7,19,050</v>
      </c>
      <c r="AO189" s="11" t="str">
        <f t="shared" si="930"/>
        <v>7,</v>
      </c>
      <c r="AP189" s="11" t="str">
        <f t="shared" si="931"/>
        <v>19,050</v>
      </c>
      <c r="AQ189" s="11">
        <f t="shared" si="932"/>
        <v>0.12195833333333334</v>
      </c>
      <c r="AR189" s="14">
        <f t="shared" si="933"/>
        <v>16.44004099760847</v>
      </c>
      <c r="AS189" s="39">
        <f t="shared" si="934"/>
        <v>-100</v>
      </c>
      <c r="AT189" s="40" t="str">
        <f t="shared" si="935"/>
        <v>NO CONFORME</v>
      </c>
      <c r="AU189" s="8" t="b">
        <f t="shared" si="857"/>
        <v>1</v>
      </c>
      <c r="AV189" s="8" t="b">
        <f t="shared" si="858"/>
        <v>0</v>
      </c>
      <c r="AW189" s="8" t="b">
        <f t="shared" si="859"/>
        <v>1</v>
      </c>
      <c r="AX189" s="8" t="str">
        <f t="shared" si="860"/>
        <v>Qcorrecto</v>
      </c>
      <c r="AY189" s="22" t="str">
        <f t="shared" si="840"/>
        <v>aceptable</v>
      </c>
      <c r="AZ189" s="22" t="str">
        <f t="shared" si="841"/>
        <v>aceptable</v>
      </c>
      <c r="BA189" s="22" t="str">
        <f t="shared" si="861"/>
        <v>aceptable</v>
      </c>
      <c r="BB189" s="25" t="str">
        <f t="shared" si="862"/>
        <v>NO CONFORME</v>
      </c>
      <c r="BC189" s="5" t="str">
        <f t="shared" si="863"/>
        <v>NO CONFORME</v>
      </c>
      <c r="BD189" s="15">
        <f t="shared" si="842"/>
        <v>-1</v>
      </c>
      <c r="BE189" s="15">
        <f t="shared" si="843"/>
        <v>-1</v>
      </c>
      <c r="BF189" s="15">
        <f t="shared" si="844"/>
        <v>-1</v>
      </c>
      <c r="BG189" s="15" t="str">
        <f t="shared" si="845"/>
        <v>-1-1-1</v>
      </c>
      <c r="BH189" s="15" t="str">
        <f t="shared" si="846"/>
        <v>SD</v>
      </c>
      <c r="BI189" s="15" t="str">
        <f t="shared" si="847"/>
        <v>SI</v>
      </c>
      <c r="BJ189" s="15" t="b">
        <f t="shared" si="848"/>
        <v>1</v>
      </c>
      <c r="BK189" s="15" t="str">
        <f t="shared" si="849"/>
        <v>SIGIGUALES</v>
      </c>
      <c r="BL189" s="22" t="str">
        <f t="shared" si="850"/>
        <v>NO CONFORME</v>
      </c>
    </row>
    <row r="190" spans="1:64" ht="14.4" x14ac:dyDescent="0.3">
      <c r="A190" s="91">
        <v>182</v>
      </c>
      <c r="B190" s="28">
        <f t="shared" ref="B190:E190" si="1185">B189</f>
        <v>45920</v>
      </c>
      <c r="C190" s="28">
        <f t="shared" si="1185"/>
        <v>45920</v>
      </c>
      <c r="D190" s="12">
        <f t="shared" si="1185"/>
        <v>3</v>
      </c>
      <c r="E190" s="10">
        <f t="shared" si="1185"/>
        <v>8</v>
      </c>
      <c r="F190" s="13"/>
      <c r="G190" s="157"/>
      <c r="H190" s="70">
        <f t="shared" ref="H190:L190" si="1186">H189</f>
        <v>25.6</v>
      </c>
      <c r="I190" s="36">
        <f t="shared" si="1186"/>
        <v>0</v>
      </c>
      <c r="J190" s="35">
        <f t="shared" si="1186"/>
        <v>20.9</v>
      </c>
      <c r="K190" s="122">
        <f t="shared" si="1186"/>
        <v>8.4730000000000008</v>
      </c>
      <c r="L190" s="122">
        <f t="shared" si="1186"/>
        <v>0.52100000000000002</v>
      </c>
      <c r="M190" s="41"/>
      <c r="N190" s="41"/>
      <c r="O190" s="32">
        <f t="shared" ref="O190:P190" si="1187">O189</f>
        <v>100.48</v>
      </c>
      <c r="P190" s="168" t="str">
        <f t="shared" si="1187"/>
        <v>2,29,610</v>
      </c>
      <c r="Q190" s="11" t="str">
        <f t="shared" si="916"/>
        <v>2</v>
      </c>
      <c r="R190" s="11" t="str">
        <f t="shared" si="917"/>
        <v>29,610</v>
      </c>
      <c r="S190" s="11">
        <f t="shared" si="918"/>
        <v>4.1558333333333336E-2</v>
      </c>
      <c r="T190" s="14">
        <f t="shared" si="919"/>
        <v>2417.8062963705634</v>
      </c>
      <c r="U190" s="37">
        <f t="shared" si="920"/>
        <v>-100</v>
      </c>
      <c r="V190" s="38">
        <f t="shared" ref="V190:W190" si="1188">V189</f>
        <v>21.3</v>
      </c>
      <c r="W190" s="124">
        <f t="shared" si="1188"/>
        <v>1.0960000000000001</v>
      </c>
      <c r="X190" s="124">
        <f t="shared" si="1169"/>
        <v>1.0880000000000001</v>
      </c>
      <c r="Y190" s="41"/>
      <c r="Z190" s="41"/>
      <c r="AA190" s="90">
        <f t="shared" ref="AA190:AB190" si="1189">AA189</f>
        <v>5.01</v>
      </c>
      <c r="AB190" s="73" t="str">
        <f t="shared" si="1189"/>
        <v>11,15,880</v>
      </c>
      <c r="AC190" s="11" t="str">
        <f t="shared" si="923"/>
        <v>11</v>
      </c>
      <c r="AD190" s="11" t="str">
        <f t="shared" si="924"/>
        <v>15,880</v>
      </c>
      <c r="AE190" s="11">
        <f t="shared" si="925"/>
        <v>0.18774444444444444</v>
      </c>
      <c r="AF190" s="14">
        <f t="shared" si="926"/>
        <v>26.685210392377346</v>
      </c>
      <c r="AG190" s="39">
        <f t="shared" si="927"/>
        <v>-100</v>
      </c>
      <c r="AH190" s="38">
        <f t="shared" si="1177"/>
        <v>18.399999999999999</v>
      </c>
      <c r="AI190" s="124">
        <f t="shared" si="1177"/>
        <v>1.0980000000000001</v>
      </c>
      <c r="AJ190" s="124">
        <f t="shared" si="1177"/>
        <v>1.087</v>
      </c>
      <c r="AK190" s="41">
        <f t="shared" si="928"/>
        <v>0</v>
      </c>
      <c r="AL190" s="41"/>
      <c r="AM190" s="34">
        <f t="shared" ref="AM190:AN190" si="1190">AM189</f>
        <v>2.0049999999999999</v>
      </c>
      <c r="AN190" s="33" t="str">
        <f t="shared" si="1190"/>
        <v>7,19,050</v>
      </c>
      <c r="AO190" s="11" t="str">
        <f t="shared" si="930"/>
        <v>7,</v>
      </c>
      <c r="AP190" s="11" t="str">
        <f t="shared" si="931"/>
        <v>19,050</v>
      </c>
      <c r="AQ190" s="11">
        <f t="shared" si="932"/>
        <v>0.12195833333333334</v>
      </c>
      <c r="AR190" s="14">
        <f t="shared" si="933"/>
        <v>16.44004099760847</v>
      </c>
      <c r="AS190" s="39">
        <f t="shared" si="934"/>
        <v>-100</v>
      </c>
      <c r="AT190" s="40" t="str">
        <f t="shared" si="935"/>
        <v>NO CONFORME</v>
      </c>
      <c r="AU190" s="8" t="b">
        <f t="shared" si="857"/>
        <v>1</v>
      </c>
      <c r="AV190" s="8" t="b">
        <f t="shared" si="858"/>
        <v>0</v>
      </c>
      <c r="AW190" s="8" t="b">
        <f t="shared" si="859"/>
        <v>1</v>
      </c>
      <c r="AX190" s="8" t="str">
        <f t="shared" si="860"/>
        <v>Qcorrecto</v>
      </c>
      <c r="AY190" s="22" t="str">
        <f t="shared" si="840"/>
        <v>aceptable</v>
      </c>
      <c r="AZ190" s="22" t="str">
        <f t="shared" si="841"/>
        <v>aceptable</v>
      </c>
      <c r="BA190" s="22" t="str">
        <f t="shared" si="861"/>
        <v>aceptable</v>
      </c>
      <c r="BB190" s="25" t="str">
        <f t="shared" si="862"/>
        <v>NO CONFORME</v>
      </c>
      <c r="BC190" s="5" t="str">
        <f t="shared" si="863"/>
        <v>NO CONFORME</v>
      </c>
      <c r="BD190" s="15">
        <f t="shared" si="842"/>
        <v>-1</v>
      </c>
      <c r="BE190" s="15">
        <f t="shared" si="843"/>
        <v>-1</v>
      </c>
      <c r="BF190" s="15">
        <f t="shared" si="844"/>
        <v>-1</v>
      </c>
      <c r="BG190" s="15" t="str">
        <f t="shared" si="845"/>
        <v>-1-1-1</v>
      </c>
      <c r="BH190" s="15" t="str">
        <f t="shared" si="846"/>
        <v>SD</v>
      </c>
      <c r="BI190" s="15" t="str">
        <f t="shared" si="847"/>
        <v>SI</v>
      </c>
      <c r="BJ190" s="15" t="b">
        <f t="shared" si="848"/>
        <v>1</v>
      </c>
      <c r="BK190" s="15" t="str">
        <f t="shared" si="849"/>
        <v>SIGIGUALES</v>
      </c>
      <c r="BL190" s="22" t="str">
        <f t="shared" si="850"/>
        <v>NO CONFORME</v>
      </c>
    </row>
    <row r="191" spans="1:64" ht="14.4" x14ac:dyDescent="0.3">
      <c r="A191" s="91">
        <v>183</v>
      </c>
      <c r="B191" s="28">
        <f t="shared" ref="B191:E191" si="1191">B190</f>
        <v>45920</v>
      </c>
      <c r="C191" s="28">
        <f t="shared" si="1191"/>
        <v>45920</v>
      </c>
      <c r="D191" s="12">
        <f t="shared" si="1191"/>
        <v>3</v>
      </c>
      <c r="E191" s="10">
        <f t="shared" si="1191"/>
        <v>8</v>
      </c>
      <c r="F191" s="13"/>
      <c r="G191" s="157"/>
      <c r="H191" s="70">
        <f t="shared" ref="H191:L191" si="1192">H190</f>
        <v>25.6</v>
      </c>
      <c r="I191" s="36">
        <f t="shared" si="1192"/>
        <v>0</v>
      </c>
      <c r="J191" s="35">
        <f t="shared" si="1192"/>
        <v>20.9</v>
      </c>
      <c r="K191" s="122">
        <f t="shared" si="1192"/>
        <v>8.4730000000000008</v>
      </c>
      <c r="L191" s="122">
        <f t="shared" si="1192"/>
        <v>0.52100000000000002</v>
      </c>
      <c r="M191" s="41"/>
      <c r="N191" s="41"/>
      <c r="O191" s="32">
        <f t="shared" ref="O191:P191" si="1193">O190</f>
        <v>100.48</v>
      </c>
      <c r="P191" s="168" t="str">
        <f t="shared" si="1193"/>
        <v>2,29,610</v>
      </c>
      <c r="Q191" s="11" t="str">
        <f t="shared" si="916"/>
        <v>2</v>
      </c>
      <c r="R191" s="11" t="str">
        <f t="shared" si="917"/>
        <v>29,610</v>
      </c>
      <c r="S191" s="11">
        <f t="shared" si="918"/>
        <v>4.1558333333333336E-2</v>
      </c>
      <c r="T191" s="14">
        <f t="shared" si="919"/>
        <v>2417.8062963705634</v>
      </c>
      <c r="U191" s="37">
        <f t="shared" si="920"/>
        <v>-100</v>
      </c>
      <c r="V191" s="38">
        <f t="shared" ref="V191:W191" si="1194">V190</f>
        <v>21.3</v>
      </c>
      <c r="W191" s="124">
        <f t="shared" si="1194"/>
        <v>1.0960000000000001</v>
      </c>
      <c r="X191" s="124">
        <f t="shared" si="1169"/>
        <v>1.0880000000000001</v>
      </c>
      <c r="Y191" s="41"/>
      <c r="Z191" s="41"/>
      <c r="AA191" s="90">
        <f t="shared" ref="AA191:AB191" si="1195">AA190</f>
        <v>5.01</v>
      </c>
      <c r="AB191" s="73" t="str">
        <f t="shared" si="1195"/>
        <v>11,15,880</v>
      </c>
      <c r="AC191" s="11" t="str">
        <f t="shared" si="923"/>
        <v>11</v>
      </c>
      <c r="AD191" s="11" t="str">
        <f t="shared" si="924"/>
        <v>15,880</v>
      </c>
      <c r="AE191" s="11">
        <f t="shared" si="925"/>
        <v>0.18774444444444444</v>
      </c>
      <c r="AF191" s="14">
        <f t="shared" si="926"/>
        <v>26.685210392377346</v>
      </c>
      <c r="AG191" s="39">
        <f t="shared" si="927"/>
        <v>-100</v>
      </c>
      <c r="AH191" s="38">
        <f t="shared" si="1177"/>
        <v>18.399999999999999</v>
      </c>
      <c r="AI191" s="124">
        <f t="shared" si="1177"/>
        <v>1.0980000000000001</v>
      </c>
      <c r="AJ191" s="124">
        <f t="shared" si="1177"/>
        <v>1.087</v>
      </c>
      <c r="AK191" s="41">
        <f t="shared" si="928"/>
        <v>0</v>
      </c>
      <c r="AL191" s="41"/>
      <c r="AM191" s="34">
        <f t="shared" ref="AM191:AN191" si="1196">AM190</f>
        <v>2.0049999999999999</v>
      </c>
      <c r="AN191" s="33" t="str">
        <f t="shared" si="1196"/>
        <v>7,19,050</v>
      </c>
      <c r="AO191" s="11" t="str">
        <f t="shared" si="930"/>
        <v>7,</v>
      </c>
      <c r="AP191" s="11" t="str">
        <f t="shared" si="931"/>
        <v>19,050</v>
      </c>
      <c r="AQ191" s="11">
        <f t="shared" si="932"/>
        <v>0.12195833333333334</v>
      </c>
      <c r="AR191" s="14">
        <f t="shared" si="933"/>
        <v>16.44004099760847</v>
      </c>
      <c r="AS191" s="39">
        <f t="shared" si="934"/>
        <v>-100</v>
      </c>
      <c r="AT191" s="40" t="str">
        <f t="shared" si="935"/>
        <v>NO CONFORME</v>
      </c>
      <c r="AU191" s="8" t="b">
        <f t="shared" si="857"/>
        <v>1</v>
      </c>
      <c r="AV191" s="8" t="b">
        <f t="shared" si="858"/>
        <v>0</v>
      </c>
      <c r="AW191" s="8" t="b">
        <f t="shared" si="859"/>
        <v>1</v>
      </c>
      <c r="AX191" s="8" t="str">
        <f t="shared" si="860"/>
        <v>Qcorrecto</v>
      </c>
      <c r="AY191" s="22" t="str">
        <f t="shared" si="840"/>
        <v>aceptable</v>
      </c>
      <c r="AZ191" s="22" t="str">
        <f t="shared" si="841"/>
        <v>aceptable</v>
      </c>
      <c r="BA191" s="22" t="str">
        <f t="shared" si="861"/>
        <v>aceptable</v>
      </c>
      <c r="BB191" s="25" t="str">
        <f t="shared" si="862"/>
        <v>NO CONFORME</v>
      </c>
      <c r="BC191" s="5" t="str">
        <f t="shared" si="863"/>
        <v>NO CONFORME</v>
      </c>
      <c r="BD191" s="15">
        <f t="shared" si="842"/>
        <v>-1</v>
      </c>
      <c r="BE191" s="15">
        <f t="shared" si="843"/>
        <v>-1</v>
      </c>
      <c r="BF191" s="15">
        <f t="shared" si="844"/>
        <v>-1</v>
      </c>
      <c r="BG191" s="15" t="str">
        <f t="shared" si="845"/>
        <v>-1-1-1</v>
      </c>
      <c r="BH191" s="15" t="str">
        <f t="shared" si="846"/>
        <v>SD</v>
      </c>
      <c r="BI191" s="15" t="str">
        <f t="shared" si="847"/>
        <v>SI</v>
      </c>
      <c r="BJ191" s="15" t="b">
        <f t="shared" si="848"/>
        <v>1</v>
      </c>
      <c r="BK191" s="15" t="str">
        <f t="shared" si="849"/>
        <v>SIGIGUALES</v>
      </c>
      <c r="BL191" s="22" t="str">
        <f t="shared" si="850"/>
        <v>NO CONFORME</v>
      </c>
    </row>
    <row r="192" spans="1:64" ht="14.4" x14ac:dyDescent="0.3">
      <c r="A192" s="91">
        <v>184</v>
      </c>
      <c r="B192" s="28">
        <f t="shared" ref="B192:E192" si="1197">B191</f>
        <v>45920</v>
      </c>
      <c r="C192" s="28">
        <f t="shared" si="1197"/>
        <v>45920</v>
      </c>
      <c r="D192" s="12">
        <f t="shared" si="1197"/>
        <v>3</v>
      </c>
      <c r="E192" s="10">
        <f t="shared" si="1197"/>
        <v>8</v>
      </c>
      <c r="F192" s="13"/>
      <c r="G192" s="157"/>
      <c r="H192" s="70">
        <f t="shared" ref="H192:L192" si="1198">H191</f>
        <v>25.6</v>
      </c>
      <c r="I192" s="36">
        <f t="shared" si="1198"/>
        <v>0</v>
      </c>
      <c r="J192" s="35">
        <f t="shared" si="1198"/>
        <v>20.9</v>
      </c>
      <c r="K192" s="122">
        <f t="shared" si="1198"/>
        <v>8.4730000000000008</v>
      </c>
      <c r="L192" s="122">
        <f t="shared" si="1198"/>
        <v>0.52100000000000002</v>
      </c>
      <c r="M192" s="41"/>
      <c r="N192" s="41"/>
      <c r="O192" s="32">
        <f t="shared" ref="O192:P192" si="1199">O191</f>
        <v>100.48</v>
      </c>
      <c r="P192" s="168" t="str">
        <f t="shared" si="1199"/>
        <v>2,29,610</v>
      </c>
      <c r="Q192" s="11" t="str">
        <f t="shared" si="916"/>
        <v>2</v>
      </c>
      <c r="R192" s="11" t="str">
        <f t="shared" si="917"/>
        <v>29,610</v>
      </c>
      <c r="S192" s="11">
        <f t="shared" si="918"/>
        <v>4.1558333333333336E-2</v>
      </c>
      <c r="T192" s="14">
        <f t="shared" si="919"/>
        <v>2417.8062963705634</v>
      </c>
      <c r="U192" s="37">
        <f t="shared" si="920"/>
        <v>-100</v>
      </c>
      <c r="V192" s="38">
        <f t="shared" ref="V192:W192" si="1200">V191</f>
        <v>21.3</v>
      </c>
      <c r="W192" s="124">
        <f t="shared" si="1200"/>
        <v>1.0960000000000001</v>
      </c>
      <c r="X192" s="124">
        <f t="shared" si="1169"/>
        <v>1.0880000000000001</v>
      </c>
      <c r="Y192" s="41"/>
      <c r="Z192" s="41"/>
      <c r="AA192" s="90">
        <f t="shared" ref="AA192:AB192" si="1201">AA191</f>
        <v>5.01</v>
      </c>
      <c r="AB192" s="73" t="str">
        <f t="shared" si="1201"/>
        <v>11,15,880</v>
      </c>
      <c r="AC192" s="11" t="str">
        <f t="shared" si="923"/>
        <v>11</v>
      </c>
      <c r="AD192" s="11" t="str">
        <f t="shared" si="924"/>
        <v>15,880</v>
      </c>
      <c r="AE192" s="11">
        <f t="shared" si="925"/>
        <v>0.18774444444444444</v>
      </c>
      <c r="AF192" s="14">
        <f t="shared" si="926"/>
        <v>26.685210392377346</v>
      </c>
      <c r="AG192" s="39">
        <f t="shared" si="927"/>
        <v>-100</v>
      </c>
      <c r="AH192" s="38">
        <f t="shared" si="1177"/>
        <v>18.399999999999999</v>
      </c>
      <c r="AI192" s="124">
        <f t="shared" si="1177"/>
        <v>1.0980000000000001</v>
      </c>
      <c r="AJ192" s="124">
        <f t="shared" si="1177"/>
        <v>1.087</v>
      </c>
      <c r="AK192" s="41">
        <f t="shared" si="928"/>
        <v>0</v>
      </c>
      <c r="AL192" s="41"/>
      <c r="AM192" s="34">
        <f t="shared" ref="AM192:AN192" si="1202">AM191</f>
        <v>2.0049999999999999</v>
      </c>
      <c r="AN192" s="33" t="str">
        <f t="shared" si="1202"/>
        <v>7,19,050</v>
      </c>
      <c r="AO192" s="11" t="str">
        <f t="shared" si="930"/>
        <v>7,</v>
      </c>
      <c r="AP192" s="11" t="str">
        <f t="shared" si="931"/>
        <v>19,050</v>
      </c>
      <c r="AQ192" s="11">
        <f t="shared" si="932"/>
        <v>0.12195833333333334</v>
      </c>
      <c r="AR192" s="14">
        <f t="shared" si="933"/>
        <v>16.44004099760847</v>
      </c>
      <c r="AS192" s="39">
        <f t="shared" si="934"/>
        <v>-100</v>
      </c>
      <c r="AT192" s="40" t="str">
        <f t="shared" si="935"/>
        <v>NO CONFORME</v>
      </c>
      <c r="AU192" s="8" t="b">
        <f t="shared" si="857"/>
        <v>1</v>
      </c>
      <c r="AV192" s="8" t="b">
        <f t="shared" si="858"/>
        <v>0</v>
      </c>
      <c r="AW192" s="8" t="b">
        <f t="shared" si="859"/>
        <v>1</v>
      </c>
      <c r="AX192" s="8" t="str">
        <f t="shared" si="860"/>
        <v>Qcorrecto</v>
      </c>
      <c r="AY192" s="22" t="str">
        <f t="shared" si="840"/>
        <v>aceptable</v>
      </c>
      <c r="AZ192" s="22" t="str">
        <f t="shared" si="841"/>
        <v>aceptable</v>
      </c>
      <c r="BA192" s="22" t="str">
        <f t="shared" si="861"/>
        <v>aceptable</v>
      </c>
      <c r="BB192" s="25" t="str">
        <f t="shared" si="862"/>
        <v>NO CONFORME</v>
      </c>
      <c r="BC192" s="5" t="str">
        <f t="shared" si="863"/>
        <v>NO CONFORME</v>
      </c>
      <c r="BD192" s="15">
        <f t="shared" si="842"/>
        <v>-1</v>
      </c>
      <c r="BE192" s="15">
        <f t="shared" si="843"/>
        <v>-1</v>
      </c>
      <c r="BF192" s="15">
        <f t="shared" si="844"/>
        <v>-1</v>
      </c>
      <c r="BG192" s="15" t="str">
        <f t="shared" si="845"/>
        <v>-1-1-1</v>
      </c>
      <c r="BH192" s="15" t="str">
        <f t="shared" si="846"/>
        <v>SD</v>
      </c>
      <c r="BI192" s="15" t="str">
        <f t="shared" si="847"/>
        <v>SI</v>
      </c>
      <c r="BJ192" s="15" t="b">
        <f t="shared" si="848"/>
        <v>1</v>
      </c>
      <c r="BK192" s="15" t="str">
        <f t="shared" si="849"/>
        <v>SIGIGUALES</v>
      </c>
      <c r="BL192" s="22" t="str">
        <f t="shared" si="850"/>
        <v>NO CONFORME</v>
      </c>
    </row>
    <row r="193" spans="1:64" ht="14.4" x14ac:dyDescent="0.3">
      <c r="A193" s="91">
        <v>185</v>
      </c>
      <c r="B193" s="28">
        <f t="shared" ref="B193:E193" si="1203">B192</f>
        <v>45920</v>
      </c>
      <c r="C193" s="28">
        <f t="shared" si="1203"/>
        <v>45920</v>
      </c>
      <c r="D193" s="12">
        <f t="shared" si="1203"/>
        <v>3</v>
      </c>
      <c r="E193" s="10">
        <f t="shared" si="1203"/>
        <v>8</v>
      </c>
      <c r="F193" s="13"/>
      <c r="G193" s="157"/>
      <c r="H193" s="70">
        <f t="shared" ref="H193:L193" si="1204">H192</f>
        <v>25.6</v>
      </c>
      <c r="I193" s="36">
        <f t="shared" si="1204"/>
        <v>0</v>
      </c>
      <c r="J193" s="35">
        <f t="shared" si="1204"/>
        <v>20.9</v>
      </c>
      <c r="K193" s="122">
        <f t="shared" si="1204"/>
        <v>8.4730000000000008</v>
      </c>
      <c r="L193" s="122">
        <f t="shared" si="1204"/>
        <v>0.52100000000000002</v>
      </c>
      <c r="M193" s="41"/>
      <c r="N193" s="41"/>
      <c r="O193" s="32">
        <f t="shared" ref="O193:P193" si="1205">O192</f>
        <v>100.48</v>
      </c>
      <c r="P193" s="168" t="str">
        <f t="shared" si="1205"/>
        <v>2,29,610</v>
      </c>
      <c r="Q193" s="11" t="str">
        <f t="shared" si="916"/>
        <v>2</v>
      </c>
      <c r="R193" s="11" t="str">
        <f t="shared" si="917"/>
        <v>29,610</v>
      </c>
      <c r="S193" s="11">
        <f t="shared" si="918"/>
        <v>4.1558333333333336E-2</v>
      </c>
      <c r="T193" s="14">
        <f t="shared" si="919"/>
        <v>2417.8062963705634</v>
      </c>
      <c r="U193" s="37">
        <f t="shared" si="920"/>
        <v>-100</v>
      </c>
      <c r="V193" s="38">
        <f t="shared" ref="V193:W193" si="1206">V192</f>
        <v>21.3</v>
      </c>
      <c r="W193" s="124">
        <f t="shared" si="1206"/>
        <v>1.0960000000000001</v>
      </c>
      <c r="X193" s="124">
        <f t="shared" si="1169"/>
        <v>1.0880000000000001</v>
      </c>
      <c r="Y193" s="41"/>
      <c r="Z193" s="41"/>
      <c r="AA193" s="90">
        <f t="shared" ref="AA193:AB193" si="1207">AA192</f>
        <v>5.01</v>
      </c>
      <c r="AB193" s="73" t="str">
        <f t="shared" si="1207"/>
        <v>11,15,880</v>
      </c>
      <c r="AC193" s="11" t="str">
        <f t="shared" si="923"/>
        <v>11</v>
      </c>
      <c r="AD193" s="11" t="str">
        <f t="shared" si="924"/>
        <v>15,880</v>
      </c>
      <c r="AE193" s="11">
        <f t="shared" si="925"/>
        <v>0.18774444444444444</v>
      </c>
      <c r="AF193" s="14">
        <f t="shared" si="926"/>
        <v>26.685210392377346</v>
      </c>
      <c r="AG193" s="39">
        <f t="shared" si="927"/>
        <v>-100</v>
      </c>
      <c r="AH193" s="38">
        <f t="shared" si="1177"/>
        <v>18.399999999999999</v>
      </c>
      <c r="AI193" s="124">
        <f t="shared" si="1177"/>
        <v>1.0980000000000001</v>
      </c>
      <c r="AJ193" s="124">
        <f t="shared" si="1177"/>
        <v>1.087</v>
      </c>
      <c r="AK193" s="41">
        <f t="shared" si="928"/>
        <v>0</v>
      </c>
      <c r="AL193" s="41"/>
      <c r="AM193" s="34">
        <f t="shared" ref="AM193:AN193" si="1208">AM192</f>
        <v>2.0049999999999999</v>
      </c>
      <c r="AN193" s="33" t="str">
        <f t="shared" si="1208"/>
        <v>7,19,050</v>
      </c>
      <c r="AO193" s="11" t="str">
        <f t="shared" si="930"/>
        <v>7,</v>
      </c>
      <c r="AP193" s="11" t="str">
        <f t="shared" si="931"/>
        <v>19,050</v>
      </c>
      <c r="AQ193" s="11">
        <f t="shared" si="932"/>
        <v>0.12195833333333334</v>
      </c>
      <c r="AR193" s="14">
        <f t="shared" si="933"/>
        <v>16.44004099760847</v>
      </c>
      <c r="AS193" s="39">
        <f t="shared" si="934"/>
        <v>-100</v>
      </c>
      <c r="AT193" s="40" t="str">
        <f t="shared" si="935"/>
        <v>NO CONFORME</v>
      </c>
      <c r="AU193" s="8" t="b">
        <f t="shared" si="857"/>
        <v>1</v>
      </c>
      <c r="AV193" s="8" t="b">
        <f t="shared" si="858"/>
        <v>0</v>
      </c>
      <c r="AW193" s="8" t="b">
        <f t="shared" si="859"/>
        <v>1</v>
      </c>
      <c r="AX193" s="8" t="str">
        <f t="shared" si="860"/>
        <v>Qcorrecto</v>
      </c>
      <c r="AY193" s="22" t="str">
        <f t="shared" si="840"/>
        <v>aceptable</v>
      </c>
      <c r="AZ193" s="22" t="str">
        <f t="shared" si="841"/>
        <v>aceptable</v>
      </c>
      <c r="BA193" s="22" t="str">
        <f t="shared" si="861"/>
        <v>aceptable</v>
      </c>
      <c r="BB193" s="25" t="str">
        <f t="shared" si="862"/>
        <v>NO CONFORME</v>
      </c>
      <c r="BC193" s="5" t="str">
        <f t="shared" si="863"/>
        <v>NO CONFORME</v>
      </c>
      <c r="BD193" s="15">
        <f t="shared" si="842"/>
        <v>-1</v>
      </c>
      <c r="BE193" s="15">
        <f t="shared" si="843"/>
        <v>-1</v>
      </c>
      <c r="BF193" s="15">
        <f t="shared" si="844"/>
        <v>-1</v>
      </c>
      <c r="BG193" s="15" t="str">
        <f t="shared" si="845"/>
        <v>-1-1-1</v>
      </c>
      <c r="BH193" s="15" t="str">
        <f t="shared" si="846"/>
        <v>SD</v>
      </c>
      <c r="BI193" s="15" t="str">
        <f t="shared" si="847"/>
        <v>SI</v>
      </c>
      <c r="BJ193" s="15" t="b">
        <f t="shared" si="848"/>
        <v>1</v>
      </c>
      <c r="BK193" s="15" t="str">
        <f t="shared" si="849"/>
        <v>SIGIGUALES</v>
      </c>
      <c r="BL193" s="22" t="str">
        <f t="shared" si="850"/>
        <v>NO CONFORME</v>
      </c>
    </row>
    <row r="194" spans="1:64" ht="14.4" x14ac:dyDescent="0.3">
      <c r="A194" s="91">
        <v>186</v>
      </c>
      <c r="B194" s="28">
        <f t="shared" ref="B194:E194" si="1209">B193</f>
        <v>45920</v>
      </c>
      <c r="C194" s="28">
        <f t="shared" si="1209"/>
        <v>45920</v>
      </c>
      <c r="D194" s="12">
        <f t="shared" si="1209"/>
        <v>3</v>
      </c>
      <c r="E194" s="10">
        <f t="shared" si="1209"/>
        <v>8</v>
      </c>
      <c r="F194" s="13"/>
      <c r="G194" s="157"/>
      <c r="H194" s="70">
        <f t="shared" ref="H194:L194" si="1210">H193</f>
        <v>25.6</v>
      </c>
      <c r="I194" s="36">
        <f t="shared" si="1210"/>
        <v>0</v>
      </c>
      <c r="J194" s="35">
        <f t="shared" si="1210"/>
        <v>20.9</v>
      </c>
      <c r="K194" s="122">
        <f t="shared" si="1210"/>
        <v>8.4730000000000008</v>
      </c>
      <c r="L194" s="122">
        <f t="shared" si="1210"/>
        <v>0.52100000000000002</v>
      </c>
      <c r="M194" s="41"/>
      <c r="N194" s="41"/>
      <c r="O194" s="32">
        <f t="shared" ref="O194:P194" si="1211">O193</f>
        <v>100.48</v>
      </c>
      <c r="P194" s="168" t="str">
        <f t="shared" si="1211"/>
        <v>2,29,610</v>
      </c>
      <c r="Q194" s="11" t="str">
        <f t="shared" si="916"/>
        <v>2</v>
      </c>
      <c r="R194" s="11" t="str">
        <f t="shared" si="917"/>
        <v>29,610</v>
      </c>
      <c r="S194" s="11">
        <f t="shared" si="918"/>
        <v>4.1558333333333336E-2</v>
      </c>
      <c r="T194" s="14">
        <f t="shared" si="919"/>
        <v>2417.8062963705634</v>
      </c>
      <c r="U194" s="37">
        <f t="shared" si="920"/>
        <v>-100</v>
      </c>
      <c r="V194" s="38">
        <f t="shared" ref="V194:W194" si="1212">V193</f>
        <v>21.3</v>
      </c>
      <c r="W194" s="124">
        <f t="shared" si="1212"/>
        <v>1.0960000000000001</v>
      </c>
      <c r="X194" s="124">
        <f t="shared" si="1169"/>
        <v>1.0880000000000001</v>
      </c>
      <c r="Y194" s="41"/>
      <c r="Z194" s="41"/>
      <c r="AA194" s="90">
        <f t="shared" ref="AA194:AB194" si="1213">AA193</f>
        <v>5.01</v>
      </c>
      <c r="AB194" s="73" t="str">
        <f t="shared" si="1213"/>
        <v>11,15,880</v>
      </c>
      <c r="AC194" s="11" t="str">
        <f t="shared" si="923"/>
        <v>11</v>
      </c>
      <c r="AD194" s="11" t="str">
        <f t="shared" si="924"/>
        <v>15,880</v>
      </c>
      <c r="AE194" s="11">
        <f t="shared" si="925"/>
        <v>0.18774444444444444</v>
      </c>
      <c r="AF194" s="14">
        <f t="shared" si="926"/>
        <v>26.685210392377346</v>
      </c>
      <c r="AG194" s="39">
        <f t="shared" si="927"/>
        <v>-100</v>
      </c>
      <c r="AH194" s="38">
        <f t="shared" si="1177"/>
        <v>18.399999999999999</v>
      </c>
      <c r="AI194" s="124">
        <f t="shared" si="1177"/>
        <v>1.0980000000000001</v>
      </c>
      <c r="AJ194" s="124">
        <f t="shared" si="1177"/>
        <v>1.087</v>
      </c>
      <c r="AK194" s="41">
        <f t="shared" si="928"/>
        <v>0</v>
      </c>
      <c r="AL194" s="41"/>
      <c r="AM194" s="34">
        <f t="shared" ref="AM194:AN194" si="1214">AM193</f>
        <v>2.0049999999999999</v>
      </c>
      <c r="AN194" s="33" t="str">
        <f t="shared" si="1214"/>
        <v>7,19,050</v>
      </c>
      <c r="AO194" s="11" t="str">
        <f t="shared" si="930"/>
        <v>7,</v>
      </c>
      <c r="AP194" s="11" t="str">
        <f t="shared" si="931"/>
        <v>19,050</v>
      </c>
      <c r="AQ194" s="11">
        <f t="shared" si="932"/>
        <v>0.12195833333333334</v>
      </c>
      <c r="AR194" s="14">
        <f t="shared" si="933"/>
        <v>16.44004099760847</v>
      </c>
      <c r="AS194" s="39">
        <f t="shared" si="934"/>
        <v>-100</v>
      </c>
      <c r="AT194" s="40" t="str">
        <f t="shared" si="935"/>
        <v>NO CONFORME</v>
      </c>
      <c r="AU194" s="8" t="b">
        <f t="shared" si="857"/>
        <v>1</v>
      </c>
      <c r="AV194" s="8" t="b">
        <f t="shared" si="858"/>
        <v>0</v>
      </c>
      <c r="AW194" s="8" t="b">
        <f t="shared" si="859"/>
        <v>1</v>
      </c>
      <c r="AX194" s="8" t="str">
        <f t="shared" si="860"/>
        <v>Qcorrecto</v>
      </c>
      <c r="AY194" s="22" t="str">
        <f t="shared" si="840"/>
        <v>aceptable</v>
      </c>
      <c r="AZ194" s="22" t="str">
        <f t="shared" si="841"/>
        <v>aceptable</v>
      </c>
      <c r="BA194" s="22" t="str">
        <f t="shared" si="861"/>
        <v>aceptable</v>
      </c>
      <c r="BB194" s="25" t="str">
        <f t="shared" si="862"/>
        <v>NO CONFORME</v>
      </c>
      <c r="BC194" s="5" t="str">
        <f t="shared" si="863"/>
        <v>NO CONFORME</v>
      </c>
      <c r="BD194" s="15">
        <f t="shared" si="842"/>
        <v>-1</v>
      </c>
      <c r="BE194" s="15">
        <f t="shared" si="843"/>
        <v>-1</v>
      </c>
      <c r="BF194" s="15">
        <f t="shared" si="844"/>
        <v>-1</v>
      </c>
      <c r="BG194" s="15" t="str">
        <f t="shared" si="845"/>
        <v>-1-1-1</v>
      </c>
      <c r="BH194" s="15" t="str">
        <f t="shared" si="846"/>
        <v>SD</v>
      </c>
      <c r="BI194" s="15" t="str">
        <f t="shared" si="847"/>
        <v>SI</v>
      </c>
      <c r="BJ194" s="15" t="b">
        <f t="shared" si="848"/>
        <v>1</v>
      </c>
      <c r="BK194" s="15" t="str">
        <f t="shared" si="849"/>
        <v>SIGIGUALES</v>
      </c>
      <c r="BL194" s="22" t="str">
        <f t="shared" si="850"/>
        <v>NO CONFORME</v>
      </c>
    </row>
    <row r="195" spans="1:64" ht="14.4" x14ac:dyDescent="0.3">
      <c r="A195" s="91">
        <v>187</v>
      </c>
      <c r="B195" s="28">
        <f t="shared" ref="B195:E195" si="1215">B194</f>
        <v>45920</v>
      </c>
      <c r="C195" s="28">
        <f t="shared" si="1215"/>
        <v>45920</v>
      </c>
      <c r="D195" s="12">
        <f t="shared" si="1215"/>
        <v>3</v>
      </c>
      <c r="E195" s="10">
        <f t="shared" si="1215"/>
        <v>8</v>
      </c>
      <c r="F195" s="13"/>
      <c r="G195" s="157"/>
      <c r="H195" s="70">
        <f t="shared" ref="H195:L195" si="1216">H194</f>
        <v>25.6</v>
      </c>
      <c r="I195" s="36">
        <f t="shared" si="1216"/>
        <v>0</v>
      </c>
      <c r="J195" s="35">
        <f t="shared" si="1216"/>
        <v>20.9</v>
      </c>
      <c r="K195" s="122">
        <f t="shared" si="1216"/>
        <v>8.4730000000000008</v>
      </c>
      <c r="L195" s="122">
        <f t="shared" si="1216"/>
        <v>0.52100000000000002</v>
      </c>
      <c r="M195" s="41"/>
      <c r="N195" s="41"/>
      <c r="O195" s="32">
        <f t="shared" ref="O195:P195" si="1217">O194</f>
        <v>100.48</v>
      </c>
      <c r="P195" s="168" t="str">
        <f t="shared" si="1217"/>
        <v>2,29,610</v>
      </c>
      <c r="Q195" s="11" t="str">
        <f t="shared" si="916"/>
        <v>2</v>
      </c>
      <c r="R195" s="11" t="str">
        <f t="shared" si="917"/>
        <v>29,610</v>
      </c>
      <c r="S195" s="11">
        <f t="shared" si="918"/>
        <v>4.1558333333333336E-2</v>
      </c>
      <c r="T195" s="14">
        <f t="shared" si="919"/>
        <v>2417.8062963705634</v>
      </c>
      <c r="U195" s="37">
        <f t="shared" si="920"/>
        <v>-100</v>
      </c>
      <c r="V195" s="38">
        <f t="shared" ref="V195:W195" si="1218">V194</f>
        <v>21.3</v>
      </c>
      <c r="W195" s="124">
        <f t="shared" si="1218"/>
        <v>1.0960000000000001</v>
      </c>
      <c r="X195" s="124">
        <f t="shared" si="1169"/>
        <v>1.0880000000000001</v>
      </c>
      <c r="Y195" s="41"/>
      <c r="Z195" s="41"/>
      <c r="AA195" s="90">
        <f t="shared" ref="AA195:AB195" si="1219">AA194</f>
        <v>5.01</v>
      </c>
      <c r="AB195" s="73" t="str">
        <f t="shared" si="1219"/>
        <v>11,15,880</v>
      </c>
      <c r="AC195" s="11" t="str">
        <f t="shared" si="923"/>
        <v>11</v>
      </c>
      <c r="AD195" s="11" t="str">
        <f t="shared" si="924"/>
        <v>15,880</v>
      </c>
      <c r="AE195" s="11">
        <f t="shared" si="925"/>
        <v>0.18774444444444444</v>
      </c>
      <c r="AF195" s="14">
        <f t="shared" si="926"/>
        <v>26.685210392377346</v>
      </c>
      <c r="AG195" s="39">
        <f t="shared" si="927"/>
        <v>-100</v>
      </c>
      <c r="AH195" s="38">
        <f t="shared" si="1177"/>
        <v>18.399999999999999</v>
      </c>
      <c r="AI195" s="124">
        <f t="shared" si="1177"/>
        <v>1.0980000000000001</v>
      </c>
      <c r="AJ195" s="124">
        <f t="shared" si="1177"/>
        <v>1.087</v>
      </c>
      <c r="AK195" s="41">
        <f t="shared" si="928"/>
        <v>0</v>
      </c>
      <c r="AL195" s="41"/>
      <c r="AM195" s="34">
        <f t="shared" ref="AM195:AN195" si="1220">AM194</f>
        <v>2.0049999999999999</v>
      </c>
      <c r="AN195" s="33" t="str">
        <f t="shared" si="1220"/>
        <v>7,19,050</v>
      </c>
      <c r="AO195" s="11" t="str">
        <f t="shared" si="930"/>
        <v>7,</v>
      </c>
      <c r="AP195" s="11" t="str">
        <f t="shared" si="931"/>
        <v>19,050</v>
      </c>
      <c r="AQ195" s="11">
        <f t="shared" si="932"/>
        <v>0.12195833333333334</v>
      </c>
      <c r="AR195" s="14">
        <f t="shared" si="933"/>
        <v>16.44004099760847</v>
      </c>
      <c r="AS195" s="39">
        <f t="shared" si="934"/>
        <v>-100</v>
      </c>
      <c r="AT195" s="40" t="str">
        <f t="shared" si="935"/>
        <v>NO CONFORME</v>
      </c>
      <c r="AU195" s="8" t="b">
        <f t="shared" si="857"/>
        <v>1</v>
      </c>
      <c r="AV195" s="8" t="b">
        <f t="shared" si="858"/>
        <v>0</v>
      </c>
      <c r="AW195" s="8" t="b">
        <f t="shared" si="859"/>
        <v>1</v>
      </c>
      <c r="AX195" s="8" t="str">
        <f t="shared" si="860"/>
        <v>Qcorrecto</v>
      </c>
      <c r="AY195" s="22" t="str">
        <f t="shared" si="840"/>
        <v>aceptable</v>
      </c>
      <c r="AZ195" s="22" t="str">
        <f t="shared" si="841"/>
        <v>aceptable</v>
      </c>
      <c r="BA195" s="22" t="str">
        <f t="shared" si="861"/>
        <v>aceptable</v>
      </c>
      <c r="BB195" s="25" t="str">
        <f t="shared" si="862"/>
        <v>NO CONFORME</v>
      </c>
      <c r="BC195" s="5" t="str">
        <f t="shared" si="863"/>
        <v>NO CONFORME</v>
      </c>
      <c r="BD195" s="15">
        <f t="shared" si="842"/>
        <v>-1</v>
      </c>
      <c r="BE195" s="15">
        <f t="shared" si="843"/>
        <v>-1</v>
      </c>
      <c r="BF195" s="15">
        <f t="shared" si="844"/>
        <v>-1</v>
      </c>
      <c r="BG195" s="15" t="str">
        <f t="shared" si="845"/>
        <v>-1-1-1</v>
      </c>
      <c r="BH195" s="15" t="str">
        <f t="shared" si="846"/>
        <v>SD</v>
      </c>
      <c r="BI195" s="15" t="str">
        <f t="shared" si="847"/>
        <v>SI</v>
      </c>
      <c r="BJ195" s="15" t="b">
        <f t="shared" si="848"/>
        <v>1</v>
      </c>
      <c r="BK195" s="15" t="str">
        <f t="shared" si="849"/>
        <v>SIGIGUALES</v>
      </c>
      <c r="BL195" s="22" t="str">
        <f t="shared" si="850"/>
        <v>NO CONFORME</v>
      </c>
    </row>
    <row r="196" spans="1:64" ht="14.4" x14ac:dyDescent="0.3">
      <c r="A196" s="91">
        <v>188</v>
      </c>
      <c r="B196" s="28">
        <f t="shared" ref="B196:E196" si="1221">B195</f>
        <v>45920</v>
      </c>
      <c r="C196" s="28">
        <f t="shared" si="1221"/>
        <v>45920</v>
      </c>
      <c r="D196" s="12">
        <f t="shared" si="1221"/>
        <v>3</v>
      </c>
      <c r="E196" s="10">
        <f t="shared" si="1221"/>
        <v>8</v>
      </c>
      <c r="F196" s="13"/>
      <c r="G196" s="157"/>
      <c r="H196" s="70">
        <f t="shared" ref="H196:L196" si="1222">H195</f>
        <v>25.6</v>
      </c>
      <c r="I196" s="36">
        <f t="shared" si="1222"/>
        <v>0</v>
      </c>
      <c r="J196" s="35">
        <f t="shared" si="1222"/>
        <v>20.9</v>
      </c>
      <c r="K196" s="122">
        <f t="shared" si="1222"/>
        <v>8.4730000000000008</v>
      </c>
      <c r="L196" s="122">
        <f t="shared" si="1222"/>
        <v>0.52100000000000002</v>
      </c>
      <c r="M196" s="41"/>
      <c r="N196" s="41"/>
      <c r="O196" s="32">
        <f t="shared" ref="O196:P196" si="1223">O195</f>
        <v>100.48</v>
      </c>
      <c r="P196" s="168" t="str">
        <f t="shared" si="1223"/>
        <v>2,29,610</v>
      </c>
      <c r="Q196" s="11" t="str">
        <f t="shared" si="916"/>
        <v>2</v>
      </c>
      <c r="R196" s="11" t="str">
        <f t="shared" si="917"/>
        <v>29,610</v>
      </c>
      <c r="S196" s="11">
        <f t="shared" si="918"/>
        <v>4.1558333333333336E-2</v>
      </c>
      <c r="T196" s="14">
        <f t="shared" si="919"/>
        <v>2417.8062963705634</v>
      </c>
      <c r="U196" s="37">
        <f t="shared" si="920"/>
        <v>-100</v>
      </c>
      <c r="V196" s="38">
        <f t="shared" ref="V196:W196" si="1224">V195</f>
        <v>21.3</v>
      </c>
      <c r="W196" s="124">
        <f t="shared" si="1224"/>
        <v>1.0960000000000001</v>
      </c>
      <c r="X196" s="124">
        <f t="shared" si="1169"/>
        <v>1.0880000000000001</v>
      </c>
      <c r="Y196" s="41"/>
      <c r="Z196" s="41"/>
      <c r="AA196" s="90">
        <f t="shared" ref="AA196:AB196" si="1225">AA195</f>
        <v>5.01</v>
      </c>
      <c r="AB196" s="73" t="str">
        <f t="shared" si="1225"/>
        <v>11,15,880</v>
      </c>
      <c r="AC196" s="11" t="str">
        <f t="shared" si="923"/>
        <v>11</v>
      </c>
      <c r="AD196" s="11" t="str">
        <f t="shared" si="924"/>
        <v>15,880</v>
      </c>
      <c r="AE196" s="11">
        <f t="shared" si="925"/>
        <v>0.18774444444444444</v>
      </c>
      <c r="AF196" s="14">
        <f t="shared" si="926"/>
        <v>26.685210392377346</v>
      </c>
      <c r="AG196" s="39">
        <f t="shared" si="927"/>
        <v>-100</v>
      </c>
      <c r="AH196" s="38">
        <f t="shared" si="1177"/>
        <v>18.399999999999999</v>
      </c>
      <c r="AI196" s="124">
        <f t="shared" si="1177"/>
        <v>1.0980000000000001</v>
      </c>
      <c r="AJ196" s="124">
        <f t="shared" si="1177"/>
        <v>1.087</v>
      </c>
      <c r="AK196" s="41">
        <f t="shared" si="928"/>
        <v>0</v>
      </c>
      <c r="AL196" s="41"/>
      <c r="AM196" s="34">
        <f t="shared" ref="AM196:AN196" si="1226">AM195</f>
        <v>2.0049999999999999</v>
      </c>
      <c r="AN196" s="33" t="str">
        <f t="shared" si="1226"/>
        <v>7,19,050</v>
      </c>
      <c r="AO196" s="11" t="str">
        <f t="shared" si="930"/>
        <v>7,</v>
      </c>
      <c r="AP196" s="11" t="str">
        <f t="shared" si="931"/>
        <v>19,050</v>
      </c>
      <c r="AQ196" s="11">
        <f t="shared" si="932"/>
        <v>0.12195833333333334</v>
      </c>
      <c r="AR196" s="14">
        <f t="shared" si="933"/>
        <v>16.44004099760847</v>
      </c>
      <c r="AS196" s="39">
        <f t="shared" si="934"/>
        <v>-100</v>
      </c>
      <c r="AT196" s="40" t="str">
        <f t="shared" si="935"/>
        <v>NO CONFORME</v>
      </c>
      <c r="AU196" s="8" t="b">
        <f t="shared" si="857"/>
        <v>1</v>
      </c>
      <c r="AV196" s="8" t="b">
        <f t="shared" si="858"/>
        <v>0</v>
      </c>
      <c r="AW196" s="8" t="b">
        <f t="shared" si="859"/>
        <v>1</v>
      </c>
      <c r="AX196" s="8" t="str">
        <f t="shared" si="860"/>
        <v>Qcorrecto</v>
      </c>
      <c r="AY196" s="22" t="str">
        <f t="shared" si="840"/>
        <v>aceptable</v>
      </c>
      <c r="AZ196" s="22" t="str">
        <f t="shared" si="841"/>
        <v>aceptable</v>
      </c>
      <c r="BA196" s="22" t="str">
        <f t="shared" si="861"/>
        <v>aceptable</v>
      </c>
      <c r="BB196" s="25" t="str">
        <f t="shared" si="862"/>
        <v>NO CONFORME</v>
      </c>
      <c r="BC196" s="5" t="str">
        <f t="shared" si="863"/>
        <v>NO CONFORME</v>
      </c>
      <c r="BD196" s="15">
        <f t="shared" si="842"/>
        <v>-1</v>
      </c>
      <c r="BE196" s="15">
        <f t="shared" si="843"/>
        <v>-1</v>
      </c>
      <c r="BF196" s="15">
        <f t="shared" si="844"/>
        <v>-1</v>
      </c>
      <c r="BG196" s="15" t="str">
        <f t="shared" si="845"/>
        <v>-1-1-1</v>
      </c>
      <c r="BH196" s="15" t="str">
        <f t="shared" si="846"/>
        <v>SD</v>
      </c>
      <c r="BI196" s="15" t="str">
        <f t="shared" si="847"/>
        <v>SI</v>
      </c>
      <c r="BJ196" s="15" t="b">
        <f t="shared" si="848"/>
        <v>1</v>
      </c>
      <c r="BK196" s="15" t="str">
        <f t="shared" si="849"/>
        <v>SIGIGUALES</v>
      </c>
      <c r="BL196" s="22" t="str">
        <f t="shared" si="850"/>
        <v>NO CONFORME</v>
      </c>
    </row>
    <row r="197" spans="1:64" ht="14.4" x14ac:dyDescent="0.3">
      <c r="A197" s="91">
        <v>189</v>
      </c>
      <c r="B197" s="28">
        <f t="shared" ref="B197:E197" si="1227">B196</f>
        <v>45920</v>
      </c>
      <c r="C197" s="28">
        <f t="shared" si="1227"/>
        <v>45920</v>
      </c>
      <c r="D197" s="12">
        <f t="shared" si="1227"/>
        <v>3</v>
      </c>
      <c r="E197" s="10">
        <f t="shared" si="1227"/>
        <v>8</v>
      </c>
      <c r="F197" s="13"/>
      <c r="G197" s="157"/>
      <c r="H197" s="70">
        <f t="shared" ref="H197:L197" si="1228">H196</f>
        <v>25.6</v>
      </c>
      <c r="I197" s="36">
        <f t="shared" si="1228"/>
        <v>0</v>
      </c>
      <c r="J197" s="35">
        <f t="shared" si="1228"/>
        <v>20.9</v>
      </c>
      <c r="K197" s="122">
        <f t="shared" si="1228"/>
        <v>8.4730000000000008</v>
      </c>
      <c r="L197" s="122">
        <f t="shared" si="1228"/>
        <v>0.52100000000000002</v>
      </c>
      <c r="M197" s="41"/>
      <c r="N197" s="41"/>
      <c r="O197" s="32">
        <f t="shared" ref="O197:P197" si="1229">O196</f>
        <v>100.48</v>
      </c>
      <c r="P197" s="168" t="str">
        <f t="shared" si="1229"/>
        <v>2,29,610</v>
      </c>
      <c r="Q197" s="11" t="str">
        <f t="shared" si="916"/>
        <v>2</v>
      </c>
      <c r="R197" s="11" t="str">
        <f t="shared" si="917"/>
        <v>29,610</v>
      </c>
      <c r="S197" s="11">
        <f t="shared" si="918"/>
        <v>4.1558333333333336E-2</v>
      </c>
      <c r="T197" s="14">
        <f t="shared" si="919"/>
        <v>2417.8062963705634</v>
      </c>
      <c r="U197" s="37">
        <f t="shared" si="920"/>
        <v>-100</v>
      </c>
      <c r="V197" s="38">
        <f t="shared" ref="V197:W197" si="1230">V196</f>
        <v>21.3</v>
      </c>
      <c r="W197" s="124">
        <f t="shared" si="1230"/>
        <v>1.0960000000000001</v>
      </c>
      <c r="X197" s="124">
        <f t="shared" si="1169"/>
        <v>1.0880000000000001</v>
      </c>
      <c r="Y197" s="41"/>
      <c r="Z197" s="41"/>
      <c r="AA197" s="90">
        <f t="shared" ref="AA197:AB197" si="1231">AA196</f>
        <v>5.01</v>
      </c>
      <c r="AB197" s="73" t="str">
        <f t="shared" si="1231"/>
        <v>11,15,880</v>
      </c>
      <c r="AC197" s="11" t="str">
        <f t="shared" si="923"/>
        <v>11</v>
      </c>
      <c r="AD197" s="11" t="str">
        <f t="shared" si="924"/>
        <v>15,880</v>
      </c>
      <c r="AE197" s="11">
        <f t="shared" si="925"/>
        <v>0.18774444444444444</v>
      </c>
      <c r="AF197" s="14">
        <f t="shared" si="926"/>
        <v>26.685210392377346</v>
      </c>
      <c r="AG197" s="39">
        <f t="shared" si="927"/>
        <v>-100</v>
      </c>
      <c r="AH197" s="38">
        <f t="shared" si="1177"/>
        <v>18.399999999999999</v>
      </c>
      <c r="AI197" s="124">
        <f t="shared" si="1177"/>
        <v>1.0980000000000001</v>
      </c>
      <c r="AJ197" s="124">
        <f t="shared" si="1177"/>
        <v>1.087</v>
      </c>
      <c r="AK197" s="41">
        <f t="shared" si="928"/>
        <v>0</v>
      </c>
      <c r="AL197" s="41"/>
      <c r="AM197" s="34">
        <f t="shared" ref="AM197:AN197" si="1232">AM196</f>
        <v>2.0049999999999999</v>
      </c>
      <c r="AN197" s="33" t="str">
        <f t="shared" si="1232"/>
        <v>7,19,050</v>
      </c>
      <c r="AO197" s="11" t="str">
        <f t="shared" si="930"/>
        <v>7,</v>
      </c>
      <c r="AP197" s="11" t="str">
        <f t="shared" si="931"/>
        <v>19,050</v>
      </c>
      <c r="AQ197" s="11">
        <f t="shared" si="932"/>
        <v>0.12195833333333334</v>
      </c>
      <c r="AR197" s="14">
        <f t="shared" si="933"/>
        <v>16.44004099760847</v>
      </c>
      <c r="AS197" s="39">
        <f t="shared" si="934"/>
        <v>-100</v>
      </c>
      <c r="AT197" s="40" t="str">
        <f t="shared" si="935"/>
        <v>NO CONFORME</v>
      </c>
      <c r="AU197" s="8" t="b">
        <f t="shared" si="857"/>
        <v>1</v>
      </c>
      <c r="AV197" s="8" t="b">
        <f t="shared" si="858"/>
        <v>0</v>
      </c>
      <c r="AW197" s="8" t="b">
        <f t="shared" si="859"/>
        <v>1</v>
      </c>
      <c r="AX197" s="8" t="str">
        <f t="shared" si="860"/>
        <v>Qcorrecto</v>
      </c>
      <c r="AY197" s="22" t="str">
        <f t="shared" si="840"/>
        <v>aceptable</v>
      </c>
      <c r="AZ197" s="22" t="str">
        <f t="shared" si="841"/>
        <v>aceptable</v>
      </c>
      <c r="BA197" s="22" t="str">
        <f t="shared" si="861"/>
        <v>aceptable</v>
      </c>
      <c r="BB197" s="25" t="str">
        <f t="shared" si="862"/>
        <v>NO CONFORME</v>
      </c>
      <c r="BC197" s="5" t="str">
        <f t="shared" si="863"/>
        <v>NO CONFORME</v>
      </c>
      <c r="BD197" s="15">
        <f t="shared" si="842"/>
        <v>-1</v>
      </c>
      <c r="BE197" s="15">
        <f t="shared" si="843"/>
        <v>-1</v>
      </c>
      <c r="BF197" s="15">
        <f t="shared" si="844"/>
        <v>-1</v>
      </c>
      <c r="BG197" s="15" t="str">
        <f t="shared" si="845"/>
        <v>-1-1-1</v>
      </c>
      <c r="BH197" s="15" t="str">
        <f t="shared" si="846"/>
        <v>SD</v>
      </c>
      <c r="BI197" s="15" t="str">
        <f t="shared" si="847"/>
        <v>SI</v>
      </c>
      <c r="BJ197" s="15" t="b">
        <f t="shared" si="848"/>
        <v>1</v>
      </c>
      <c r="BK197" s="15" t="str">
        <f t="shared" si="849"/>
        <v>SIGIGUALES</v>
      </c>
      <c r="BL197" s="22" t="str">
        <f t="shared" si="850"/>
        <v>NO CONFORME</v>
      </c>
    </row>
    <row r="198" spans="1:64" ht="14.4" x14ac:dyDescent="0.3">
      <c r="A198" s="91">
        <v>190</v>
      </c>
      <c r="B198" s="28">
        <f t="shared" ref="B198:E198" si="1233">B197</f>
        <v>45920</v>
      </c>
      <c r="C198" s="28">
        <f t="shared" si="1233"/>
        <v>45920</v>
      </c>
      <c r="D198" s="12">
        <f t="shared" si="1233"/>
        <v>3</v>
      </c>
      <c r="E198" s="10">
        <f t="shared" si="1233"/>
        <v>8</v>
      </c>
      <c r="F198" s="13"/>
      <c r="G198" s="157"/>
      <c r="H198" s="70">
        <f t="shared" ref="H198:L198" si="1234">H197</f>
        <v>25.6</v>
      </c>
      <c r="I198" s="36">
        <f t="shared" si="1234"/>
        <v>0</v>
      </c>
      <c r="J198" s="35">
        <f t="shared" si="1234"/>
        <v>20.9</v>
      </c>
      <c r="K198" s="122">
        <f t="shared" si="1234"/>
        <v>8.4730000000000008</v>
      </c>
      <c r="L198" s="122">
        <f t="shared" si="1234"/>
        <v>0.52100000000000002</v>
      </c>
      <c r="M198" s="41"/>
      <c r="N198" s="41"/>
      <c r="O198" s="32">
        <f t="shared" ref="O198:P198" si="1235">O197</f>
        <v>100.48</v>
      </c>
      <c r="P198" s="168" t="str">
        <f t="shared" si="1235"/>
        <v>2,29,610</v>
      </c>
      <c r="Q198" s="11" t="str">
        <f t="shared" si="916"/>
        <v>2</v>
      </c>
      <c r="R198" s="11" t="str">
        <f t="shared" si="917"/>
        <v>29,610</v>
      </c>
      <c r="S198" s="11">
        <f t="shared" si="918"/>
        <v>4.1558333333333336E-2</v>
      </c>
      <c r="T198" s="14">
        <f t="shared" si="919"/>
        <v>2417.8062963705634</v>
      </c>
      <c r="U198" s="37">
        <f t="shared" si="920"/>
        <v>-100</v>
      </c>
      <c r="V198" s="38">
        <f t="shared" ref="V198:W198" si="1236">V197</f>
        <v>21.3</v>
      </c>
      <c r="W198" s="124">
        <f t="shared" si="1236"/>
        <v>1.0960000000000001</v>
      </c>
      <c r="X198" s="124">
        <f t="shared" si="1169"/>
        <v>1.0880000000000001</v>
      </c>
      <c r="Y198" s="41"/>
      <c r="Z198" s="41"/>
      <c r="AA198" s="90">
        <f t="shared" ref="AA198:AB198" si="1237">AA197</f>
        <v>5.01</v>
      </c>
      <c r="AB198" s="73" t="str">
        <f t="shared" si="1237"/>
        <v>11,15,880</v>
      </c>
      <c r="AC198" s="11" t="str">
        <f t="shared" si="923"/>
        <v>11</v>
      </c>
      <c r="AD198" s="11" t="str">
        <f t="shared" si="924"/>
        <v>15,880</v>
      </c>
      <c r="AE198" s="11">
        <f t="shared" si="925"/>
        <v>0.18774444444444444</v>
      </c>
      <c r="AF198" s="14">
        <f t="shared" si="926"/>
        <v>26.685210392377346</v>
      </c>
      <c r="AG198" s="39">
        <f t="shared" si="927"/>
        <v>-100</v>
      </c>
      <c r="AH198" s="38">
        <f t="shared" si="1177"/>
        <v>18.399999999999999</v>
      </c>
      <c r="AI198" s="124">
        <f t="shared" si="1177"/>
        <v>1.0980000000000001</v>
      </c>
      <c r="AJ198" s="124">
        <f t="shared" si="1177"/>
        <v>1.087</v>
      </c>
      <c r="AK198" s="41">
        <f t="shared" si="928"/>
        <v>0</v>
      </c>
      <c r="AL198" s="41"/>
      <c r="AM198" s="34">
        <f t="shared" ref="AM198:AN198" si="1238">AM197</f>
        <v>2.0049999999999999</v>
      </c>
      <c r="AN198" s="33" t="str">
        <f t="shared" si="1238"/>
        <v>7,19,050</v>
      </c>
      <c r="AO198" s="11" t="str">
        <f t="shared" si="930"/>
        <v>7,</v>
      </c>
      <c r="AP198" s="11" t="str">
        <f t="shared" si="931"/>
        <v>19,050</v>
      </c>
      <c r="AQ198" s="11">
        <f t="shared" si="932"/>
        <v>0.12195833333333334</v>
      </c>
      <c r="AR198" s="14">
        <f t="shared" si="933"/>
        <v>16.44004099760847</v>
      </c>
      <c r="AS198" s="39">
        <f t="shared" si="934"/>
        <v>-100</v>
      </c>
      <c r="AT198" s="40" t="str">
        <f t="shared" si="935"/>
        <v>NO CONFORME</v>
      </c>
      <c r="AU198" s="8" t="b">
        <f t="shared" si="857"/>
        <v>1</v>
      </c>
      <c r="AV198" s="8" t="b">
        <f t="shared" si="858"/>
        <v>0</v>
      </c>
      <c r="AW198" s="8" t="b">
        <f t="shared" si="859"/>
        <v>1</v>
      </c>
      <c r="AX198" s="8" t="str">
        <f t="shared" si="860"/>
        <v>Qcorrecto</v>
      </c>
      <c r="AY198" s="22" t="str">
        <f t="shared" si="840"/>
        <v>aceptable</v>
      </c>
      <c r="AZ198" s="22" t="str">
        <f t="shared" si="841"/>
        <v>aceptable</v>
      </c>
      <c r="BA198" s="22" t="str">
        <f t="shared" si="861"/>
        <v>aceptable</v>
      </c>
      <c r="BB198" s="25" t="str">
        <f t="shared" si="862"/>
        <v>NO CONFORME</v>
      </c>
      <c r="BC198" s="5" t="str">
        <f t="shared" si="863"/>
        <v>NO CONFORME</v>
      </c>
      <c r="BD198" s="15">
        <f t="shared" si="842"/>
        <v>-1</v>
      </c>
      <c r="BE198" s="15">
        <f t="shared" si="843"/>
        <v>-1</v>
      </c>
      <c r="BF198" s="15">
        <f t="shared" si="844"/>
        <v>-1</v>
      </c>
      <c r="BG198" s="15" t="str">
        <f t="shared" si="845"/>
        <v>-1-1-1</v>
      </c>
      <c r="BH198" s="15" t="str">
        <f t="shared" si="846"/>
        <v>SD</v>
      </c>
      <c r="BI198" s="15" t="str">
        <f t="shared" si="847"/>
        <v>SI</v>
      </c>
      <c r="BJ198" s="15" t="b">
        <f t="shared" si="848"/>
        <v>1</v>
      </c>
      <c r="BK198" s="15" t="str">
        <f t="shared" si="849"/>
        <v>SIGIGUALES</v>
      </c>
      <c r="BL198" s="22" t="str">
        <f t="shared" si="850"/>
        <v>NO CONFORME</v>
      </c>
    </row>
    <row r="199" spans="1:64" ht="14.4" x14ac:dyDescent="0.3">
      <c r="A199" s="91">
        <v>191</v>
      </c>
      <c r="B199" s="28">
        <f t="shared" ref="B199:E199" si="1239">B198</f>
        <v>45920</v>
      </c>
      <c r="C199" s="28">
        <f t="shared" si="1239"/>
        <v>45920</v>
      </c>
      <c r="D199" s="12">
        <f t="shared" si="1239"/>
        <v>3</v>
      </c>
      <c r="E199" s="10">
        <f t="shared" si="1239"/>
        <v>8</v>
      </c>
      <c r="F199" s="13"/>
      <c r="G199" s="157"/>
      <c r="H199" s="70">
        <f t="shared" ref="H199:L199" si="1240">H198</f>
        <v>25.6</v>
      </c>
      <c r="I199" s="36">
        <f t="shared" si="1240"/>
        <v>0</v>
      </c>
      <c r="J199" s="35">
        <f t="shared" si="1240"/>
        <v>20.9</v>
      </c>
      <c r="K199" s="122">
        <f t="shared" si="1240"/>
        <v>8.4730000000000008</v>
      </c>
      <c r="L199" s="122">
        <f t="shared" si="1240"/>
        <v>0.52100000000000002</v>
      </c>
      <c r="M199" s="41"/>
      <c r="N199" s="41"/>
      <c r="O199" s="32">
        <f t="shared" ref="O199:P199" si="1241">O198</f>
        <v>100.48</v>
      </c>
      <c r="P199" s="168" t="str">
        <f t="shared" si="1241"/>
        <v>2,29,610</v>
      </c>
      <c r="Q199" s="11" t="str">
        <f t="shared" si="916"/>
        <v>2</v>
      </c>
      <c r="R199" s="11" t="str">
        <f t="shared" si="917"/>
        <v>29,610</v>
      </c>
      <c r="S199" s="11">
        <f t="shared" si="918"/>
        <v>4.1558333333333336E-2</v>
      </c>
      <c r="T199" s="14">
        <f t="shared" si="919"/>
        <v>2417.8062963705634</v>
      </c>
      <c r="U199" s="37">
        <f t="shared" si="920"/>
        <v>-100</v>
      </c>
      <c r="V199" s="38">
        <f t="shared" ref="V199:W199" si="1242">V198</f>
        <v>21.3</v>
      </c>
      <c r="W199" s="124">
        <f t="shared" si="1242"/>
        <v>1.0960000000000001</v>
      </c>
      <c r="X199" s="124">
        <f t="shared" si="1169"/>
        <v>1.0880000000000001</v>
      </c>
      <c r="Y199" s="41"/>
      <c r="Z199" s="41"/>
      <c r="AA199" s="90">
        <f t="shared" ref="AA199:AB199" si="1243">AA198</f>
        <v>5.01</v>
      </c>
      <c r="AB199" s="73" t="str">
        <f t="shared" si="1243"/>
        <v>11,15,880</v>
      </c>
      <c r="AC199" s="11" t="str">
        <f t="shared" si="923"/>
        <v>11</v>
      </c>
      <c r="AD199" s="11" t="str">
        <f t="shared" si="924"/>
        <v>15,880</v>
      </c>
      <c r="AE199" s="11">
        <f t="shared" si="925"/>
        <v>0.18774444444444444</v>
      </c>
      <c r="AF199" s="14">
        <f t="shared" si="926"/>
        <v>26.685210392377346</v>
      </c>
      <c r="AG199" s="39">
        <f t="shared" si="927"/>
        <v>-100</v>
      </c>
      <c r="AH199" s="38">
        <f t="shared" si="1177"/>
        <v>18.399999999999999</v>
      </c>
      <c r="AI199" s="124">
        <f t="shared" si="1177"/>
        <v>1.0980000000000001</v>
      </c>
      <c r="AJ199" s="124">
        <f t="shared" si="1177"/>
        <v>1.087</v>
      </c>
      <c r="AK199" s="41">
        <f t="shared" si="928"/>
        <v>0</v>
      </c>
      <c r="AL199" s="41"/>
      <c r="AM199" s="34">
        <f t="shared" ref="AM199:AN199" si="1244">AM198</f>
        <v>2.0049999999999999</v>
      </c>
      <c r="AN199" s="33" t="str">
        <f t="shared" si="1244"/>
        <v>7,19,050</v>
      </c>
      <c r="AO199" s="11" t="str">
        <f t="shared" si="930"/>
        <v>7,</v>
      </c>
      <c r="AP199" s="11" t="str">
        <f t="shared" si="931"/>
        <v>19,050</v>
      </c>
      <c r="AQ199" s="11">
        <f t="shared" si="932"/>
        <v>0.12195833333333334</v>
      </c>
      <c r="AR199" s="14">
        <f t="shared" si="933"/>
        <v>16.44004099760847</v>
      </c>
      <c r="AS199" s="39">
        <f t="shared" si="934"/>
        <v>-100</v>
      </c>
      <c r="AT199" s="40" t="str">
        <f t="shared" si="935"/>
        <v>NO CONFORME</v>
      </c>
      <c r="AU199" s="8" t="b">
        <f t="shared" si="857"/>
        <v>1</v>
      </c>
      <c r="AV199" s="8" t="b">
        <f t="shared" si="858"/>
        <v>0</v>
      </c>
      <c r="AW199" s="8" t="b">
        <f t="shared" si="859"/>
        <v>1</v>
      </c>
      <c r="AX199" s="8" t="str">
        <f t="shared" si="860"/>
        <v>Qcorrecto</v>
      </c>
      <c r="AY199" s="22" t="str">
        <f t="shared" si="840"/>
        <v>aceptable</v>
      </c>
      <c r="AZ199" s="22" t="str">
        <f t="shared" si="841"/>
        <v>aceptable</v>
      </c>
      <c r="BA199" s="22" t="str">
        <f t="shared" si="861"/>
        <v>aceptable</v>
      </c>
      <c r="BB199" s="25" t="str">
        <f t="shared" si="862"/>
        <v>NO CONFORME</v>
      </c>
      <c r="BC199" s="5" t="str">
        <f t="shared" si="863"/>
        <v>NO CONFORME</v>
      </c>
      <c r="BD199" s="15">
        <f t="shared" si="842"/>
        <v>-1</v>
      </c>
      <c r="BE199" s="15">
        <f t="shared" si="843"/>
        <v>-1</v>
      </c>
      <c r="BF199" s="15">
        <f t="shared" si="844"/>
        <v>-1</v>
      </c>
      <c r="BG199" s="15" t="str">
        <f t="shared" si="845"/>
        <v>-1-1-1</v>
      </c>
      <c r="BH199" s="15" t="str">
        <f t="shared" si="846"/>
        <v>SD</v>
      </c>
      <c r="BI199" s="15" t="str">
        <f t="shared" si="847"/>
        <v>SI</v>
      </c>
      <c r="BJ199" s="15" t="b">
        <f t="shared" si="848"/>
        <v>1</v>
      </c>
      <c r="BK199" s="15" t="str">
        <f t="shared" si="849"/>
        <v>SIGIGUALES</v>
      </c>
      <c r="BL199" s="22" t="str">
        <f t="shared" si="850"/>
        <v>NO CONFORME</v>
      </c>
    </row>
    <row r="200" spans="1:64" ht="14.4" x14ac:dyDescent="0.3">
      <c r="A200" s="91">
        <v>192</v>
      </c>
      <c r="B200" s="28">
        <f t="shared" ref="B200:E200" si="1245">B199</f>
        <v>45920</v>
      </c>
      <c r="C200" s="28">
        <f t="shared" si="1245"/>
        <v>45920</v>
      </c>
      <c r="D200" s="12">
        <f t="shared" si="1245"/>
        <v>3</v>
      </c>
      <c r="E200" s="10">
        <f t="shared" si="1245"/>
        <v>8</v>
      </c>
      <c r="F200" s="13"/>
      <c r="G200" s="157"/>
      <c r="H200" s="70">
        <f t="shared" ref="H200:L200" si="1246">H199</f>
        <v>25.6</v>
      </c>
      <c r="I200" s="36">
        <f t="shared" si="1246"/>
        <v>0</v>
      </c>
      <c r="J200" s="35">
        <f t="shared" si="1246"/>
        <v>20.9</v>
      </c>
      <c r="K200" s="122">
        <f t="shared" si="1246"/>
        <v>8.4730000000000008</v>
      </c>
      <c r="L200" s="122">
        <f t="shared" si="1246"/>
        <v>0.52100000000000002</v>
      </c>
      <c r="M200" s="41"/>
      <c r="N200" s="41"/>
      <c r="O200" s="32">
        <f t="shared" ref="O200:P200" si="1247">O199</f>
        <v>100.48</v>
      </c>
      <c r="P200" s="168" t="str">
        <f t="shared" si="1247"/>
        <v>2,29,610</v>
      </c>
      <c r="Q200" s="11" t="str">
        <f t="shared" si="916"/>
        <v>2</v>
      </c>
      <c r="R200" s="11" t="str">
        <f t="shared" si="917"/>
        <v>29,610</v>
      </c>
      <c r="S200" s="11">
        <f t="shared" si="918"/>
        <v>4.1558333333333336E-2</v>
      </c>
      <c r="T200" s="14">
        <f t="shared" si="919"/>
        <v>2417.8062963705634</v>
      </c>
      <c r="U200" s="37">
        <f t="shared" si="920"/>
        <v>-100</v>
      </c>
      <c r="V200" s="38">
        <f t="shared" ref="V200:W200" si="1248">V199</f>
        <v>21.3</v>
      </c>
      <c r="W200" s="124">
        <f t="shared" si="1248"/>
        <v>1.0960000000000001</v>
      </c>
      <c r="X200" s="124">
        <f t="shared" si="1169"/>
        <v>1.0880000000000001</v>
      </c>
      <c r="Y200" s="41"/>
      <c r="Z200" s="41"/>
      <c r="AA200" s="90">
        <f t="shared" ref="AA200:AB200" si="1249">AA199</f>
        <v>5.01</v>
      </c>
      <c r="AB200" s="73" t="str">
        <f t="shared" si="1249"/>
        <v>11,15,880</v>
      </c>
      <c r="AC200" s="11" t="str">
        <f t="shared" si="923"/>
        <v>11</v>
      </c>
      <c r="AD200" s="11" t="str">
        <f t="shared" si="924"/>
        <v>15,880</v>
      </c>
      <c r="AE200" s="11">
        <f t="shared" si="925"/>
        <v>0.18774444444444444</v>
      </c>
      <c r="AF200" s="14">
        <f t="shared" si="926"/>
        <v>26.685210392377346</v>
      </c>
      <c r="AG200" s="39">
        <f t="shared" si="927"/>
        <v>-100</v>
      </c>
      <c r="AH200" s="38">
        <f t="shared" si="1177"/>
        <v>18.399999999999999</v>
      </c>
      <c r="AI200" s="124">
        <f t="shared" si="1177"/>
        <v>1.0980000000000001</v>
      </c>
      <c r="AJ200" s="124">
        <f t="shared" si="1177"/>
        <v>1.087</v>
      </c>
      <c r="AK200" s="41">
        <f t="shared" si="928"/>
        <v>0</v>
      </c>
      <c r="AL200" s="41"/>
      <c r="AM200" s="34">
        <f t="shared" ref="AM200:AN200" si="1250">AM199</f>
        <v>2.0049999999999999</v>
      </c>
      <c r="AN200" s="33" t="str">
        <f t="shared" si="1250"/>
        <v>7,19,050</v>
      </c>
      <c r="AO200" s="11" t="str">
        <f t="shared" si="930"/>
        <v>7,</v>
      </c>
      <c r="AP200" s="11" t="str">
        <f t="shared" si="931"/>
        <v>19,050</v>
      </c>
      <c r="AQ200" s="11">
        <f t="shared" si="932"/>
        <v>0.12195833333333334</v>
      </c>
      <c r="AR200" s="14">
        <f t="shared" si="933"/>
        <v>16.44004099760847</v>
      </c>
      <c r="AS200" s="39">
        <f t="shared" si="934"/>
        <v>-100</v>
      </c>
      <c r="AT200" s="40" t="str">
        <f t="shared" si="935"/>
        <v>NO CONFORME</v>
      </c>
      <c r="AU200" s="8" t="b">
        <f t="shared" si="857"/>
        <v>1</v>
      </c>
      <c r="AV200" s="8" t="b">
        <f t="shared" si="858"/>
        <v>0</v>
      </c>
      <c r="AW200" s="8" t="b">
        <f t="shared" si="859"/>
        <v>1</v>
      </c>
      <c r="AX200" s="8" t="str">
        <f t="shared" si="860"/>
        <v>Qcorrecto</v>
      </c>
      <c r="AY200" s="22" t="str">
        <f t="shared" si="840"/>
        <v>aceptable</v>
      </c>
      <c r="AZ200" s="22" t="str">
        <f t="shared" si="841"/>
        <v>aceptable</v>
      </c>
      <c r="BA200" s="22" t="str">
        <f t="shared" si="861"/>
        <v>aceptable</v>
      </c>
      <c r="BB200" s="25" t="str">
        <f t="shared" si="862"/>
        <v>NO CONFORME</v>
      </c>
      <c r="BC200" s="5" t="str">
        <f t="shared" si="863"/>
        <v>NO CONFORME</v>
      </c>
      <c r="BD200" s="15">
        <f t="shared" si="842"/>
        <v>-1</v>
      </c>
      <c r="BE200" s="15">
        <f t="shared" si="843"/>
        <v>-1</v>
      </c>
      <c r="BF200" s="15">
        <f t="shared" si="844"/>
        <v>-1</v>
      </c>
      <c r="BG200" s="15" t="str">
        <f t="shared" si="845"/>
        <v>-1-1-1</v>
      </c>
      <c r="BH200" s="15" t="str">
        <f t="shared" si="846"/>
        <v>SD</v>
      </c>
      <c r="BI200" s="15" t="str">
        <f t="shared" si="847"/>
        <v>SI</v>
      </c>
      <c r="BJ200" s="15" t="b">
        <f t="shared" si="848"/>
        <v>1</v>
      </c>
      <c r="BK200" s="15" t="str">
        <f t="shared" si="849"/>
        <v>SIGIGUALES</v>
      </c>
      <c r="BL200" s="22" t="str">
        <f t="shared" si="850"/>
        <v>NO CONFORME</v>
      </c>
    </row>
    <row r="201" spans="1:64" ht="14.4" x14ac:dyDescent="0.3">
      <c r="A201" s="91">
        <v>193</v>
      </c>
      <c r="B201" s="28">
        <f t="shared" ref="B201:E201" si="1251">B200</f>
        <v>45920</v>
      </c>
      <c r="C201" s="28">
        <f t="shared" si="1251"/>
        <v>45920</v>
      </c>
      <c r="D201" s="12">
        <f t="shared" si="1251"/>
        <v>3</v>
      </c>
      <c r="E201" s="10">
        <f t="shared" si="1251"/>
        <v>8</v>
      </c>
      <c r="F201" s="13"/>
      <c r="G201" s="157"/>
      <c r="H201" s="70">
        <f t="shared" ref="H201:L201" si="1252">H200</f>
        <v>25.6</v>
      </c>
      <c r="I201" s="36">
        <f t="shared" si="1252"/>
        <v>0</v>
      </c>
      <c r="J201" s="35">
        <f t="shared" si="1252"/>
        <v>20.9</v>
      </c>
      <c r="K201" s="122">
        <f t="shared" si="1252"/>
        <v>8.4730000000000008</v>
      </c>
      <c r="L201" s="122">
        <f t="shared" si="1252"/>
        <v>0.52100000000000002</v>
      </c>
      <c r="M201" s="41"/>
      <c r="N201" s="41"/>
      <c r="O201" s="32">
        <f t="shared" ref="O201:P201" si="1253">O200</f>
        <v>100.48</v>
      </c>
      <c r="P201" s="168" t="str">
        <f t="shared" si="1253"/>
        <v>2,29,610</v>
      </c>
      <c r="Q201" s="11" t="str">
        <f t="shared" si="916"/>
        <v>2</v>
      </c>
      <c r="R201" s="11" t="str">
        <f t="shared" si="917"/>
        <v>29,610</v>
      </c>
      <c r="S201" s="11">
        <f t="shared" si="918"/>
        <v>4.1558333333333336E-2</v>
      </c>
      <c r="T201" s="14">
        <f t="shared" si="919"/>
        <v>2417.8062963705634</v>
      </c>
      <c r="U201" s="37">
        <f t="shared" si="920"/>
        <v>-100</v>
      </c>
      <c r="V201" s="38">
        <f t="shared" ref="V201:W201" si="1254">V200</f>
        <v>21.3</v>
      </c>
      <c r="W201" s="124">
        <f t="shared" si="1254"/>
        <v>1.0960000000000001</v>
      </c>
      <c r="X201" s="124">
        <f t="shared" si="1169"/>
        <v>1.0880000000000001</v>
      </c>
      <c r="Y201" s="41"/>
      <c r="Z201" s="41"/>
      <c r="AA201" s="90">
        <f t="shared" ref="AA201:AB201" si="1255">AA200</f>
        <v>5.01</v>
      </c>
      <c r="AB201" s="73" t="str">
        <f t="shared" si="1255"/>
        <v>11,15,880</v>
      </c>
      <c r="AC201" s="11" t="str">
        <f t="shared" si="923"/>
        <v>11</v>
      </c>
      <c r="AD201" s="11" t="str">
        <f t="shared" si="924"/>
        <v>15,880</v>
      </c>
      <c r="AE201" s="11">
        <f t="shared" si="925"/>
        <v>0.18774444444444444</v>
      </c>
      <c r="AF201" s="14">
        <f t="shared" si="926"/>
        <v>26.685210392377346</v>
      </c>
      <c r="AG201" s="39">
        <f t="shared" si="927"/>
        <v>-100</v>
      </c>
      <c r="AH201" s="38">
        <f t="shared" si="1177"/>
        <v>18.399999999999999</v>
      </c>
      <c r="AI201" s="124">
        <f t="shared" si="1177"/>
        <v>1.0980000000000001</v>
      </c>
      <c r="AJ201" s="124">
        <f t="shared" si="1177"/>
        <v>1.087</v>
      </c>
      <c r="AK201" s="41">
        <f t="shared" si="928"/>
        <v>0</v>
      </c>
      <c r="AL201" s="41"/>
      <c r="AM201" s="34">
        <f t="shared" ref="AM201:AN201" si="1256">AM200</f>
        <v>2.0049999999999999</v>
      </c>
      <c r="AN201" s="33" t="str">
        <f t="shared" si="1256"/>
        <v>7,19,050</v>
      </c>
      <c r="AO201" s="11" t="str">
        <f t="shared" si="930"/>
        <v>7,</v>
      </c>
      <c r="AP201" s="11" t="str">
        <f t="shared" si="931"/>
        <v>19,050</v>
      </c>
      <c r="AQ201" s="11">
        <f t="shared" si="932"/>
        <v>0.12195833333333334</v>
      </c>
      <c r="AR201" s="14">
        <f t="shared" si="933"/>
        <v>16.44004099760847</v>
      </c>
      <c r="AS201" s="39">
        <f t="shared" si="934"/>
        <v>-100</v>
      </c>
      <c r="AT201" s="40" t="str">
        <f t="shared" si="935"/>
        <v>NO CONFORME</v>
      </c>
      <c r="AU201" s="8" t="b">
        <f t="shared" si="857"/>
        <v>1</v>
      </c>
      <c r="AV201" s="8" t="b">
        <f t="shared" si="858"/>
        <v>0</v>
      </c>
      <c r="AW201" s="8" t="b">
        <f t="shared" si="859"/>
        <v>1</v>
      </c>
      <c r="AX201" s="8" t="str">
        <f t="shared" si="860"/>
        <v>Qcorrecto</v>
      </c>
      <c r="AY201" s="22" t="str">
        <f t="shared" si="840"/>
        <v>aceptable</v>
      </c>
      <c r="AZ201" s="22" t="str">
        <f t="shared" si="841"/>
        <v>aceptable</v>
      </c>
      <c r="BA201" s="22" t="str">
        <f t="shared" si="861"/>
        <v>aceptable</v>
      </c>
      <c r="BB201" s="25" t="str">
        <f t="shared" si="862"/>
        <v>NO CONFORME</v>
      </c>
      <c r="BC201" s="5" t="str">
        <f t="shared" si="863"/>
        <v>NO CONFORME</v>
      </c>
      <c r="BD201" s="15">
        <f t="shared" si="842"/>
        <v>-1</v>
      </c>
      <c r="BE201" s="15">
        <f t="shared" si="843"/>
        <v>-1</v>
      </c>
      <c r="BF201" s="15">
        <f t="shared" si="844"/>
        <v>-1</v>
      </c>
      <c r="BG201" s="15" t="str">
        <f t="shared" si="845"/>
        <v>-1-1-1</v>
      </c>
      <c r="BH201" s="15" t="str">
        <f t="shared" si="846"/>
        <v>SD</v>
      </c>
      <c r="BI201" s="15" t="str">
        <f t="shared" si="847"/>
        <v>SI</v>
      </c>
      <c r="BJ201" s="15" t="b">
        <f t="shared" si="848"/>
        <v>1</v>
      </c>
      <c r="BK201" s="15" t="str">
        <f t="shared" si="849"/>
        <v>SIGIGUALES</v>
      </c>
      <c r="BL201" s="22" t="str">
        <f t="shared" si="850"/>
        <v>NO CONFORME</v>
      </c>
    </row>
    <row r="202" spans="1:64" ht="14.4" x14ac:dyDescent="0.3">
      <c r="A202" s="91">
        <v>194</v>
      </c>
      <c r="B202" s="28">
        <f t="shared" ref="B202:E202" si="1257">B201</f>
        <v>45920</v>
      </c>
      <c r="C202" s="28">
        <f t="shared" si="1257"/>
        <v>45920</v>
      </c>
      <c r="D202" s="12">
        <f t="shared" si="1257"/>
        <v>3</v>
      </c>
      <c r="E202" s="10">
        <f t="shared" si="1257"/>
        <v>8</v>
      </c>
      <c r="F202" s="13"/>
      <c r="G202" s="157"/>
      <c r="H202" s="70">
        <f t="shared" ref="H202:L202" si="1258">H201</f>
        <v>25.6</v>
      </c>
      <c r="I202" s="36">
        <f t="shared" si="1258"/>
        <v>0</v>
      </c>
      <c r="J202" s="35">
        <f t="shared" si="1258"/>
        <v>20.9</v>
      </c>
      <c r="K202" s="122">
        <f t="shared" si="1258"/>
        <v>8.4730000000000008</v>
      </c>
      <c r="L202" s="122">
        <f t="shared" si="1258"/>
        <v>0.52100000000000002</v>
      </c>
      <c r="M202" s="41"/>
      <c r="N202" s="41"/>
      <c r="O202" s="32">
        <f t="shared" ref="O202:P202" si="1259">O201</f>
        <v>100.48</v>
      </c>
      <c r="P202" s="168" t="str">
        <f t="shared" si="1259"/>
        <v>2,29,610</v>
      </c>
      <c r="Q202" s="11" t="str">
        <f t="shared" si="916"/>
        <v>2</v>
      </c>
      <c r="R202" s="11" t="str">
        <f t="shared" si="917"/>
        <v>29,610</v>
      </c>
      <c r="S202" s="11">
        <f t="shared" si="918"/>
        <v>4.1558333333333336E-2</v>
      </c>
      <c r="T202" s="14">
        <f t="shared" si="919"/>
        <v>2417.8062963705634</v>
      </c>
      <c r="U202" s="37">
        <f t="shared" si="920"/>
        <v>-100</v>
      </c>
      <c r="V202" s="38">
        <f t="shared" ref="V202:W202" si="1260">V201</f>
        <v>21.3</v>
      </c>
      <c r="W202" s="124">
        <f t="shared" si="1260"/>
        <v>1.0960000000000001</v>
      </c>
      <c r="X202" s="124">
        <f t="shared" si="1169"/>
        <v>1.0880000000000001</v>
      </c>
      <c r="Y202" s="41"/>
      <c r="Z202" s="41"/>
      <c r="AA202" s="90">
        <f t="shared" ref="AA202:AB202" si="1261">AA201</f>
        <v>5.01</v>
      </c>
      <c r="AB202" s="73" t="str">
        <f t="shared" si="1261"/>
        <v>11,15,880</v>
      </c>
      <c r="AC202" s="11" t="str">
        <f t="shared" si="923"/>
        <v>11</v>
      </c>
      <c r="AD202" s="11" t="str">
        <f t="shared" si="924"/>
        <v>15,880</v>
      </c>
      <c r="AE202" s="11">
        <f t="shared" si="925"/>
        <v>0.18774444444444444</v>
      </c>
      <c r="AF202" s="14">
        <f t="shared" si="926"/>
        <v>26.685210392377346</v>
      </c>
      <c r="AG202" s="39">
        <f t="shared" si="927"/>
        <v>-100</v>
      </c>
      <c r="AH202" s="38">
        <f t="shared" si="1177"/>
        <v>18.399999999999999</v>
      </c>
      <c r="AI202" s="124">
        <f t="shared" si="1177"/>
        <v>1.0980000000000001</v>
      </c>
      <c r="AJ202" s="124">
        <f t="shared" si="1177"/>
        <v>1.087</v>
      </c>
      <c r="AK202" s="41">
        <f t="shared" si="928"/>
        <v>0</v>
      </c>
      <c r="AL202" s="41"/>
      <c r="AM202" s="34">
        <f t="shared" ref="AM202:AN202" si="1262">AM201</f>
        <v>2.0049999999999999</v>
      </c>
      <c r="AN202" s="33" t="str">
        <f t="shared" si="1262"/>
        <v>7,19,050</v>
      </c>
      <c r="AO202" s="11" t="str">
        <f t="shared" si="930"/>
        <v>7,</v>
      </c>
      <c r="AP202" s="11" t="str">
        <f t="shared" si="931"/>
        <v>19,050</v>
      </c>
      <c r="AQ202" s="11">
        <f t="shared" si="932"/>
        <v>0.12195833333333334</v>
      </c>
      <c r="AR202" s="14">
        <f t="shared" si="933"/>
        <v>16.44004099760847</v>
      </c>
      <c r="AS202" s="39">
        <f t="shared" si="934"/>
        <v>-100</v>
      </c>
      <c r="AT202" s="40" t="str">
        <f t="shared" si="935"/>
        <v>NO CONFORME</v>
      </c>
      <c r="AU202" s="8" t="b">
        <f t="shared" si="857"/>
        <v>1</v>
      </c>
      <c r="AV202" s="8" t="b">
        <f t="shared" si="858"/>
        <v>0</v>
      </c>
      <c r="AW202" s="8" t="b">
        <f t="shared" si="859"/>
        <v>1</v>
      </c>
      <c r="AX202" s="8" t="str">
        <f t="shared" si="860"/>
        <v>Qcorrecto</v>
      </c>
      <c r="AY202" s="22" t="str">
        <f t="shared" ref="AY202:AY265" si="1263">IF(AR202&lt;$AH$6,"error",IF(AR202&gt;$AH$6*1.1,"error","aceptable"))</f>
        <v>aceptable</v>
      </c>
      <c r="AZ202" s="22" t="str">
        <f t="shared" ref="AZ202:AZ265" si="1264">IF(AF202&lt;$V$6,"error",IF(AF202&gt;$V$6*1.1,"error","aceptable"))</f>
        <v>aceptable</v>
      </c>
      <c r="BA202" s="22" t="str">
        <f t="shared" si="861"/>
        <v>aceptable</v>
      </c>
      <c r="BB202" s="25" t="str">
        <f t="shared" si="862"/>
        <v>NO CONFORME</v>
      </c>
      <c r="BC202" s="5" t="str">
        <f t="shared" si="863"/>
        <v>NO CONFORME</v>
      </c>
      <c r="BD202" s="15">
        <f t="shared" ref="BD202:BD265" si="1265">SIGN(U202)</f>
        <v>-1</v>
      </c>
      <c r="BE202" s="15">
        <f t="shared" ref="BE202:BE265" si="1266">SIGN(AG202)</f>
        <v>-1</v>
      </c>
      <c r="BF202" s="15">
        <f t="shared" ref="BF202:BF265" si="1267">SIGN(AS202)</f>
        <v>-1</v>
      </c>
      <c r="BG202" s="15" t="str">
        <f t="shared" ref="BG202:BG265" si="1268">CONCATENATE(BD202,BE202,BF202)</f>
        <v>-1-1-1</v>
      </c>
      <c r="BH202" s="15" t="str">
        <f t="shared" ref="BH202:BH265" si="1269">IF(BG202="111","SI","SD")</f>
        <v>SD</v>
      </c>
      <c r="BI202" s="15" t="str">
        <f t="shared" ref="BI202:BI265" si="1270">IF(BG202="-1-1-1","SI","SD")</f>
        <v>SI</v>
      </c>
      <c r="BJ202" s="15" t="b">
        <f t="shared" ref="BJ202:BJ265" si="1271">OR(BH202="SI",BI202="SI")</f>
        <v>1</v>
      </c>
      <c r="BK202" s="15" t="str">
        <f t="shared" ref="BK202:BK265" si="1272">IF(BJ202=FALSE,"SIGDIFERENTES","SIGIGUALES")</f>
        <v>SIGIGUALES</v>
      </c>
      <c r="BL202" s="22" t="str">
        <f t="shared" ref="BL202:BL265" si="1273">IF(BC202="NO CONFORME","NO CONFORME",IF(BB202="CONFORME","CONFORME","NO CONFORME"))</f>
        <v>NO CONFORME</v>
      </c>
    </row>
    <row r="203" spans="1:64" ht="14.4" x14ac:dyDescent="0.3">
      <c r="A203" s="91">
        <v>195</v>
      </c>
      <c r="B203" s="28">
        <f t="shared" ref="B203:E203" si="1274">B202</f>
        <v>45920</v>
      </c>
      <c r="C203" s="28">
        <f t="shared" si="1274"/>
        <v>45920</v>
      </c>
      <c r="D203" s="12">
        <f t="shared" si="1274"/>
        <v>3</v>
      </c>
      <c r="E203" s="10">
        <f t="shared" si="1274"/>
        <v>8</v>
      </c>
      <c r="F203" s="13"/>
      <c r="G203" s="157"/>
      <c r="H203" s="70">
        <f t="shared" ref="H203:L203" si="1275">H202</f>
        <v>25.6</v>
      </c>
      <c r="I203" s="36">
        <f t="shared" si="1275"/>
        <v>0</v>
      </c>
      <c r="J203" s="35">
        <f t="shared" si="1275"/>
        <v>20.9</v>
      </c>
      <c r="K203" s="122">
        <f t="shared" si="1275"/>
        <v>8.4730000000000008</v>
      </c>
      <c r="L203" s="122">
        <f t="shared" si="1275"/>
        <v>0.52100000000000002</v>
      </c>
      <c r="M203" s="41"/>
      <c r="N203" s="41"/>
      <c r="O203" s="32">
        <f t="shared" ref="O203:P203" si="1276">O202</f>
        <v>100.48</v>
      </c>
      <c r="P203" s="168" t="str">
        <f t="shared" si="1276"/>
        <v>2,29,610</v>
      </c>
      <c r="Q203" s="11" t="str">
        <f t="shared" si="916"/>
        <v>2</v>
      </c>
      <c r="R203" s="11" t="str">
        <f t="shared" si="917"/>
        <v>29,610</v>
      </c>
      <c r="S203" s="11">
        <f t="shared" si="918"/>
        <v>4.1558333333333336E-2</v>
      </c>
      <c r="T203" s="14">
        <f t="shared" si="919"/>
        <v>2417.8062963705634</v>
      </c>
      <c r="U203" s="37">
        <f t="shared" si="920"/>
        <v>-100</v>
      </c>
      <c r="V203" s="38">
        <f t="shared" ref="V203:X218" si="1277">V202</f>
        <v>21.3</v>
      </c>
      <c r="W203" s="124">
        <f t="shared" si="1277"/>
        <v>1.0960000000000001</v>
      </c>
      <c r="X203" s="124">
        <f t="shared" si="1277"/>
        <v>1.0880000000000001</v>
      </c>
      <c r="Y203" s="41"/>
      <c r="Z203" s="41"/>
      <c r="AA203" s="90">
        <f t="shared" ref="AA203:AB203" si="1278">AA202</f>
        <v>5.01</v>
      </c>
      <c r="AB203" s="73" t="str">
        <f t="shared" si="1278"/>
        <v>11,15,880</v>
      </c>
      <c r="AC203" s="11" t="str">
        <f t="shared" si="923"/>
        <v>11</v>
      </c>
      <c r="AD203" s="11" t="str">
        <f t="shared" si="924"/>
        <v>15,880</v>
      </c>
      <c r="AE203" s="11">
        <f t="shared" si="925"/>
        <v>0.18774444444444444</v>
      </c>
      <c r="AF203" s="14">
        <f t="shared" si="926"/>
        <v>26.685210392377346</v>
      </c>
      <c r="AG203" s="39">
        <f t="shared" si="927"/>
        <v>-100</v>
      </c>
      <c r="AH203" s="38">
        <f t="shared" si="1177"/>
        <v>18.399999999999999</v>
      </c>
      <c r="AI203" s="124">
        <f t="shared" si="1177"/>
        <v>1.0980000000000001</v>
      </c>
      <c r="AJ203" s="124">
        <f t="shared" si="1177"/>
        <v>1.087</v>
      </c>
      <c r="AK203" s="41">
        <f t="shared" si="928"/>
        <v>0</v>
      </c>
      <c r="AL203" s="41"/>
      <c r="AM203" s="34">
        <f t="shared" ref="AM203:AN203" si="1279">AM202</f>
        <v>2.0049999999999999</v>
      </c>
      <c r="AN203" s="33" t="str">
        <f t="shared" si="1279"/>
        <v>7,19,050</v>
      </c>
      <c r="AO203" s="11" t="str">
        <f t="shared" si="930"/>
        <v>7,</v>
      </c>
      <c r="AP203" s="11" t="str">
        <f t="shared" si="931"/>
        <v>19,050</v>
      </c>
      <c r="AQ203" s="11">
        <f t="shared" si="932"/>
        <v>0.12195833333333334</v>
      </c>
      <c r="AR203" s="14">
        <f t="shared" si="933"/>
        <v>16.44004099760847</v>
      </c>
      <c r="AS203" s="39">
        <f t="shared" si="934"/>
        <v>-100</v>
      </c>
      <c r="AT203" s="40" t="str">
        <f t="shared" si="935"/>
        <v>NO CONFORME</v>
      </c>
      <c r="AU203" s="8" t="b">
        <f t="shared" ref="AU203:AU266" si="1280">B203&lt;=C203</f>
        <v>1</v>
      </c>
      <c r="AV203" s="8" t="b">
        <f t="shared" ref="AV203:AV266" si="1281">N203&lt;Y203</f>
        <v>0</v>
      </c>
      <c r="AW203" s="8" t="b">
        <f t="shared" ref="AW203:AW266" si="1282">Z203&lt;=AK203</f>
        <v>1</v>
      </c>
      <c r="AX203" s="8" t="str">
        <f t="shared" ref="AX203:AX266" si="1283">IF(I203&gt;=1,"Qcorrecto",IF(AND(AY203="aceptable",AZ203="aceptable",BA203="aceptable"),"Qcorrecto","Qincorrecto"))</f>
        <v>Qcorrecto</v>
      </c>
      <c r="AY203" s="22" t="str">
        <f t="shared" si="1263"/>
        <v>aceptable</v>
      </c>
      <c r="AZ203" s="22" t="str">
        <f t="shared" si="1264"/>
        <v>aceptable</v>
      </c>
      <c r="BA203" s="22" t="str">
        <f t="shared" ref="BA203:BA266" si="1284">IF(T203&lt;$J$6*0.9,"error",IF(T203&gt;$J$6,"error","aceptable"))</f>
        <v>aceptable</v>
      </c>
      <c r="BB203" s="25" t="str">
        <f t="shared" ref="BB203:BB266" si="1285">(IF(ABS(U203)&lt;1.05,"CONFORME",IF(ABS(AG203)&lt;1.05,"CONFORME",IF(ABS(AS203)&lt;2.55,"CONFORME","NO CONFORME"))))</f>
        <v>NO CONFORME</v>
      </c>
      <c r="BC203" s="5" t="str">
        <f t="shared" ref="BC203:BC266" si="1286">(IF(ABS(U203)&gt;2.05,"NO CONFORME",IF(ABS(AG203)&gt;2.05,"NO CONFORME",IF(ABS(AS203)&gt;5.05,"NO CONFORME","CONFORME"))))</f>
        <v>NO CONFORME</v>
      </c>
      <c r="BD203" s="15">
        <f t="shared" si="1265"/>
        <v>-1</v>
      </c>
      <c r="BE203" s="15">
        <f t="shared" si="1266"/>
        <v>-1</v>
      </c>
      <c r="BF203" s="15">
        <f t="shared" si="1267"/>
        <v>-1</v>
      </c>
      <c r="BG203" s="15" t="str">
        <f t="shared" si="1268"/>
        <v>-1-1-1</v>
      </c>
      <c r="BH203" s="15" t="str">
        <f t="shared" si="1269"/>
        <v>SD</v>
      </c>
      <c r="BI203" s="15" t="str">
        <f t="shared" si="1270"/>
        <v>SI</v>
      </c>
      <c r="BJ203" s="15" t="b">
        <f t="shared" si="1271"/>
        <v>1</v>
      </c>
      <c r="BK203" s="15" t="str">
        <f t="shared" si="1272"/>
        <v>SIGIGUALES</v>
      </c>
      <c r="BL203" s="22" t="str">
        <f t="shared" si="1273"/>
        <v>NO CONFORME</v>
      </c>
    </row>
    <row r="204" spans="1:64" ht="14.4" x14ac:dyDescent="0.3">
      <c r="A204" s="91">
        <v>196</v>
      </c>
      <c r="B204" s="28">
        <f t="shared" ref="B204:E204" si="1287">B203</f>
        <v>45920</v>
      </c>
      <c r="C204" s="28">
        <f t="shared" si="1287"/>
        <v>45920</v>
      </c>
      <c r="D204" s="12">
        <f t="shared" si="1287"/>
        <v>3</v>
      </c>
      <c r="E204" s="10">
        <f t="shared" si="1287"/>
        <v>8</v>
      </c>
      <c r="F204" s="13"/>
      <c r="G204" s="157"/>
      <c r="H204" s="70">
        <f t="shared" ref="H204:L204" si="1288">H203</f>
        <v>25.6</v>
      </c>
      <c r="I204" s="36">
        <f t="shared" si="1288"/>
        <v>0</v>
      </c>
      <c r="J204" s="35">
        <f t="shared" si="1288"/>
        <v>20.9</v>
      </c>
      <c r="K204" s="122">
        <f t="shared" si="1288"/>
        <v>8.4730000000000008</v>
      </c>
      <c r="L204" s="122">
        <f t="shared" si="1288"/>
        <v>0.52100000000000002</v>
      </c>
      <c r="M204" s="41"/>
      <c r="N204" s="41"/>
      <c r="O204" s="32">
        <f t="shared" ref="O204:P204" si="1289">O203</f>
        <v>100.48</v>
      </c>
      <c r="P204" s="168" t="str">
        <f t="shared" si="1289"/>
        <v>2,29,610</v>
      </c>
      <c r="Q204" s="11" t="str">
        <f t="shared" si="916"/>
        <v>2</v>
      </c>
      <c r="R204" s="11" t="str">
        <f t="shared" si="917"/>
        <v>29,610</v>
      </c>
      <c r="S204" s="11">
        <f t="shared" si="918"/>
        <v>4.1558333333333336E-2</v>
      </c>
      <c r="T204" s="14">
        <f t="shared" si="919"/>
        <v>2417.8062963705634</v>
      </c>
      <c r="U204" s="37">
        <f t="shared" si="920"/>
        <v>-100</v>
      </c>
      <c r="V204" s="38">
        <f t="shared" ref="V204:W204" si="1290">V203</f>
        <v>21.3</v>
      </c>
      <c r="W204" s="124">
        <f t="shared" si="1290"/>
        <v>1.0960000000000001</v>
      </c>
      <c r="X204" s="124">
        <f t="shared" si="1277"/>
        <v>1.0880000000000001</v>
      </c>
      <c r="Y204" s="41"/>
      <c r="Z204" s="41"/>
      <c r="AA204" s="90">
        <f t="shared" ref="AA204:AB204" si="1291">AA203</f>
        <v>5.01</v>
      </c>
      <c r="AB204" s="73" t="str">
        <f t="shared" si="1291"/>
        <v>11,15,880</v>
      </c>
      <c r="AC204" s="11" t="str">
        <f t="shared" si="923"/>
        <v>11</v>
      </c>
      <c r="AD204" s="11" t="str">
        <f t="shared" si="924"/>
        <v>15,880</v>
      </c>
      <c r="AE204" s="11">
        <f t="shared" si="925"/>
        <v>0.18774444444444444</v>
      </c>
      <c r="AF204" s="14">
        <f t="shared" si="926"/>
        <v>26.685210392377346</v>
      </c>
      <c r="AG204" s="39">
        <f t="shared" si="927"/>
        <v>-100</v>
      </c>
      <c r="AH204" s="38">
        <f t="shared" ref="AH204:AJ219" si="1292">AH203</f>
        <v>18.399999999999999</v>
      </c>
      <c r="AI204" s="124">
        <f t="shared" si="1292"/>
        <v>1.0980000000000001</v>
      </c>
      <c r="AJ204" s="124">
        <f t="shared" si="1292"/>
        <v>1.087</v>
      </c>
      <c r="AK204" s="41">
        <f t="shared" si="928"/>
        <v>0</v>
      </c>
      <c r="AL204" s="41"/>
      <c r="AM204" s="34">
        <f t="shared" ref="AM204:AN204" si="1293">AM203</f>
        <v>2.0049999999999999</v>
      </c>
      <c r="AN204" s="33" t="str">
        <f t="shared" si="1293"/>
        <v>7,19,050</v>
      </c>
      <c r="AO204" s="11" t="str">
        <f t="shared" si="930"/>
        <v>7,</v>
      </c>
      <c r="AP204" s="11" t="str">
        <f t="shared" si="931"/>
        <v>19,050</v>
      </c>
      <c r="AQ204" s="11">
        <f t="shared" si="932"/>
        <v>0.12195833333333334</v>
      </c>
      <c r="AR204" s="14">
        <f t="shared" si="933"/>
        <v>16.44004099760847</v>
      </c>
      <c r="AS204" s="39">
        <f t="shared" si="934"/>
        <v>-100</v>
      </c>
      <c r="AT204" s="40" t="str">
        <f t="shared" si="935"/>
        <v>NO CONFORME</v>
      </c>
      <c r="AU204" s="8" t="b">
        <f t="shared" si="1280"/>
        <v>1</v>
      </c>
      <c r="AV204" s="8" t="b">
        <f t="shared" si="1281"/>
        <v>0</v>
      </c>
      <c r="AW204" s="8" t="b">
        <f t="shared" si="1282"/>
        <v>1</v>
      </c>
      <c r="AX204" s="8" t="str">
        <f t="shared" si="1283"/>
        <v>Qcorrecto</v>
      </c>
      <c r="AY204" s="22" t="str">
        <f t="shared" si="1263"/>
        <v>aceptable</v>
      </c>
      <c r="AZ204" s="22" t="str">
        <f t="shared" si="1264"/>
        <v>aceptable</v>
      </c>
      <c r="BA204" s="22" t="str">
        <f t="shared" si="1284"/>
        <v>aceptable</v>
      </c>
      <c r="BB204" s="25" t="str">
        <f t="shared" si="1285"/>
        <v>NO CONFORME</v>
      </c>
      <c r="BC204" s="5" t="str">
        <f t="shared" si="1286"/>
        <v>NO CONFORME</v>
      </c>
      <c r="BD204" s="15">
        <f t="shared" si="1265"/>
        <v>-1</v>
      </c>
      <c r="BE204" s="15">
        <f t="shared" si="1266"/>
        <v>-1</v>
      </c>
      <c r="BF204" s="15">
        <f t="shared" si="1267"/>
        <v>-1</v>
      </c>
      <c r="BG204" s="15" t="str">
        <f t="shared" si="1268"/>
        <v>-1-1-1</v>
      </c>
      <c r="BH204" s="15" t="str">
        <f t="shared" si="1269"/>
        <v>SD</v>
      </c>
      <c r="BI204" s="15" t="str">
        <f t="shared" si="1270"/>
        <v>SI</v>
      </c>
      <c r="BJ204" s="15" t="b">
        <f t="shared" si="1271"/>
        <v>1</v>
      </c>
      <c r="BK204" s="15" t="str">
        <f t="shared" si="1272"/>
        <v>SIGIGUALES</v>
      </c>
      <c r="BL204" s="22" t="str">
        <f t="shared" si="1273"/>
        <v>NO CONFORME</v>
      </c>
    </row>
    <row r="205" spans="1:64" ht="14.4" x14ac:dyDescent="0.3">
      <c r="A205" s="91">
        <v>197</v>
      </c>
      <c r="B205" s="28">
        <f t="shared" ref="B205:E205" si="1294">B204</f>
        <v>45920</v>
      </c>
      <c r="C205" s="28">
        <f t="shared" si="1294"/>
        <v>45920</v>
      </c>
      <c r="D205" s="12">
        <f t="shared" si="1294"/>
        <v>3</v>
      </c>
      <c r="E205" s="10">
        <f t="shared" si="1294"/>
        <v>8</v>
      </c>
      <c r="F205" s="13"/>
      <c r="G205" s="157"/>
      <c r="H205" s="70">
        <f t="shared" ref="H205:L205" si="1295">H204</f>
        <v>25.6</v>
      </c>
      <c r="I205" s="36">
        <f t="shared" si="1295"/>
        <v>0</v>
      </c>
      <c r="J205" s="35">
        <f t="shared" si="1295"/>
        <v>20.9</v>
      </c>
      <c r="K205" s="122">
        <f t="shared" si="1295"/>
        <v>8.4730000000000008</v>
      </c>
      <c r="L205" s="122">
        <f t="shared" si="1295"/>
        <v>0.52100000000000002</v>
      </c>
      <c r="M205" s="41"/>
      <c r="N205" s="41"/>
      <c r="O205" s="32">
        <f t="shared" ref="O205:P205" si="1296">O204</f>
        <v>100.48</v>
      </c>
      <c r="P205" s="168" t="str">
        <f t="shared" si="1296"/>
        <v>2,29,610</v>
      </c>
      <c r="Q205" s="11" t="str">
        <f t="shared" si="916"/>
        <v>2</v>
      </c>
      <c r="R205" s="11" t="str">
        <f t="shared" si="917"/>
        <v>29,610</v>
      </c>
      <c r="S205" s="11">
        <f t="shared" si="918"/>
        <v>4.1558333333333336E-2</v>
      </c>
      <c r="T205" s="14">
        <f t="shared" si="919"/>
        <v>2417.8062963705634</v>
      </c>
      <c r="U205" s="37">
        <f t="shared" si="920"/>
        <v>-100</v>
      </c>
      <c r="V205" s="38">
        <f t="shared" ref="V205:W205" si="1297">V204</f>
        <v>21.3</v>
      </c>
      <c r="W205" s="124">
        <f t="shared" si="1297"/>
        <v>1.0960000000000001</v>
      </c>
      <c r="X205" s="124">
        <f t="shared" si="1277"/>
        <v>1.0880000000000001</v>
      </c>
      <c r="Y205" s="41"/>
      <c r="Z205" s="41"/>
      <c r="AA205" s="90">
        <f t="shared" ref="AA205:AB205" si="1298">AA204</f>
        <v>5.01</v>
      </c>
      <c r="AB205" s="73" t="str">
        <f t="shared" si="1298"/>
        <v>11,15,880</v>
      </c>
      <c r="AC205" s="11" t="str">
        <f t="shared" si="923"/>
        <v>11</v>
      </c>
      <c r="AD205" s="11" t="str">
        <f t="shared" si="924"/>
        <v>15,880</v>
      </c>
      <c r="AE205" s="11">
        <f t="shared" si="925"/>
        <v>0.18774444444444444</v>
      </c>
      <c r="AF205" s="14">
        <f t="shared" si="926"/>
        <v>26.685210392377346</v>
      </c>
      <c r="AG205" s="39">
        <f t="shared" si="927"/>
        <v>-100</v>
      </c>
      <c r="AH205" s="38">
        <f t="shared" si="1292"/>
        <v>18.399999999999999</v>
      </c>
      <c r="AI205" s="124">
        <f t="shared" si="1292"/>
        <v>1.0980000000000001</v>
      </c>
      <c r="AJ205" s="124">
        <f t="shared" si="1292"/>
        <v>1.087</v>
      </c>
      <c r="AK205" s="41">
        <f t="shared" si="928"/>
        <v>0</v>
      </c>
      <c r="AL205" s="41"/>
      <c r="AM205" s="34">
        <f t="shared" ref="AM205:AN205" si="1299">AM204</f>
        <v>2.0049999999999999</v>
      </c>
      <c r="AN205" s="33" t="str">
        <f t="shared" si="1299"/>
        <v>7,19,050</v>
      </c>
      <c r="AO205" s="11" t="str">
        <f t="shared" si="930"/>
        <v>7,</v>
      </c>
      <c r="AP205" s="11" t="str">
        <f t="shared" si="931"/>
        <v>19,050</v>
      </c>
      <c r="AQ205" s="11">
        <f t="shared" si="932"/>
        <v>0.12195833333333334</v>
      </c>
      <c r="AR205" s="14">
        <f t="shared" si="933"/>
        <v>16.44004099760847</v>
      </c>
      <c r="AS205" s="39">
        <f t="shared" si="934"/>
        <v>-100</v>
      </c>
      <c r="AT205" s="40" t="str">
        <f t="shared" si="935"/>
        <v>NO CONFORME</v>
      </c>
      <c r="AU205" s="8" t="b">
        <f t="shared" si="1280"/>
        <v>1</v>
      </c>
      <c r="AV205" s="8" t="b">
        <f t="shared" si="1281"/>
        <v>0</v>
      </c>
      <c r="AW205" s="8" t="b">
        <f t="shared" si="1282"/>
        <v>1</v>
      </c>
      <c r="AX205" s="8" t="str">
        <f t="shared" si="1283"/>
        <v>Qcorrecto</v>
      </c>
      <c r="AY205" s="22" t="str">
        <f t="shared" si="1263"/>
        <v>aceptable</v>
      </c>
      <c r="AZ205" s="22" t="str">
        <f t="shared" si="1264"/>
        <v>aceptable</v>
      </c>
      <c r="BA205" s="22" t="str">
        <f t="shared" si="1284"/>
        <v>aceptable</v>
      </c>
      <c r="BB205" s="25" t="str">
        <f t="shared" si="1285"/>
        <v>NO CONFORME</v>
      </c>
      <c r="BC205" s="5" t="str">
        <f t="shared" si="1286"/>
        <v>NO CONFORME</v>
      </c>
      <c r="BD205" s="15">
        <f t="shared" si="1265"/>
        <v>-1</v>
      </c>
      <c r="BE205" s="15">
        <f t="shared" si="1266"/>
        <v>-1</v>
      </c>
      <c r="BF205" s="15">
        <f t="shared" si="1267"/>
        <v>-1</v>
      </c>
      <c r="BG205" s="15" t="str">
        <f t="shared" si="1268"/>
        <v>-1-1-1</v>
      </c>
      <c r="BH205" s="15" t="str">
        <f t="shared" si="1269"/>
        <v>SD</v>
      </c>
      <c r="BI205" s="15" t="str">
        <f t="shared" si="1270"/>
        <v>SI</v>
      </c>
      <c r="BJ205" s="15" t="b">
        <f t="shared" si="1271"/>
        <v>1</v>
      </c>
      <c r="BK205" s="15" t="str">
        <f t="shared" si="1272"/>
        <v>SIGIGUALES</v>
      </c>
      <c r="BL205" s="22" t="str">
        <f t="shared" si="1273"/>
        <v>NO CONFORME</v>
      </c>
    </row>
    <row r="206" spans="1:64" ht="14.4" x14ac:dyDescent="0.3">
      <c r="A206" s="91">
        <v>198</v>
      </c>
      <c r="B206" s="28">
        <f t="shared" ref="B206:E206" si="1300">B205</f>
        <v>45920</v>
      </c>
      <c r="C206" s="28">
        <f t="shared" si="1300"/>
        <v>45920</v>
      </c>
      <c r="D206" s="12">
        <f t="shared" si="1300"/>
        <v>3</v>
      </c>
      <c r="E206" s="10">
        <f t="shared" si="1300"/>
        <v>8</v>
      </c>
      <c r="F206" s="13"/>
      <c r="G206" s="157"/>
      <c r="H206" s="70">
        <f t="shared" ref="H206:L206" si="1301">H205</f>
        <v>25.6</v>
      </c>
      <c r="I206" s="36">
        <f t="shared" si="1301"/>
        <v>0</v>
      </c>
      <c r="J206" s="35">
        <f t="shared" si="1301"/>
        <v>20.9</v>
      </c>
      <c r="K206" s="122">
        <f t="shared" si="1301"/>
        <v>8.4730000000000008</v>
      </c>
      <c r="L206" s="122">
        <f t="shared" si="1301"/>
        <v>0.52100000000000002</v>
      </c>
      <c r="M206" s="41"/>
      <c r="N206" s="41"/>
      <c r="O206" s="32">
        <f t="shared" ref="O206:P206" si="1302">O205</f>
        <v>100.48</v>
      </c>
      <c r="P206" s="168" t="str">
        <f t="shared" si="1302"/>
        <v>2,29,610</v>
      </c>
      <c r="Q206" s="11" t="str">
        <f t="shared" si="916"/>
        <v>2</v>
      </c>
      <c r="R206" s="11" t="str">
        <f t="shared" si="917"/>
        <v>29,610</v>
      </c>
      <c r="S206" s="11">
        <f t="shared" si="918"/>
        <v>4.1558333333333336E-2</v>
      </c>
      <c r="T206" s="14">
        <f t="shared" si="919"/>
        <v>2417.8062963705634</v>
      </c>
      <c r="U206" s="37">
        <f t="shared" si="920"/>
        <v>-100</v>
      </c>
      <c r="V206" s="38">
        <f t="shared" ref="V206:W206" si="1303">V205</f>
        <v>21.3</v>
      </c>
      <c r="W206" s="124">
        <f t="shared" si="1303"/>
        <v>1.0960000000000001</v>
      </c>
      <c r="X206" s="124">
        <f t="shared" si="1277"/>
        <v>1.0880000000000001</v>
      </c>
      <c r="Y206" s="41"/>
      <c r="Z206" s="41"/>
      <c r="AA206" s="90">
        <f t="shared" ref="AA206:AB206" si="1304">AA205</f>
        <v>5.01</v>
      </c>
      <c r="AB206" s="73" t="str">
        <f t="shared" si="1304"/>
        <v>11,15,880</v>
      </c>
      <c r="AC206" s="11" t="str">
        <f t="shared" si="923"/>
        <v>11</v>
      </c>
      <c r="AD206" s="11" t="str">
        <f t="shared" si="924"/>
        <v>15,880</v>
      </c>
      <c r="AE206" s="11">
        <f t="shared" si="925"/>
        <v>0.18774444444444444</v>
      </c>
      <c r="AF206" s="14">
        <f t="shared" si="926"/>
        <v>26.685210392377346</v>
      </c>
      <c r="AG206" s="39">
        <f t="shared" si="927"/>
        <v>-100</v>
      </c>
      <c r="AH206" s="38">
        <f t="shared" si="1292"/>
        <v>18.399999999999999</v>
      </c>
      <c r="AI206" s="124">
        <f t="shared" si="1292"/>
        <v>1.0980000000000001</v>
      </c>
      <c r="AJ206" s="124">
        <f t="shared" si="1292"/>
        <v>1.087</v>
      </c>
      <c r="AK206" s="41">
        <f t="shared" si="928"/>
        <v>0</v>
      </c>
      <c r="AL206" s="41"/>
      <c r="AM206" s="34">
        <f t="shared" ref="AM206:AN206" si="1305">AM205</f>
        <v>2.0049999999999999</v>
      </c>
      <c r="AN206" s="33" t="str">
        <f t="shared" si="1305"/>
        <v>7,19,050</v>
      </c>
      <c r="AO206" s="11" t="str">
        <f t="shared" si="930"/>
        <v>7,</v>
      </c>
      <c r="AP206" s="11" t="str">
        <f t="shared" si="931"/>
        <v>19,050</v>
      </c>
      <c r="AQ206" s="11">
        <f t="shared" si="932"/>
        <v>0.12195833333333334</v>
      </c>
      <c r="AR206" s="14">
        <f t="shared" si="933"/>
        <v>16.44004099760847</v>
      </c>
      <c r="AS206" s="39">
        <f t="shared" si="934"/>
        <v>-100</v>
      </c>
      <c r="AT206" s="40" t="str">
        <f t="shared" si="935"/>
        <v>NO CONFORME</v>
      </c>
      <c r="AU206" s="8" t="b">
        <f t="shared" si="1280"/>
        <v>1</v>
      </c>
      <c r="AV206" s="8" t="b">
        <f t="shared" si="1281"/>
        <v>0</v>
      </c>
      <c r="AW206" s="8" t="b">
        <f t="shared" si="1282"/>
        <v>1</v>
      </c>
      <c r="AX206" s="8" t="str">
        <f t="shared" si="1283"/>
        <v>Qcorrecto</v>
      </c>
      <c r="AY206" s="22" t="str">
        <f t="shared" si="1263"/>
        <v>aceptable</v>
      </c>
      <c r="AZ206" s="22" t="str">
        <f t="shared" si="1264"/>
        <v>aceptable</v>
      </c>
      <c r="BA206" s="22" t="str">
        <f t="shared" si="1284"/>
        <v>aceptable</v>
      </c>
      <c r="BB206" s="25" t="str">
        <f t="shared" si="1285"/>
        <v>NO CONFORME</v>
      </c>
      <c r="BC206" s="5" t="str">
        <f t="shared" si="1286"/>
        <v>NO CONFORME</v>
      </c>
      <c r="BD206" s="15">
        <f t="shared" si="1265"/>
        <v>-1</v>
      </c>
      <c r="BE206" s="15">
        <f t="shared" si="1266"/>
        <v>-1</v>
      </c>
      <c r="BF206" s="15">
        <f t="shared" si="1267"/>
        <v>-1</v>
      </c>
      <c r="BG206" s="15" t="str">
        <f t="shared" si="1268"/>
        <v>-1-1-1</v>
      </c>
      <c r="BH206" s="15" t="str">
        <f t="shared" si="1269"/>
        <v>SD</v>
      </c>
      <c r="BI206" s="15" t="str">
        <f t="shared" si="1270"/>
        <v>SI</v>
      </c>
      <c r="BJ206" s="15" t="b">
        <f t="shared" si="1271"/>
        <v>1</v>
      </c>
      <c r="BK206" s="15" t="str">
        <f t="shared" si="1272"/>
        <v>SIGIGUALES</v>
      </c>
      <c r="BL206" s="22" t="str">
        <f t="shared" si="1273"/>
        <v>NO CONFORME</v>
      </c>
    </row>
    <row r="207" spans="1:64" ht="14.4" x14ac:dyDescent="0.3">
      <c r="A207" s="91">
        <v>199</v>
      </c>
      <c r="B207" s="28">
        <f t="shared" ref="B207:E207" si="1306">B206</f>
        <v>45920</v>
      </c>
      <c r="C207" s="28">
        <f t="shared" si="1306"/>
        <v>45920</v>
      </c>
      <c r="D207" s="12">
        <f t="shared" si="1306"/>
        <v>3</v>
      </c>
      <c r="E207" s="10">
        <f t="shared" si="1306"/>
        <v>8</v>
      </c>
      <c r="F207" s="13"/>
      <c r="G207" s="157"/>
      <c r="H207" s="70">
        <f t="shared" ref="H207:L207" si="1307">H206</f>
        <v>25.6</v>
      </c>
      <c r="I207" s="36">
        <f t="shared" si="1307"/>
        <v>0</v>
      </c>
      <c r="J207" s="35">
        <f t="shared" si="1307"/>
        <v>20.9</v>
      </c>
      <c r="K207" s="122">
        <f t="shared" si="1307"/>
        <v>8.4730000000000008</v>
      </c>
      <c r="L207" s="122">
        <f t="shared" si="1307"/>
        <v>0.52100000000000002</v>
      </c>
      <c r="M207" s="41"/>
      <c r="N207" s="41"/>
      <c r="O207" s="32">
        <f t="shared" ref="O207:P207" si="1308">O206</f>
        <v>100.48</v>
      </c>
      <c r="P207" s="168" t="str">
        <f t="shared" si="1308"/>
        <v>2,29,610</v>
      </c>
      <c r="Q207" s="11" t="str">
        <f t="shared" si="916"/>
        <v>2</v>
      </c>
      <c r="R207" s="11" t="str">
        <f t="shared" si="917"/>
        <v>29,610</v>
      </c>
      <c r="S207" s="11">
        <f t="shared" si="918"/>
        <v>4.1558333333333336E-2</v>
      </c>
      <c r="T207" s="14">
        <f t="shared" si="919"/>
        <v>2417.8062963705634</v>
      </c>
      <c r="U207" s="37">
        <f t="shared" si="920"/>
        <v>-100</v>
      </c>
      <c r="V207" s="38">
        <f t="shared" ref="V207:W207" si="1309">V206</f>
        <v>21.3</v>
      </c>
      <c r="W207" s="124">
        <f t="shared" si="1309"/>
        <v>1.0960000000000001</v>
      </c>
      <c r="X207" s="124">
        <f t="shared" si="1277"/>
        <v>1.0880000000000001</v>
      </c>
      <c r="Y207" s="41"/>
      <c r="Z207" s="41"/>
      <c r="AA207" s="90">
        <f t="shared" ref="AA207:AB207" si="1310">AA206</f>
        <v>5.01</v>
      </c>
      <c r="AB207" s="73" t="str">
        <f t="shared" si="1310"/>
        <v>11,15,880</v>
      </c>
      <c r="AC207" s="11" t="str">
        <f t="shared" si="923"/>
        <v>11</v>
      </c>
      <c r="AD207" s="11" t="str">
        <f t="shared" si="924"/>
        <v>15,880</v>
      </c>
      <c r="AE207" s="11">
        <f t="shared" si="925"/>
        <v>0.18774444444444444</v>
      </c>
      <c r="AF207" s="14">
        <f t="shared" si="926"/>
        <v>26.685210392377346</v>
      </c>
      <c r="AG207" s="39">
        <f t="shared" si="927"/>
        <v>-100</v>
      </c>
      <c r="AH207" s="38">
        <f t="shared" si="1292"/>
        <v>18.399999999999999</v>
      </c>
      <c r="AI207" s="124">
        <f t="shared" si="1292"/>
        <v>1.0980000000000001</v>
      </c>
      <c r="AJ207" s="124">
        <f t="shared" si="1292"/>
        <v>1.087</v>
      </c>
      <c r="AK207" s="41">
        <f t="shared" si="928"/>
        <v>0</v>
      </c>
      <c r="AL207" s="41"/>
      <c r="AM207" s="34">
        <f t="shared" ref="AM207:AN207" si="1311">AM206</f>
        <v>2.0049999999999999</v>
      </c>
      <c r="AN207" s="33" t="str">
        <f t="shared" si="1311"/>
        <v>7,19,050</v>
      </c>
      <c r="AO207" s="11" t="str">
        <f t="shared" si="930"/>
        <v>7,</v>
      </c>
      <c r="AP207" s="11" t="str">
        <f t="shared" si="931"/>
        <v>19,050</v>
      </c>
      <c r="AQ207" s="11">
        <f t="shared" si="932"/>
        <v>0.12195833333333334</v>
      </c>
      <c r="AR207" s="14">
        <f t="shared" si="933"/>
        <v>16.44004099760847</v>
      </c>
      <c r="AS207" s="39">
        <f t="shared" si="934"/>
        <v>-100</v>
      </c>
      <c r="AT207" s="40" t="str">
        <f t="shared" si="935"/>
        <v>NO CONFORME</v>
      </c>
      <c r="AU207" s="8" t="b">
        <f t="shared" si="1280"/>
        <v>1</v>
      </c>
      <c r="AV207" s="8" t="b">
        <f t="shared" si="1281"/>
        <v>0</v>
      </c>
      <c r="AW207" s="8" t="b">
        <f t="shared" si="1282"/>
        <v>1</v>
      </c>
      <c r="AX207" s="8" t="str">
        <f t="shared" si="1283"/>
        <v>Qcorrecto</v>
      </c>
      <c r="AY207" s="22" t="str">
        <f t="shared" si="1263"/>
        <v>aceptable</v>
      </c>
      <c r="AZ207" s="22" t="str">
        <f t="shared" si="1264"/>
        <v>aceptable</v>
      </c>
      <c r="BA207" s="22" t="str">
        <f t="shared" si="1284"/>
        <v>aceptable</v>
      </c>
      <c r="BB207" s="25" t="str">
        <f t="shared" si="1285"/>
        <v>NO CONFORME</v>
      </c>
      <c r="BC207" s="5" t="str">
        <f t="shared" si="1286"/>
        <v>NO CONFORME</v>
      </c>
      <c r="BD207" s="15">
        <f t="shared" si="1265"/>
        <v>-1</v>
      </c>
      <c r="BE207" s="15">
        <f t="shared" si="1266"/>
        <v>-1</v>
      </c>
      <c r="BF207" s="15">
        <f t="shared" si="1267"/>
        <v>-1</v>
      </c>
      <c r="BG207" s="15" t="str">
        <f t="shared" si="1268"/>
        <v>-1-1-1</v>
      </c>
      <c r="BH207" s="15" t="str">
        <f t="shared" si="1269"/>
        <v>SD</v>
      </c>
      <c r="BI207" s="15" t="str">
        <f t="shared" si="1270"/>
        <v>SI</v>
      </c>
      <c r="BJ207" s="15" t="b">
        <f t="shared" si="1271"/>
        <v>1</v>
      </c>
      <c r="BK207" s="15" t="str">
        <f t="shared" si="1272"/>
        <v>SIGIGUALES</v>
      </c>
      <c r="BL207" s="22" t="str">
        <f t="shared" si="1273"/>
        <v>NO CONFORME</v>
      </c>
    </row>
    <row r="208" spans="1:64" ht="14.4" x14ac:dyDescent="0.3">
      <c r="A208" s="91">
        <v>200</v>
      </c>
      <c r="B208" s="28">
        <f t="shared" ref="B208:E208" si="1312">B207</f>
        <v>45920</v>
      </c>
      <c r="C208" s="28">
        <f t="shared" si="1312"/>
        <v>45920</v>
      </c>
      <c r="D208" s="12">
        <f t="shared" si="1312"/>
        <v>3</v>
      </c>
      <c r="E208" s="10">
        <f t="shared" si="1312"/>
        <v>8</v>
      </c>
      <c r="F208" s="13"/>
      <c r="G208" s="157"/>
      <c r="H208" s="70">
        <f t="shared" ref="H208:L208" si="1313">H207</f>
        <v>25.6</v>
      </c>
      <c r="I208" s="36">
        <f t="shared" si="1313"/>
        <v>0</v>
      </c>
      <c r="J208" s="35">
        <f t="shared" si="1313"/>
        <v>20.9</v>
      </c>
      <c r="K208" s="122">
        <f t="shared" si="1313"/>
        <v>8.4730000000000008</v>
      </c>
      <c r="L208" s="122">
        <f t="shared" si="1313"/>
        <v>0.52100000000000002</v>
      </c>
      <c r="M208" s="41"/>
      <c r="N208" s="41"/>
      <c r="O208" s="32">
        <f t="shared" ref="O208:P208" si="1314">O207</f>
        <v>100.48</v>
      </c>
      <c r="P208" s="168" t="str">
        <f t="shared" si="1314"/>
        <v>2,29,610</v>
      </c>
      <c r="Q208" s="11" t="str">
        <f t="shared" si="916"/>
        <v>2</v>
      </c>
      <c r="R208" s="11" t="str">
        <f t="shared" si="917"/>
        <v>29,610</v>
      </c>
      <c r="S208" s="11">
        <f t="shared" si="918"/>
        <v>4.1558333333333336E-2</v>
      </c>
      <c r="T208" s="14">
        <f t="shared" si="919"/>
        <v>2417.8062963705634</v>
      </c>
      <c r="U208" s="37">
        <f t="shared" si="920"/>
        <v>-100</v>
      </c>
      <c r="V208" s="38">
        <f t="shared" ref="V208:W208" si="1315">V207</f>
        <v>21.3</v>
      </c>
      <c r="W208" s="124">
        <f t="shared" si="1315"/>
        <v>1.0960000000000001</v>
      </c>
      <c r="X208" s="124">
        <f t="shared" si="1277"/>
        <v>1.0880000000000001</v>
      </c>
      <c r="Y208" s="41"/>
      <c r="Z208" s="41"/>
      <c r="AA208" s="90">
        <f t="shared" ref="AA208:AB208" si="1316">AA207</f>
        <v>5.01</v>
      </c>
      <c r="AB208" s="73" t="str">
        <f t="shared" si="1316"/>
        <v>11,15,880</v>
      </c>
      <c r="AC208" s="11" t="str">
        <f t="shared" si="923"/>
        <v>11</v>
      </c>
      <c r="AD208" s="11" t="str">
        <f t="shared" si="924"/>
        <v>15,880</v>
      </c>
      <c r="AE208" s="11">
        <f t="shared" si="925"/>
        <v>0.18774444444444444</v>
      </c>
      <c r="AF208" s="14">
        <f t="shared" si="926"/>
        <v>26.685210392377346</v>
      </c>
      <c r="AG208" s="39">
        <f t="shared" si="927"/>
        <v>-100</v>
      </c>
      <c r="AH208" s="38">
        <f t="shared" si="1292"/>
        <v>18.399999999999999</v>
      </c>
      <c r="AI208" s="124">
        <f t="shared" si="1292"/>
        <v>1.0980000000000001</v>
      </c>
      <c r="AJ208" s="124">
        <f t="shared" si="1292"/>
        <v>1.087</v>
      </c>
      <c r="AK208" s="41">
        <f t="shared" si="928"/>
        <v>0</v>
      </c>
      <c r="AL208" s="41"/>
      <c r="AM208" s="34">
        <f t="shared" ref="AM208:AN208" si="1317">AM207</f>
        <v>2.0049999999999999</v>
      </c>
      <c r="AN208" s="33" t="str">
        <f t="shared" si="1317"/>
        <v>7,19,050</v>
      </c>
      <c r="AO208" s="11" t="str">
        <f t="shared" si="930"/>
        <v>7,</v>
      </c>
      <c r="AP208" s="11" t="str">
        <f t="shared" si="931"/>
        <v>19,050</v>
      </c>
      <c r="AQ208" s="11">
        <f t="shared" si="932"/>
        <v>0.12195833333333334</v>
      </c>
      <c r="AR208" s="14">
        <f t="shared" si="933"/>
        <v>16.44004099760847</v>
      </c>
      <c r="AS208" s="39">
        <f t="shared" si="934"/>
        <v>-100</v>
      </c>
      <c r="AT208" s="40" t="str">
        <f t="shared" si="935"/>
        <v>NO CONFORME</v>
      </c>
      <c r="AU208" s="8" t="b">
        <f t="shared" si="1280"/>
        <v>1</v>
      </c>
      <c r="AV208" s="8" t="b">
        <f t="shared" si="1281"/>
        <v>0</v>
      </c>
      <c r="AW208" s="8" t="b">
        <f t="shared" si="1282"/>
        <v>1</v>
      </c>
      <c r="AX208" s="8" t="str">
        <f t="shared" si="1283"/>
        <v>Qcorrecto</v>
      </c>
      <c r="AY208" s="22" t="str">
        <f t="shared" si="1263"/>
        <v>aceptable</v>
      </c>
      <c r="AZ208" s="22" t="str">
        <f t="shared" si="1264"/>
        <v>aceptable</v>
      </c>
      <c r="BA208" s="22" t="str">
        <f t="shared" si="1284"/>
        <v>aceptable</v>
      </c>
      <c r="BB208" s="25" t="str">
        <f t="shared" si="1285"/>
        <v>NO CONFORME</v>
      </c>
      <c r="BC208" s="5" t="str">
        <f t="shared" si="1286"/>
        <v>NO CONFORME</v>
      </c>
      <c r="BD208" s="15">
        <f t="shared" si="1265"/>
        <v>-1</v>
      </c>
      <c r="BE208" s="15">
        <f t="shared" si="1266"/>
        <v>-1</v>
      </c>
      <c r="BF208" s="15">
        <f t="shared" si="1267"/>
        <v>-1</v>
      </c>
      <c r="BG208" s="15" t="str">
        <f t="shared" si="1268"/>
        <v>-1-1-1</v>
      </c>
      <c r="BH208" s="15" t="str">
        <f t="shared" si="1269"/>
        <v>SD</v>
      </c>
      <c r="BI208" s="15" t="str">
        <f t="shared" si="1270"/>
        <v>SI</v>
      </c>
      <c r="BJ208" s="15" t="b">
        <f t="shared" si="1271"/>
        <v>1</v>
      </c>
      <c r="BK208" s="15" t="str">
        <f t="shared" si="1272"/>
        <v>SIGIGUALES</v>
      </c>
      <c r="BL208" s="22" t="str">
        <f t="shared" si="1273"/>
        <v>NO CONFORME</v>
      </c>
    </row>
    <row r="209" spans="1:64" ht="14.4" x14ac:dyDescent="0.3">
      <c r="A209" s="91">
        <v>201</v>
      </c>
      <c r="B209" s="28">
        <f t="shared" ref="B209:E209" si="1318">B208</f>
        <v>45920</v>
      </c>
      <c r="C209" s="28">
        <f t="shared" si="1318"/>
        <v>45920</v>
      </c>
      <c r="D209" s="12">
        <f t="shared" si="1318"/>
        <v>3</v>
      </c>
      <c r="E209" s="10">
        <f t="shared" si="1318"/>
        <v>8</v>
      </c>
      <c r="F209" s="13"/>
      <c r="G209" s="157"/>
      <c r="H209" s="70">
        <f t="shared" ref="H209:L209" si="1319">H208</f>
        <v>25.6</v>
      </c>
      <c r="I209" s="36">
        <f t="shared" si="1319"/>
        <v>0</v>
      </c>
      <c r="J209" s="35">
        <f t="shared" si="1319"/>
        <v>20.9</v>
      </c>
      <c r="K209" s="122">
        <f t="shared" si="1319"/>
        <v>8.4730000000000008</v>
      </c>
      <c r="L209" s="122">
        <f t="shared" si="1319"/>
        <v>0.52100000000000002</v>
      </c>
      <c r="M209" s="41"/>
      <c r="N209" s="41"/>
      <c r="O209" s="32">
        <f t="shared" ref="O209:P209" si="1320">O208</f>
        <v>100.48</v>
      </c>
      <c r="P209" s="168" t="str">
        <f t="shared" si="1320"/>
        <v>2,29,610</v>
      </c>
      <c r="Q209" s="11" t="str">
        <f t="shared" si="916"/>
        <v>2</v>
      </c>
      <c r="R209" s="11" t="str">
        <f t="shared" si="917"/>
        <v>29,610</v>
      </c>
      <c r="S209" s="11">
        <f t="shared" si="918"/>
        <v>4.1558333333333336E-2</v>
      </c>
      <c r="T209" s="14">
        <f t="shared" si="919"/>
        <v>2417.8062963705634</v>
      </c>
      <c r="U209" s="37">
        <f t="shared" si="920"/>
        <v>-100</v>
      </c>
      <c r="V209" s="38">
        <f t="shared" ref="V209:W209" si="1321">V208</f>
        <v>21.3</v>
      </c>
      <c r="W209" s="124">
        <f t="shared" si="1321"/>
        <v>1.0960000000000001</v>
      </c>
      <c r="X209" s="124">
        <f t="shared" si="1277"/>
        <v>1.0880000000000001</v>
      </c>
      <c r="Y209" s="41"/>
      <c r="Z209" s="41"/>
      <c r="AA209" s="90">
        <f t="shared" ref="AA209:AB209" si="1322">AA208</f>
        <v>5.01</v>
      </c>
      <c r="AB209" s="73" t="str">
        <f t="shared" si="1322"/>
        <v>11,15,880</v>
      </c>
      <c r="AC209" s="11" t="str">
        <f t="shared" si="923"/>
        <v>11</v>
      </c>
      <c r="AD209" s="11" t="str">
        <f t="shared" si="924"/>
        <v>15,880</v>
      </c>
      <c r="AE209" s="11">
        <f t="shared" si="925"/>
        <v>0.18774444444444444</v>
      </c>
      <c r="AF209" s="14">
        <f t="shared" si="926"/>
        <v>26.685210392377346</v>
      </c>
      <c r="AG209" s="39">
        <f t="shared" si="927"/>
        <v>-100</v>
      </c>
      <c r="AH209" s="38">
        <f t="shared" si="1292"/>
        <v>18.399999999999999</v>
      </c>
      <c r="AI209" s="124">
        <f t="shared" si="1292"/>
        <v>1.0980000000000001</v>
      </c>
      <c r="AJ209" s="124">
        <f t="shared" si="1292"/>
        <v>1.087</v>
      </c>
      <c r="AK209" s="41">
        <f t="shared" si="928"/>
        <v>0</v>
      </c>
      <c r="AL209" s="41"/>
      <c r="AM209" s="34">
        <f t="shared" ref="AM209:AN209" si="1323">AM208</f>
        <v>2.0049999999999999</v>
      </c>
      <c r="AN209" s="33" t="str">
        <f t="shared" si="1323"/>
        <v>7,19,050</v>
      </c>
      <c r="AO209" s="11" t="str">
        <f t="shared" si="930"/>
        <v>7,</v>
      </c>
      <c r="AP209" s="11" t="str">
        <f t="shared" si="931"/>
        <v>19,050</v>
      </c>
      <c r="AQ209" s="11">
        <f t="shared" si="932"/>
        <v>0.12195833333333334</v>
      </c>
      <c r="AR209" s="14">
        <f t="shared" si="933"/>
        <v>16.44004099760847</v>
      </c>
      <c r="AS209" s="39">
        <f t="shared" si="934"/>
        <v>-100</v>
      </c>
      <c r="AT209" s="40" t="str">
        <f t="shared" si="935"/>
        <v>NO CONFORME</v>
      </c>
      <c r="AU209" s="8" t="b">
        <f t="shared" si="1280"/>
        <v>1</v>
      </c>
      <c r="AV209" s="8" t="b">
        <f t="shared" si="1281"/>
        <v>0</v>
      </c>
      <c r="AW209" s="8" t="b">
        <f t="shared" si="1282"/>
        <v>1</v>
      </c>
      <c r="AX209" s="8" t="str">
        <f t="shared" si="1283"/>
        <v>Qcorrecto</v>
      </c>
      <c r="AY209" s="22" t="str">
        <f t="shared" si="1263"/>
        <v>aceptable</v>
      </c>
      <c r="AZ209" s="22" t="str">
        <f t="shared" si="1264"/>
        <v>aceptable</v>
      </c>
      <c r="BA209" s="22" t="str">
        <f t="shared" si="1284"/>
        <v>aceptable</v>
      </c>
      <c r="BB209" s="25" t="str">
        <f t="shared" si="1285"/>
        <v>NO CONFORME</v>
      </c>
      <c r="BC209" s="5" t="str">
        <f t="shared" si="1286"/>
        <v>NO CONFORME</v>
      </c>
      <c r="BD209" s="15">
        <f t="shared" si="1265"/>
        <v>-1</v>
      </c>
      <c r="BE209" s="15">
        <f t="shared" si="1266"/>
        <v>-1</v>
      </c>
      <c r="BF209" s="15">
        <f t="shared" si="1267"/>
        <v>-1</v>
      </c>
      <c r="BG209" s="15" t="str">
        <f t="shared" si="1268"/>
        <v>-1-1-1</v>
      </c>
      <c r="BH209" s="15" t="str">
        <f t="shared" si="1269"/>
        <v>SD</v>
      </c>
      <c r="BI209" s="15" t="str">
        <f t="shared" si="1270"/>
        <v>SI</v>
      </c>
      <c r="BJ209" s="15" t="b">
        <f t="shared" si="1271"/>
        <v>1</v>
      </c>
      <c r="BK209" s="15" t="str">
        <f t="shared" si="1272"/>
        <v>SIGIGUALES</v>
      </c>
      <c r="BL209" s="22" t="str">
        <f t="shared" si="1273"/>
        <v>NO CONFORME</v>
      </c>
    </row>
    <row r="210" spans="1:64" ht="14.4" x14ac:dyDescent="0.3">
      <c r="A210" s="91">
        <v>202</v>
      </c>
      <c r="B210" s="28">
        <f t="shared" ref="B210:E210" si="1324">B209</f>
        <v>45920</v>
      </c>
      <c r="C210" s="28">
        <f t="shared" si="1324"/>
        <v>45920</v>
      </c>
      <c r="D210" s="12">
        <f t="shared" si="1324"/>
        <v>3</v>
      </c>
      <c r="E210" s="10">
        <f t="shared" si="1324"/>
        <v>8</v>
      </c>
      <c r="F210" s="13"/>
      <c r="G210" s="157"/>
      <c r="H210" s="70">
        <f t="shared" ref="H210:L210" si="1325">H209</f>
        <v>25.6</v>
      </c>
      <c r="I210" s="36">
        <f t="shared" si="1325"/>
        <v>0</v>
      </c>
      <c r="J210" s="35">
        <f t="shared" si="1325"/>
        <v>20.9</v>
      </c>
      <c r="K210" s="122">
        <f t="shared" si="1325"/>
        <v>8.4730000000000008</v>
      </c>
      <c r="L210" s="122">
        <f t="shared" si="1325"/>
        <v>0.52100000000000002</v>
      </c>
      <c r="M210" s="41"/>
      <c r="N210" s="41"/>
      <c r="O210" s="32">
        <f t="shared" ref="O210:P210" si="1326">O209</f>
        <v>100.48</v>
      </c>
      <c r="P210" s="168" t="str">
        <f t="shared" si="1326"/>
        <v>2,29,610</v>
      </c>
      <c r="Q210" s="11" t="str">
        <f t="shared" si="916"/>
        <v>2</v>
      </c>
      <c r="R210" s="11" t="str">
        <f t="shared" si="917"/>
        <v>29,610</v>
      </c>
      <c r="S210" s="11">
        <f t="shared" si="918"/>
        <v>4.1558333333333336E-2</v>
      </c>
      <c r="T210" s="14">
        <f t="shared" si="919"/>
        <v>2417.8062963705634</v>
      </c>
      <c r="U210" s="37">
        <f t="shared" si="920"/>
        <v>-100</v>
      </c>
      <c r="V210" s="38">
        <f t="shared" ref="V210:W210" si="1327">V209</f>
        <v>21.3</v>
      </c>
      <c r="W210" s="124">
        <f t="shared" si="1327"/>
        <v>1.0960000000000001</v>
      </c>
      <c r="X210" s="124">
        <f t="shared" si="1277"/>
        <v>1.0880000000000001</v>
      </c>
      <c r="Y210" s="41"/>
      <c r="Z210" s="41"/>
      <c r="AA210" s="90">
        <f t="shared" ref="AA210:AB210" si="1328">AA209</f>
        <v>5.01</v>
      </c>
      <c r="AB210" s="73" t="str">
        <f t="shared" si="1328"/>
        <v>11,15,880</v>
      </c>
      <c r="AC210" s="11" t="str">
        <f t="shared" si="923"/>
        <v>11</v>
      </c>
      <c r="AD210" s="11" t="str">
        <f t="shared" si="924"/>
        <v>15,880</v>
      </c>
      <c r="AE210" s="11">
        <f t="shared" si="925"/>
        <v>0.18774444444444444</v>
      </c>
      <c r="AF210" s="14">
        <f t="shared" si="926"/>
        <v>26.685210392377346</v>
      </c>
      <c r="AG210" s="39">
        <f t="shared" si="927"/>
        <v>-100</v>
      </c>
      <c r="AH210" s="38">
        <f t="shared" si="1292"/>
        <v>18.399999999999999</v>
      </c>
      <c r="AI210" s="124">
        <f t="shared" si="1292"/>
        <v>1.0980000000000001</v>
      </c>
      <c r="AJ210" s="124">
        <f t="shared" si="1292"/>
        <v>1.087</v>
      </c>
      <c r="AK210" s="41">
        <f t="shared" si="928"/>
        <v>0</v>
      </c>
      <c r="AL210" s="41"/>
      <c r="AM210" s="34">
        <f t="shared" ref="AM210:AN210" si="1329">AM209</f>
        <v>2.0049999999999999</v>
      </c>
      <c r="AN210" s="33" t="str">
        <f t="shared" si="1329"/>
        <v>7,19,050</v>
      </c>
      <c r="AO210" s="11" t="str">
        <f t="shared" si="930"/>
        <v>7,</v>
      </c>
      <c r="AP210" s="11" t="str">
        <f t="shared" si="931"/>
        <v>19,050</v>
      </c>
      <c r="AQ210" s="11">
        <f t="shared" si="932"/>
        <v>0.12195833333333334</v>
      </c>
      <c r="AR210" s="14">
        <f t="shared" si="933"/>
        <v>16.44004099760847</v>
      </c>
      <c r="AS210" s="39">
        <f t="shared" si="934"/>
        <v>-100</v>
      </c>
      <c r="AT210" s="40" t="str">
        <f t="shared" si="935"/>
        <v>NO CONFORME</v>
      </c>
      <c r="AU210" s="8" t="b">
        <f t="shared" si="1280"/>
        <v>1</v>
      </c>
      <c r="AV210" s="8" t="b">
        <f t="shared" si="1281"/>
        <v>0</v>
      </c>
      <c r="AW210" s="8" t="b">
        <f t="shared" si="1282"/>
        <v>1</v>
      </c>
      <c r="AX210" s="8" t="str">
        <f t="shared" si="1283"/>
        <v>Qcorrecto</v>
      </c>
      <c r="AY210" s="22" t="str">
        <f t="shared" si="1263"/>
        <v>aceptable</v>
      </c>
      <c r="AZ210" s="22" t="str">
        <f t="shared" si="1264"/>
        <v>aceptable</v>
      </c>
      <c r="BA210" s="22" t="str">
        <f t="shared" si="1284"/>
        <v>aceptable</v>
      </c>
      <c r="BB210" s="25" t="str">
        <f t="shared" si="1285"/>
        <v>NO CONFORME</v>
      </c>
      <c r="BC210" s="5" t="str">
        <f t="shared" si="1286"/>
        <v>NO CONFORME</v>
      </c>
      <c r="BD210" s="15">
        <f t="shared" si="1265"/>
        <v>-1</v>
      </c>
      <c r="BE210" s="15">
        <f t="shared" si="1266"/>
        <v>-1</v>
      </c>
      <c r="BF210" s="15">
        <f t="shared" si="1267"/>
        <v>-1</v>
      </c>
      <c r="BG210" s="15" t="str">
        <f t="shared" si="1268"/>
        <v>-1-1-1</v>
      </c>
      <c r="BH210" s="15" t="str">
        <f t="shared" si="1269"/>
        <v>SD</v>
      </c>
      <c r="BI210" s="15" t="str">
        <f t="shared" si="1270"/>
        <v>SI</v>
      </c>
      <c r="BJ210" s="15" t="b">
        <f t="shared" si="1271"/>
        <v>1</v>
      </c>
      <c r="BK210" s="15" t="str">
        <f t="shared" si="1272"/>
        <v>SIGIGUALES</v>
      </c>
      <c r="BL210" s="22" t="str">
        <f t="shared" si="1273"/>
        <v>NO CONFORME</v>
      </c>
    </row>
    <row r="211" spans="1:64" ht="14.4" x14ac:dyDescent="0.3">
      <c r="A211" s="91">
        <v>203</v>
      </c>
      <c r="B211" s="28">
        <f t="shared" ref="B211:E211" si="1330">B210</f>
        <v>45920</v>
      </c>
      <c r="C211" s="28">
        <f t="shared" si="1330"/>
        <v>45920</v>
      </c>
      <c r="D211" s="12">
        <f t="shared" si="1330"/>
        <v>3</v>
      </c>
      <c r="E211" s="10">
        <f t="shared" si="1330"/>
        <v>8</v>
      </c>
      <c r="F211" s="13"/>
      <c r="G211" s="157"/>
      <c r="H211" s="70">
        <f t="shared" ref="H211:L211" si="1331">H210</f>
        <v>25.6</v>
      </c>
      <c r="I211" s="36">
        <f t="shared" si="1331"/>
        <v>0</v>
      </c>
      <c r="J211" s="35">
        <f t="shared" si="1331"/>
        <v>20.9</v>
      </c>
      <c r="K211" s="122">
        <f t="shared" si="1331"/>
        <v>8.4730000000000008</v>
      </c>
      <c r="L211" s="122">
        <f t="shared" si="1331"/>
        <v>0.52100000000000002</v>
      </c>
      <c r="M211" s="41"/>
      <c r="N211" s="41"/>
      <c r="O211" s="32">
        <f t="shared" ref="O211:P211" si="1332">O210</f>
        <v>100.48</v>
      </c>
      <c r="P211" s="168" t="str">
        <f t="shared" si="1332"/>
        <v>2,29,610</v>
      </c>
      <c r="Q211" s="11" t="str">
        <f t="shared" si="916"/>
        <v>2</v>
      </c>
      <c r="R211" s="11" t="str">
        <f t="shared" si="917"/>
        <v>29,610</v>
      </c>
      <c r="S211" s="11">
        <f t="shared" si="918"/>
        <v>4.1558333333333336E-2</v>
      </c>
      <c r="T211" s="14">
        <f t="shared" si="919"/>
        <v>2417.8062963705634</v>
      </c>
      <c r="U211" s="37">
        <f t="shared" si="920"/>
        <v>-100</v>
      </c>
      <c r="V211" s="38">
        <f t="shared" ref="V211:W211" si="1333">V210</f>
        <v>21.3</v>
      </c>
      <c r="W211" s="124">
        <f t="shared" si="1333"/>
        <v>1.0960000000000001</v>
      </c>
      <c r="X211" s="124">
        <f t="shared" si="1277"/>
        <v>1.0880000000000001</v>
      </c>
      <c r="Y211" s="41"/>
      <c r="Z211" s="41"/>
      <c r="AA211" s="90">
        <f t="shared" ref="AA211:AB211" si="1334">AA210</f>
        <v>5.01</v>
      </c>
      <c r="AB211" s="73" t="str">
        <f t="shared" si="1334"/>
        <v>11,15,880</v>
      </c>
      <c r="AC211" s="11" t="str">
        <f t="shared" si="923"/>
        <v>11</v>
      </c>
      <c r="AD211" s="11" t="str">
        <f t="shared" si="924"/>
        <v>15,880</v>
      </c>
      <c r="AE211" s="11">
        <f t="shared" si="925"/>
        <v>0.18774444444444444</v>
      </c>
      <c r="AF211" s="14">
        <f t="shared" si="926"/>
        <v>26.685210392377346</v>
      </c>
      <c r="AG211" s="39">
        <f t="shared" si="927"/>
        <v>-100</v>
      </c>
      <c r="AH211" s="38">
        <f t="shared" si="1292"/>
        <v>18.399999999999999</v>
      </c>
      <c r="AI211" s="124">
        <f t="shared" si="1292"/>
        <v>1.0980000000000001</v>
      </c>
      <c r="AJ211" s="124">
        <f t="shared" si="1292"/>
        <v>1.087</v>
      </c>
      <c r="AK211" s="41">
        <f t="shared" si="928"/>
        <v>0</v>
      </c>
      <c r="AL211" s="41"/>
      <c r="AM211" s="34">
        <f t="shared" ref="AM211:AN211" si="1335">AM210</f>
        <v>2.0049999999999999</v>
      </c>
      <c r="AN211" s="33" t="str">
        <f t="shared" si="1335"/>
        <v>7,19,050</v>
      </c>
      <c r="AO211" s="11" t="str">
        <f t="shared" si="930"/>
        <v>7,</v>
      </c>
      <c r="AP211" s="11" t="str">
        <f t="shared" si="931"/>
        <v>19,050</v>
      </c>
      <c r="AQ211" s="11">
        <f t="shared" si="932"/>
        <v>0.12195833333333334</v>
      </c>
      <c r="AR211" s="14">
        <f t="shared" si="933"/>
        <v>16.44004099760847</v>
      </c>
      <c r="AS211" s="39">
        <f t="shared" si="934"/>
        <v>-100</v>
      </c>
      <c r="AT211" s="40" t="str">
        <f t="shared" si="935"/>
        <v>NO CONFORME</v>
      </c>
      <c r="AU211" s="8" t="b">
        <f t="shared" si="1280"/>
        <v>1</v>
      </c>
      <c r="AV211" s="8" t="b">
        <f t="shared" si="1281"/>
        <v>0</v>
      </c>
      <c r="AW211" s="8" t="b">
        <f t="shared" si="1282"/>
        <v>1</v>
      </c>
      <c r="AX211" s="8" t="str">
        <f t="shared" si="1283"/>
        <v>Qcorrecto</v>
      </c>
      <c r="AY211" s="22" t="str">
        <f t="shared" si="1263"/>
        <v>aceptable</v>
      </c>
      <c r="AZ211" s="22" t="str">
        <f t="shared" si="1264"/>
        <v>aceptable</v>
      </c>
      <c r="BA211" s="22" t="str">
        <f t="shared" si="1284"/>
        <v>aceptable</v>
      </c>
      <c r="BB211" s="25" t="str">
        <f t="shared" si="1285"/>
        <v>NO CONFORME</v>
      </c>
      <c r="BC211" s="5" t="str">
        <f t="shared" si="1286"/>
        <v>NO CONFORME</v>
      </c>
      <c r="BD211" s="15">
        <f t="shared" si="1265"/>
        <v>-1</v>
      </c>
      <c r="BE211" s="15">
        <f t="shared" si="1266"/>
        <v>-1</v>
      </c>
      <c r="BF211" s="15">
        <f t="shared" si="1267"/>
        <v>-1</v>
      </c>
      <c r="BG211" s="15" t="str">
        <f t="shared" si="1268"/>
        <v>-1-1-1</v>
      </c>
      <c r="BH211" s="15" t="str">
        <f t="shared" si="1269"/>
        <v>SD</v>
      </c>
      <c r="BI211" s="15" t="str">
        <f t="shared" si="1270"/>
        <v>SI</v>
      </c>
      <c r="BJ211" s="15" t="b">
        <f t="shared" si="1271"/>
        <v>1</v>
      </c>
      <c r="BK211" s="15" t="str">
        <f t="shared" si="1272"/>
        <v>SIGIGUALES</v>
      </c>
      <c r="BL211" s="22" t="str">
        <f t="shared" si="1273"/>
        <v>NO CONFORME</v>
      </c>
    </row>
    <row r="212" spans="1:64" ht="14.4" x14ac:dyDescent="0.3">
      <c r="A212" s="91">
        <v>204</v>
      </c>
      <c r="B212" s="28">
        <f t="shared" ref="B212:E212" si="1336">B211</f>
        <v>45920</v>
      </c>
      <c r="C212" s="28">
        <f t="shared" si="1336"/>
        <v>45920</v>
      </c>
      <c r="D212" s="12">
        <f t="shared" si="1336"/>
        <v>3</v>
      </c>
      <c r="E212" s="10">
        <f t="shared" si="1336"/>
        <v>8</v>
      </c>
      <c r="F212" s="13"/>
      <c r="G212" s="157"/>
      <c r="H212" s="70">
        <f t="shared" ref="H212:L212" si="1337">H211</f>
        <v>25.6</v>
      </c>
      <c r="I212" s="36">
        <f t="shared" si="1337"/>
        <v>0</v>
      </c>
      <c r="J212" s="35">
        <f t="shared" si="1337"/>
        <v>20.9</v>
      </c>
      <c r="K212" s="122">
        <f t="shared" si="1337"/>
        <v>8.4730000000000008</v>
      </c>
      <c r="L212" s="122">
        <f t="shared" si="1337"/>
        <v>0.52100000000000002</v>
      </c>
      <c r="M212" s="41"/>
      <c r="N212" s="41"/>
      <c r="O212" s="32">
        <f t="shared" ref="O212:P212" si="1338">O211</f>
        <v>100.48</v>
      </c>
      <c r="P212" s="168" t="str">
        <f t="shared" si="1338"/>
        <v>2,29,610</v>
      </c>
      <c r="Q212" s="11" t="str">
        <f t="shared" ref="Q212:Q275" si="1339">LEFT(P212,1)</f>
        <v>2</v>
      </c>
      <c r="R212" s="11" t="str">
        <f t="shared" ref="R212:R275" si="1340">RIGHT(P212,6)</f>
        <v>29,610</v>
      </c>
      <c r="S212" s="11">
        <f t="shared" ref="S212:S275" si="1341">+(Q212*60+R212)/(60*60)</f>
        <v>4.1558333333333336E-2</v>
      </c>
      <c r="T212" s="14">
        <f t="shared" ref="T212:T275" si="1342">+O212/S212</f>
        <v>2417.8062963705634</v>
      </c>
      <c r="U212" s="37">
        <f t="shared" ref="U212:U275" si="1343">+(((N212-M212-O212)/O212)*100)</f>
        <v>-100</v>
      </c>
      <c r="V212" s="38">
        <f t="shared" ref="V212:W212" si="1344">V211</f>
        <v>21.3</v>
      </c>
      <c r="W212" s="124">
        <f t="shared" si="1344"/>
        <v>1.0960000000000001</v>
      </c>
      <c r="X212" s="124">
        <f t="shared" si="1277"/>
        <v>1.0880000000000001</v>
      </c>
      <c r="Y212" s="41"/>
      <c r="Z212" s="41"/>
      <c r="AA212" s="90">
        <f t="shared" ref="AA212:AB212" si="1345">AA211</f>
        <v>5.01</v>
      </c>
      <c r="AB212" s="73" t="str">
        <f t="shared" si="1345"/>
        <v>11,15,880</v>
      </c>
      <c r="AC212" s="11" t="str">
        <f t="shared" ref="AC212:AC275" si="1346">LEFT(AB212,2)</f>
        <v>11</v>
      </c>
      <c r="AD212" s="11" t="str">
        <f t="shared" ref="AD212:AD275" si="1347">RIGHT(AB212,6)</f>
        <v>15,880</v>
      </c>
      <c r="AE212" s="11">
        <f t="shared" ref="AE212:AE275" si="1348">+(AC212*60+AD212)/(60*60)</f>
        <v>0.18774444444444444</v>
      </c>
      <c r="AF212" s="14">
        <f t="shared" ref="AF212:AF275" si="1349">+AA212/AE212</f>
        <v>26.685210392377346</v>
      </c>
      <c r="AG212" s="39">
        <f t="shared" ref="AG212:AG275" si="1350">+(((Z212-Y212-AA212)/AA212)*100)</f>
        <v>-100</v>
      </c>
      <c r="AH212" s="38">
        <f t="shared" si="1292"/>
        <v>18.399999999999999</v>
      </c>
      <c r="AI212" s="124">
        <f t="shared" si="1292"/>
        <v>1.0980000000000001</v>
      </c>
      <c r="AJ212" s="124">
        <f t="shared" si="1292"/>
        <v>1.087</v>
      </c>
      <c r="AK212" s="41">
        <f t="shared" ref="AK212:AK275" si="1351">Z212</f>
        <v>0</v>
      </c>
      <c r="AL212" s="41"/>
      <c r="AM212" s="34">
        <f t="shared" ref="AM212:AN212" si="1352">AM211</f>
        <v>2.0049999999999999</v>
      </c>
      <c r="AN212" s="33" t="str">
        <f t="shared" si="1352"/>
        <v>7,19,050</v>
      </c>
      <c r="AO212" s="11" t="str">
        <f t="shared" ref="AO212:AO275" si="1353">LEFT(AN212,2)</f>
        <v>7,</v>
      </c>
      <c r="AP212" s="11" t="str">
        <f t="shared" ref="AP212:AP275" si="1354">RIGHT(AN212,6)</f>
        <v>19,050</v>
      </c>
      <c r="AQ212" s="11">
        <f t="shared" ref="AQ212:AQ275" si="1355">+(AO212*60+AP212)/(60*60)</f>
        <v>0.12195833333333334</v>
      </c>
      <c r="AR212" s="14">
        <f t="shared" ref="AR212:AR275" si="1356">+AM212/AQ212</f>
        <v>16.44004099760847</v>
      </c>
      <c r="AS212" s="39">
        <f t="shared" ref="AS212:AS275" si="1357">+(((AL212-AK212-AM212)/AM212)*100)</f>
        <v>-100</v>
      </c>
      <c r="AT212" s="40" t="str">
        <f t="shared" ref="AT212:AT275" si="1358">IF(I212&gt;=1,"NO CONFORME",IF(BK212="SIGDIFERENTES",BC212,BL212))</f>
        <v>NO CONFORME</v>
      </c>
      <c r="AU212" s="8" t="b">
        <f t="shared" si="1280"/>
        <v>1</v>
      </c>
      <c r="AV212" s="8" t="b">
        <f t="shared" si="1281"/>
        <v>0</v>
      </c>
      <c r="AW212" s="8" t="b">
        <f t="shared" si="1282"/>
        <v>1</v>
      </c>
      <c r="AX212" s="8" t="str">
        <f t="shared" si="1283"/>
        <v>Qcorrecto</v>
      </c>
      <c r="AY212" s="22" t="str">
        <f t="shared" si="1263"/>
        <v>aceptable</v>
      </c>
      <c r="AZ212" s="22" t="str">
        <f t="shared" si="1264"/>
        <v>aceptable</v>
      </c>
      <c r="BA212" s="22" t="str">
        <f t="shared" si="1284"/>
        <v>aceptable</v>
      </c>
      <c r="BB212" s="25" t="str">
        <f t="shared" si="1285"/>
        <v>NO CONFORME</v>
      </c>
      <c r="BC212" s="5" t="str">
        <f t="shared" si="1286"/>
        <v>NO CONFORME</v>
      </c>
      <c r="BD212" s="15">
        <f t="shared" si="1265"/>
        <v>-1</v>
      </c>
      <c r="BE212" s="15">
        <f t="shared" si="1266"/>
        <v>-1</v>
      </c>
      <c r="BF212" s="15">
        <f t="shared" si="1267"/>
        <v>-1</v>
      </c>
      <c r="BG212" s="15" t="str">
        <f t="shared" si="1268"/>
        <v>-1-1-1</v>
      </c>
      <c r="BH212" s="15" t="str">
        <f t="shared" si="1269"/>
        <v>SD</v>
      </c>
      <c r="BI212" s="15" t="str">
        <f t="shared" si="1270"/>
        <v>SI</v>
      </c>
      <c r="BJ212" s="15" t="b">
        <f t="shared" si="1271"/>
        <v>1</v>
      </c>
      <c r="BK212" s="15" t="str">
        <f t="shared" si="1272"/>
        <v>SIGIGUALES</v>
      </c>
      <c r="BL212" s="22" t="str">
        <f t="shared" si="1273"/>
        <v>NO CONFORME</v>
      </c>
    </row>
    <row r="213" spans="1:64" ht="14.4" x14ac:dyDescent="0.3">
      <c r="A213" s="91">
        <v>205</v>
      </c>
      <c r="B213" s="28">
        <f t="shared" ref="B213:E213" si="1359">B212</f>
        <v>45920</v>
      </c>
      <c r="C213" s="28">
        <f t="shared" si="1359"/>
        <v>45920</v>
      </c>
      <c r="D213" s="12">
        <f t="shared" si="1359"/>
        <v>3</v>
      </c>
      <c r="E213" s="10">
        <f t="shared" si="1359"/>
        <v>8</v>
      </c>
      <c r="F213" s="13"/>
      <c r="G213" s="157"/>
      <c r="H213" s="70">
        <f t="shared" ref="H213:L213" si="1360">H212</f>
        <v>25.6</v>
      </c>
      <c r="I213" s="36">
        <f t="shared" si="1360"/>
        <v>0</v>
      </c>
      <c r="J213" s="35">
        <f t="shared" si="1360"/>
        <v>20.9</v>
      </c>
      <c r="K213" s="122">
        <f t="shared" si="1360"/>
        <v>8.4730000000000008</v>
      </c>
      <c r="L213" s="122">
        <f t="shared" si="1360"/>
        <v>0.52100000000000002</v>
      </c>
      <c r="M213" s="41"/>
      <c r="N213" s="41"/>
      <c r="O213" s="32">
        <f t="shared" ref="O213:P213" si="1361">O212</f>
        <v>100.48</v>
      </c>
      <c r="P213" s="168" t="str">
        <f t="shared" si="1361"/>
        <v>2,29,610</v>
      </c>
      <c r="Q213" s="11" t="str">
        <f t="shared" si="1339"/>
        <v>2</v>
      </c>
      <c r="R213" s="11" t="str">
        <f t="shared" si="1340"/>
        <v>29,610</v>
      </c>
      <c r="S213" s="11">
        <f t="shared" si="1341"/>
        <v>4.1558333333333336E-2</v>
      </c>
      <c r="T213" s="14">
        <f t="shared" si="1342"/>
        <v>2417.8062963705634</v>
      </c>
      <c r="U213" s="37">
        <f t="shared" si="1343"/>
        <v>-100</v>
      </c>
      <c r="V213" s="38">
        <f t="shared" ref="V213:W213" si="1362">V212</f>
        <v>21.3</v>
      </c>
      <c r="W213" s="124">
        <f t="shared" si="1362"/>
        <v>1.0960000000000001</v>
      </c>
      <c r="X213" s="124">
        <f t="shared" si="1277"/>
        <v>1.0880000000000001</v>
      </c>
      <c r="Y213" s="41"/>
      <c r="Z213" s="41"/>
      <c r="AA213" s="90">
        <f t="shared" ref="AA213:AB213" si="1363">AA212</f>
        <v>5.01</v>
      </c>
      <c r="AB213" s="73" t="str">
        <f t="shared" si="1363"/>
        <v>11,15,880</v>
      </c>
      <c r="AC213" s="11" t="str">
        <f t="shared" si="1346"/>
        <v>11</v>
      </c>
      <c r="AD213" s="11" t="str">
        <f t="shared" si="1347"/>
        <v>15,880</v>
      </c>
      <c r="AE213" s="11">
        <f t="shared" si="1348"/>
        <v>0.18774444444444444</v>
      </c>
      <c r="AF213" s="14">
        <f t="shared" si="1349"/>
        <v>26.685210392377346</v>
      </c>
      <c r="AG213" s="39">
        <f t="shared" si="1350"/>
        <v>-100</v>
      </c>
      <c r="AH213" s="38">
        <f t="shared" si="1292"/>
        <v>18.399999999999999</v>
      </c>
      <c r="AI213" s="124">
        <f t="shared" si="1292"/>
        <v>1.0980000000000001</v>
      </c>
      <c r="AJ213" s="124">
        <f t="shared" si="1292"/>
        <v>1.087</v>
      </c>
      <c r="AK213" s="41">
        <f t="shared" si="1351"/>
        <v>0</v>
      </c>
      <c r="AL213" s="41"/>
      <c r="AM213" s="34">
        <f t="shared" ref="AM213:AN213" si="1364">AM212</f>
        <v>2.0049999999999999</v>
      </c>
      <c r="AN213" s="33" t="str">
        <f t="shared" si="1364"/>
        <v>7,19,050</v>
      </c>
      <c r="AO213" s="11" t="str">
        <f t="shared" si="1353"/>
        <v>7,</v>
      </c>
      <c r="AP213" s="11" t="str">
        <f t="shared" si="1354"/>
        <v>19,050</v>
      </c>
      <c r="AQ213" s="11">
        <f t="shared" si="1355"/>
        <v>0.12195833333333334</v>
      </c>
      <c r="AR213" s="14">
        <f t="shared" si="1356"/>
        <v>16.44004099760847</v>
      </c>
      <c r="AS213" s="39">
        <f t="shared" si="1357"/>
        <v>-100</v>
      </c>
      <c r="AT213" s="40" t="str">
        <f t="shared" si="1358"/>
        <v>NO CONFORME</v>
      </c>
      <c r="AU213" s="8" t="b">
        <f t="shared" si="1280"/>
        <v>1</v>
      </c>
      <c r="AV213" s="8" t="b">
        <f t="shared" si="1281"/>
        <v>0</v>
      </c>
      <c r="AW213" s="8" t="b">
        <f t="shared" si="1282"/>
        <v>1</v>
      </c>
      <c r="AX213" s="8" t="str">
        <f t="shared" si="1283"/>
        <v>Qcorrecto</v>
      </c>
      <c r="AY213" s="22" t="str">
        <f t="shared" si="1263"/>
        <v>aceptable</v>
      </c>
      <c r="AZ213" s="22" t="str">
        <f t="shared" si="1264"/>
        <v>aceptable</v>
      </c>
      <c r="BA213" s="22" t="str">
        <f t="shared" si="1284"/>
        <v>aceptable</v>
      </c>
      <c r="BB213" s="25" t="str">
        <f t="shared" si="1285"/>
        <v>NO CONFORME</v>
      </c>
      <c r="BC213" s="5" t="str">
        <f t="shared" si="1286"/>
        <v>NO CONFORME</v>
      </c>
      <c r="BD213" s="15">
        <f t="shared" si="1265"/>
        <v>-1</v>
      </c>
      <c r="BE213" s="15">
        <f t="shared" si="1266"/>
        <v>-1</v>
      </c>
      <c r="BF213" s="15">
        <f t="shared" si="1267"/>
        <v>-1</v>
      </c>
      <c r="BG213" s="15" t="str">
        <f t="shared" si="1268"/>
        <v>-1-1-1</v>
      </c>
      <c r="BH213" s="15" t="str">
        <f t="shared" si="1269"/>
        <v>SD</v>
      </c>
      <c r="BI213" s="15" t="str">
        <f t="shared" si="1270"/>
        <v>SI</v>
      </c>
      <c r="BJ213" s="15" t="b">
        <f t="shared" si="1271"/>
        <v>1</v>
      </c>
      <c r="BK213" s="15" t="str">
        <f t="shared" si="1272"/>
        <v>SIGIGUALES</v>
      </c>
      <c r="BL213" s="22" t="str">
        <f t="shared" si="1273"/>
        <v>NO CONFORME</v>
      </c>
    </row>
    <row r="214" spans="1:64" ht="14.4" x14ac:dyDescent="0.3">
      <c r="A214" s="91">
        <v>206</v>
      </c>
      <c r="B214" s="28">
        <f t="shared" ref="B214:E214" si="1365">B213</f>
        <v>45920</v>
      </c>
      <c r="C214" s="28">
        <f t="shared" si="1365"/>
        <v>45920</v>
      </c>
      <c r="D214" s="12">
        <f t="shared" si="1365"/>
        <v>3</v>
      </c>
      <c r="E214" s="10">
        <f t="shared" si="1365"/>
        <v>8</v>
      </c>
      <c r="F214" s="13"/>
      <c r="G214" s="157"/>
      <c r="H214" s="70">
        <f t="shared" ref="H214:L214" si="1366">H213</f>
        <v>25.6</v>
      </c>
      <c r="I214" s="36">
        <f t="shared" si="1366"/>
        <v>0</v>
      </c>
      <c r="J214" s="35">
        <f t="shared" si="1366"/>
        <v>20.9</v>
      </c>
      <c r="K214" s="122">
        <f t="shared" si="1366"/>
        <v>8.4730000000000008</v>
      </c>
      <c r="L214" s="122">
        <f t="shared" si="1366"/>
        <v>0.52100000000000002</v>
      </c>
      <c r="M214" s="41"/>
      <c r="N214" s="41"/>
      <c r="O214" s="32">
        <f t="shared" ref="O214:P214" si="1367">O213</f>
        <v>100.48</v>
      </c>
      <c r="P214" s="168" t="str">
        <f t="shared" si="1367"/>
        <v>2,29,610</v>
      </c>
      <c r="Q214" s="11" t="str">
        <f t="shared" si="1339"/>
        <v>2</v>
      </c>
      <c r="R214" s="11" t="str">
        <f t="shared" si="1340"/>
        <v>29,610</v>
      </c>
      <c r="S214" s="11">
        <f t="shared" si="1341"/>
        <v>4.1558333333333336E-2</v>
      </c>
      <c r="T214" s="14">
        <f t="shared" si="1342"/>
        <v>2417.8062963705634</v>
      </c>
      <c r="U214" s="37">
        <f t="shared" si="1343"/>
        <v>-100</v>
      </c>
      <c r="V214" s="38">
        <f t="shared" ref="V214:W214" si="1368">V213</f>
        <v>21.3</v>
      </c>
      <c r="W214" s="124">
        <f t="shared" si="1368"/>
        <v>1.0960000000000001</v>
      </c>
      <c r="X214" s="124">
        <f t="shared" si="1277"/>
        <v>1.0880000000000001</v>
      </c>
      <c r="Y214" s="41"/>
      <c r="Z214" s="41"/>
      <c r="AA214" s="90">
        <f t="shared" ref="AA214:AB214" si="1369">AA213</f>
        <v>5.01</v>
      </c>
      <c r="AB214" s="73" t="str">
        <f t="shared" si="1369"/>
        <v>11,15,880</v>
      </c>
      <c r="AC214" s="11" t="str">
        <f t="shared" si="1346"/>
        <v>11</v>
      </c>
      <c r="AD214" s="11" t="str">
        <f t="shared" si="1347"/>
        <v>15,880</v>
      </c>
      <c r="AE214" s="11">
        <f t="shared" si="1348"/>
        <v>0.18774444444444444</v>
      </c>
      <c r="AF214" s="14">
        <f t="shared" si="1349"/>
        <v>26.685210392377346</v>
      </c>
      <c r="AG214" s="39">
        <f t="shared" si="1350"/>
        <v>-100</v>
      </c>
      <c r="AH214" s="38">
        <f t="shared" si="1292"/>
        <v>18.399999999999999</v>
      </c>
      <c r="AI214" s="124">
        <f t="shared" si="1292"/>
        <v>1.0980000000000001</v>
      </c>
      <c r="AJ214" s="124">
        <f t="shared" si="1292"/>
        <v>1.087</v>
      </c>
      <c r="AK214" s="41">
        <f t="shared" si="1351"/>
        <v>0</v>
      </c>
      <c r="AL214" s="41"/>
      <c r="AM214" s="34">
        <f t="shared" ref="AM214:AN214" si="1370">AM213</f>
        <v>2.0049999999999999</v>
      </c>
      <c r="AN214" s="33" t="str">
        <f t="shared" si="1370"/>
        <v>7,19,050</v>
      </c>
      <c r="AO214" s="11" t="str">
        <f t="shared" si="1353"/>
        <v>7,</v>
      </c>
      <c r="AP214" s="11" t="str">
        <f t="shared" si="1354"/>
        <v>19,050</v>
      </c>
      <c r="AQ214" s="11">
        <f t="shared" si="1355"/>
        <v>0.12195833333333334</v>
      </c>
      <c r="AR214" s="14">
        <f t="shared" si="1356"/>
        <v>16.44004099760847</v>
      </c>
      <c r="AS214" s="39">
        <f t="shared" si="1357"/>
        <v>-100</v>
      </c>
      <c r="AT214" s="40" t="str">
        <f t="shared" si="1358"/>
        <v>NO CONFORME</v>
      </c>
      <c r="AU214" s="8" t="b">
        <f t="shared" si="1280"/>
        <v>1</v>
      </c>
      <c r="AV214" s="8" t="b">
        <f t="shared" si="1281"/>
        <v>0</v>
      </c>
      <c r="AW214" s="8" t="b">
        <f t="shared" si="1282"/>
        <v>1</v>
      </c>
      <c r="AX214" s="8" t="str">
        <f t="shared" si="1283"/>
        <v>Qcorrecto</v>
      </c>
      <c r="AY214" s="22" t="str">
        <f t="shared" si="1263"/>
        <v>aceptable</v>
      </c>
      <c r="AZ214" s="22" t="str">
        <f t="shared" si="1264"/>
        <v>aceptable</v>
      </c>
      <c r="BA214" s="22" t="str">
        <f t="shared" si="1284"/>
        <v>aceptable</v>
      </c>
      <c r="BB214" s="25" t="str">
        <f t="shared" si="1285"/>
        <v>NO CONFORME</v>
      </c>
      <c r="BC214" s="5" t="str">
        <f t="shared" si="1286"/>
        <v>NO CONFORME</v>
      </c>
      <c r="BD214" s="15">
        <f t="shared" si="1265"/>
        <v>-1</v>
      </c>
      <c r="BE214" s="15">
        <f t="shared" si="1266"/>
        <v>-1</v>
      </c>
      <c r="BF214" s="15">
        <f t="shared" si="1267"/>
        <v>-1</v>
      </c>
      <c r="BG214" s="15" t="str">
        <f t="shared" si="1268"/>
        <v>-1-1-1</v>
      </c>
      <c r="BH214" s="15" t="str">
        <f t="shared" si="1269"/>
        <v>SD</v>
      </c>
      <c r="BI214" s="15" t="str">
        <f t="shared" si="1270"/>
        <v>SI</v>
      </c>
      <c r="BJ214" s="15" t="b">
        <f t="shared" si="1271"/>
        <v>1</v>
      </c>
      <c r="BK214" s="15" t="str">
        <f t="shared" si="1272"/>
        <v>SIGIGUALES</v>
      </c>
      <c r="BL214" s="22" t="str">
        <f t="shared" si="1273"/>
        <v>NO CONFORME</v>
      </c>
    </row>
    <row r="215" spans="1:64" ht="14.4" x14ac:dyDescent="0.3">
      <c r="A215" s="91">
        <v>207</v>
      </c>
      <c r="B215" s="28">
        <f t="shared" ref="B215:E215" si="1371">B214</f>
        <v>45920</v>
      </c>
      <c r="C215" s="28">
        <f t="shared" si="1371"/>
        <v>45920</v>
      </c>
      <c r="D215" s="12">
        <f t="shared" si="1371"/>
        <v>3</v>
      </c>
      <c r="E215" s="10">
        <f t="shared" si="1371"/>
        <v>8</v>
      </c>
      <c r="F215" s="13"/>
      <c r="G215" s="157"/>
      <c r="H215" s="70">
        <f t="shared" ref="H215:L215" si="1372">H214</f>
        <v>25.6</v>
      </c>
      <c r="I215" s="36">
        <f t="shared" si="1372"/>
        <v>0</v>
      </c>
      <c r="J215" s="35">
        <f t="shared" si="1372"/>
        <v>20.9</v>
      </c>
      <c r="K215" s="122">
        <f t="shared" si="1372"/>
        <v>8.4730000000000008</v>
      </c>
      <c r="L215" s="122">
        <f t="shared" si="1372"/>
        <v>0.52100000000000002</v>
      </c>
      <c r="M215" s="41"/>
      <c r="N215" s="41"/>
      <c r="O215" s="32">
        <f t="shared" ref="O215:P215" si="1373">O214</f>
        <v>100.48</v>
      </c>
      <c r="P215" s="168" t="str">
        <f t="shared" si="1373"/>
        <v>2,29,610</v>
      </c>
      <c r="Q215" s="11" t="str">
        <f t="shared" si="1339"/>
        <v>2</v>
      </c>
      <c r="R215" s="11" t="str">
        <f t="shared" si="1340"/>
        <v>29,610</v>
      </c>
      <c r="S215" s="11">
        <f t="shared" si="1341"/>
        <v>4.1558333333333336E-2</v>
      </c>
      <c r="T215" s="14">
        <f t="shared" si="1342"/>
        <v>2417.8062963705634</v>
      </c>
      <c r="U215" s="37">
        <f t="shared" si="1343"/>
        <v>-100</v>
      </c>
      <c r="V215" s="38">
        <f t="shared" ref="V215:W215" si="1374">V214</f>
        <v>21.3</v>
      </c>
      <c r="W215" s="124">
        <f t="shared" si="1374"/>
        <v>1.0960000000000001</v>
      </c>
      <c r="X215" s="124">
        <f t="shared" si="1277"/>
        <v>1.0880000000000001</v>
      </c>
      <c r="Y215" s="41"/>
      <c r="Z215" s="41"/>
      <c r="AA215" s="90">
        <f t="shared" ref="AA215:AB215" si="1375">AA214</f>
        <v>5.01</v>
      </c>
      <c r="AB215" s="73" t="str">
        <f t="shared" si="1375"/>
        <v>11,15,880</v>
      </c>
      <c r="AC215" s="11" t="str">
        <f t="shared" si="1346"/>
        <v>11</v>
      </c>
      <c r="AD215" s="11" t="str">
        <f t="shared" si="1347"/>
        <v>15,880</v>
      </c>
      <c r="AE215" s="11">
        <f t="shared" si="1348"/>
        <v>0.18774444444444444</v>
      </c>
      <c r="AF215" s="14">
        <f t="shared" si="1349"/>
        <v>26.685210392377346</v>
      </c>
      <c r="AG215" s="39">
        <f t="shared" si="1350"/>
        <v>-100</v>
      </c>
      <c r="AH215" s="38">
        <f t="shared" si="1292"/>
        <v>18.399999999999999</v>
      </c>
      <c r="AI215" s="124">
        <f t="shared" si="1292"/>
        <v>1.0980000000000001</v>
      </c>
      <c r="AJ215" s="124">
        <f t="shared" si="1292"/>
        <v>1.087</v>
      </c>
      <c r="AK215" s="41">
        <f t="shared" si="1351"/>
        <v>0</v>
      </c>
      <c r="AL215" s="41"/>
      <c r="AM215" s="34">
        <f t="shared" ref="AM215:AN215" si="1376">AM214</f>
        <v>2.0049999999999999</v>
      </c>
      <c r="AN215" s="33" t="str">
        <f t="shared" si="1376"/>
        <v>7,19,050</v>
      </c>
      <c r="AO215" s="11" t="str">
        <f t="shared" si="1353"/>
        <v>7,</v>
      </c>
      <c r="AP215" s="11" t="str">
        <f t="shared" si="1354"/>
        <v>19,050</v>
      </c>
      <c r="AQ215" s="11">
        <f t="shared" si="1355"/>
        <v>0.12195833333333334</v>
      </c>
      <c r="AR215" s="14">
        <f t="shared" si="1356"/>
        <v>16.44004099760847</v>
      </c>
      <c r="AS215" s="39">
        <f t="shared" si="1357"/>
        <v>-100</v>
      </c>
      <c r="AT215" s="40" t="str">
        <f t="shared" si="1358"/>
        <v>NO CONFORME</v>
      </c>
      <c r="AU215" s="8" t="b">
        <f t="shared" si="1280"/>
        <v>1</v>
      </c>
      <c r="AV215" s="8" t="b">
        <f t="shared" si="1281"/>
        <v>0</v>
      </c>
      <c r="AW215" s="8" t="b">
        <f t="shared" si="1282"/>
        <v>1</v>
      </c>
      <c r="AX215" s="8" t="str">
        <f t="shared" si="1283"/>
        <v>Qcorrecto</v>
      </c>
      <c r="AY215" s="22" t="str">
        <f t="shared" si="1263"/>
        <v>aceptable</v>
      </c>
      <c r="AZ215" s="22" t="str">
        <f t="shared" si="1264"/>
        <v>aceptable</v>
      </c>
      <c r="BA215" s="22" t="str">
        <f t="shared" si="1284"/>
        <v>aceptable</v>
      </c>
      <c r="BB215" s="25" t="str">
        <f t="shared" si="1285"/>
        <v>NO CONFORME</v>
      </c>
      <c r="BC215" s="5" t="str">
        <f t="shared" si="1286"/>
        <v>NO CONFORME</v>
      </c>
      <c r="BD215" s="15">
        <f t="shared" si="1265"/>
        <v>-1</v>
      </c>
      <c r="BE215" s="15">
        <f t="shared" si="1266"/>
        <v>-1</v>
      </c>
      <c r="BF215" s="15">
        <f t="shared" si="1267"/>
        <v>-1</v>
      </c>
      <c r="BG215" s="15" t="str">
        <f t="shared" si="1268"/>
        <v>-1-1-1</v>
      </c>
      <c r="BH215" s="15" t="str">
        <f t="shared" si="1269"/>
        <v>SD</v>
      </c>
      <c r="BI215" s="15" t="str">
        <f t="shared" si="1270"/>
        <v>SI</v>
      </c>
      <c r="BJ215" s="15" t="b">
        <f t="shared" si="1271"/>
        <v>1</v>
      </c>
      <c r="BK215" s="15" t="str">
        <f t="shared" si="1272"/>
        <v>SIGIGUALES</v>
      </c>
      <c r="BL215" s="22" t="str">
        <f t="shared" si="1273"/>
        <v>NO CONFORME</v>
      </c>
    </row>
    <row r="216" spans="1:64" ht="14.4" x14ac:dyDescent="0.3">
      <c r="A216" s="91">
        <v>208</v>
      </c>
      <c r="B216" s="28">
        <f t="shared" ref="B216:E216" si="1377">B215</f>
        <v>45920</v>
      </c>
      <c r="C216" s="28">
        <f t="shared" si="1377"/>
        <v>45920</v>
      </c>
      <c r="D216" s="12">
        <f t="shared" si="1377"/>
        <v>3</v>
      </c>
      <c r="E216" s="10">
        <f t="shared" si="1377"/>
        <v>8</v>
      </c>
      <c r="F216" s="13"/>
      <c r="G216" s="157"/>
      <c r="H216" s="70">
        <f t="shared" ref="H216:L216" si="1378">H215</f>
        <v>25.6</v>
      </c>
      <c r="I216" s="36">
        <f t="shared" si="1378"/>
        <v>0</v>
      </c>
      <c r="J216" s="35">
        <f t="shared" si="1378"/>
        <v>20.9</v>
      </c>
      <c r="K216" s="122">
        <f t="shared" si="1378"/>
        <v>8.4730000000000008</v>
      </c>
      <c r="L216" s="122">
        <f t="shared" si="1378"/>
        <v>0.52100000000000002</v>
      </c>
      <c r="M216" s="41"/>
      <c r="N216" s="41"/>
      <c r="O216" s="32">
        <f t="shared" ref="O216:P216" si="1379">O215</f>
        <v>100.48</v>
      </c>
      <c r="P216" s="168" t="str">
        <f t="shared" si="1379"/>
        <v>2,29,610</v>
      </c>
      <c r="Q216" s="11" t="str">
        <f t="shared" si="1339"/>
        <v>2</v>
      </c>
      <c r="R216" s="11" t="str">
        <f t="shared" si="1340"/>
        <v>29,610</v>
      </c>
      <c r="S216" s="11">
        <f t="shared" si="1341"/>
        <v>4.1558333333333336E-2</v>
      </c>
      <c r="T216" s="14">
        <f t="shared" si="1342"/>
        <v>2417.8062963705634</v>
      </c>
      <c r="U216" s="37">
        <f t="shared" si="1343"/>
        <v>-100</v>
      </c>
      <c r="V216" s="38">
        <f t="shared" ref="V216:W216" si="1380">V215</f>
        <v>21.3</v>
      </c>
      <c r="W216" s="124">
        <f t="shared" si="1380"/>
        <v>1.0960000000000001</v>
      </c>
      <c r="X216" s="124">
        <f t="shared" si="1277"/>
        <v>1.0880000000000001</v>
      </c>
      <c r="Y216" s="41"/>
      <c r="Z216" s="41"/>
      <c r="AA216" s="90">
        <f t="shared" ref="AA216:AB216" si="1381">AA215</f>
        <v>5.01</v>
      </c>
      <c r="AB216" s="73" t="str">
        <f t="shared" si="1381"/>
        <v>11,15,880</v>
      </c>
      <c r="AC216" s="11" t="str">
        <f t="shared" si="1346"/>
        <v>11</v>
      </c>
      <c r="AD216" s="11" t="str">
        <f t="shared" si="1347"/>
        <v>15,880</v>
      </c>
      <c r="AE216" s="11">
        <f t="shared" si="1348"/>
        <v>0.18774444444444444</v>
      </c>
      <c r="AF216" s="14">
        <f t="shared" si="1349"/>
        <v>26.685210392377346</v>
      </c>
      <c r="AG216" s="39">
        <f t="shared" si="1350"/>
        <v>-100</v>
      </c>
      <c r="AH216" s="38">
        <f t="shared" si="1292"/>
        <v>18.399999999999999</v>
      </c>
      <c r="AI216" s="124">
        <f t="shared" si="1292"/>
        <v>1.0980000000000001</v>
      </c>
      <c r="AJ216" s="124">
        <f t="shared" si="1292"/>
        <v>1.087</v>
      </c>
      <c r="AK216" s="41">
        <f t="shared" si="1351"/>
        <v>0</v>
      </c>
      <c r="AL216" s="41"/>
      <c r="AM216" s="34">
        <f t="shared" ref="AM216:AN216" si="1382">AM215</f>
        <v>2.0049999999999999</v>
      </c>
      <c r="AN216" s="33" t="str">
        <f t="shared" si="1382"/>
        <v>7,19,050</v>
      </c>
      <c r="AO216" s="11" t="str">
        <f t="shared" si="1353"/>
        <v>7,</v>
      </c>
      <c r="AP216" s="11" t="str">
        <f t="shared" si="1354"/>
        <v>19,050</v>
      </c>
      <c r="AQ216" s="11">
        <f t="shared" si="1355"/>
        <v>0.12195833333333334</v>
      </c>
      <c r="AR216" s="14">
        <f t="shared" si="1356"/>
        <v>16.44004099760847</v>
      </c>
      <c r="AS216" s="39">
        <f t="shared" si="1357"/>
        <v>-100</v>
      </c>
      <c r="AT216" s="40" t="str">
        <f t="shared" si="1358"/>
        <v>NO CONFORME</v>
      </c>
      <c r="AU216" s="8" t="b">
        <f t="shared" si="1280"/>
        <v>1</v>
      </c>
      <c r="AV216" s="8" t="b">
        <f t="shared" si="1281"/>
        <v>0</v>
      </c>
      <c r="AW216" s="8" t="b">
        <f t="shared" si="1282"/>
        <v>1</v>
      </c>
      <c r="AX216" s="8" t="str">
        <f t="shared" si="1283"/>
        <v>Qcorrecto</v>
      </c>
      <c r="AY216" s="22" t="str">
        <f t="shared" si="1263"/>
        <v>aceptable</v>
      </c>
      <c r="AZ216" s="22" t="str">
        <f t="shared" si="1264"/>
        <v>aceptable</v>
      </c>
      <c r="BA216" s="22" t="str">
        <f t="shared" si="1284"/>
        <v>aceptable</v>
      </c>
      <c r="BB216" s="25" t="str">
        <f t="shared" si="1285"/>
        <v>NO CONFORME</v>
      </c>
      <c r="BC216" s="5" t="str">
        <f t="shared" si="1286"/>
        <v>NO CONFORME</v>
      </c>
      <c r="BD216" s="15">
        <f t="shared" si="1265"/>
        <v>-1</v>
      </c>
      <c r="BE216" s="15">
        <f t="shared" si="1266"/>
        <v>-1</v>
      </c>
      <c r="BF216" s="15">
        <f t="shared" si="1267"/>
        <v>-1</v>
      </c>
      <c r="BG216" s="15" t="str">
        <f t="shared" si="1268"/>
        <v>-1-1-1</v>
      </c>
      <c r="BH216" s="15" t="str">
        <f t="shared" si="1269"/>
        <v>SD</v>
      </c>
      <c r="BI216" s="15" t="str">
        <f t="shared" si="1270"/>
        <v>SI</v>
      </c>
      <c r="BJ216" s="15" t="b">
        <f t="shared" si="1271"/>
        <v>1</v>
      </c>
      <c r="BK216" s="15" t="str">
        <f t="shared" si="1272"/>
        <v>SIGIGUALES</v>
      </c>
      <c r="BL216" s="22" t="str">
        <f t="shared" si="1273"/>
        <v>NO CONFORME</v>
      </c>
    </row>
    <row r="217" spans="1:64" ht="14.4" x14ac:dyDescent="0.3">
      <c r="A217" s="91">
        <v>209</v>
      </c>
      <c r="B217" s="28">
        <f t="shared" ref="B217:E217" si="1383">B216</f>
        <v>45920</v>
      </c>
      <c r="C217" s="28">
        <f t="shared" si="1383"/>
        <v>45920</v>
      </c>
      <c r="D217" s="12">
        <f t="shared" si="1383"/>
        <v>3</v>
      </c>
      <c r="E217" s="10">
        <f t="shared" si="1383"/>
        <v>8</v>
      </c>
      <c r="F217" s="13"/>
      <c r="G217" s="157"/>
      <c r="H217" s="70">
        <f t="shared" ref="H217:L217" si="1384">H216</f>
        <v>25.6</v>
      </c>
      <c r="I217" s="36">
        <f t="shared" si="1384"/>
        <v>0</v>
      </c>
      <c r="J217" s="35">
        <f t="shared" si="1384"/>
        <v>20.9</v>
      </c>
      <c r="K217" s="122">
        <f t="shared" si="1384"/>
        <v>8.4730000000000008</v>
      </c>
      <c r="L217" s="122">
        <f t="shared" si="1384"/>
        <v>0.52100000000000002</v>
      </c>
      <c r="M217" s="41"/>
      <c r="N217" s="41"/>
      <c r="O217" s="32">
        <f t="shared" ref="O217:P217" si="1385">O216</f>
        <v>100.48</v>
      </c>
      <c r="P217" s="168" t="str">
        <f t="shared" si="1385"/>
        <v>2,29,610</v>
      </c>
      <c r="Q217" s="11" t="str">
        <f t="shared" si="1339"/>
        <v>2</v>
      </c>
      <c r="R217" s="11" t="str">
        <f t="shared" si="1340"/>
        <v>29,610</v>
      </c>
      <c r="S217" s="11">
        <f t="shared" si="1341"/>
        <v>4.1558333333333336E-2</v>
      </c>
      <c r="T217" s="14">
        <f t="shared" si="1342"/>
        <v>2417.8062963705634</v>
      </c>
      <c r="U217" s="37">
        <f t="shared" si="1343"/>
        <v>-100</v>
      </c>
      <c r="V217" s="38">
        <f t="shared" ref="V217:W217" si="1386">V216</f>
        <v>21.3</v>
      </c>
      <c r="W217" s="124">
        <f t="shared" si="1386"/>
        <v>1.0960000000000001</v>
      </c>
      <c r="X217" s="124">
        <f t="shared" si="1277"/>
        <v>1.0880000000000001</v>
      </c>
      <c r="Y217" s="41"/>
      <c r="Z217" s="41"/>
      <c r="AA217" s="90">
        <f t="shared" ref="AA217:AB217" si="1387">AA216</f>
        <v>5.01</v>
      </c>
      <c r="AB217" s="73" t="str">
        <f t="shared" si="1387"/>
        <v>11,15,880</v>
      </c>
      <c r="AC217" s="11" t="str">
        <f t="shared" si="1346"/>
        <v>11</v>
      </c>
      <c r="AD217" s="11" t="str">
        <f t="shared" si="1347"/>
        <v>15,880</v>
      </c>
      <c r="AE217" s="11">
        <f t="shared" si="1348"/>
        <v>0.18774444444444444</v>
      </c>
      <c r="AF217" s="14">
        <f t="shared" si="1349"/>
        <v>26.685210392377346</v>
      </c>
      <c r="AG217" s="39">
        <f t="shared" si="1350"/>
        <v>-100</v>
      </c>
      <c r="AH217" s="38">
        <f t="shared" si="1292"/>
        <v>18.399999999999999</v>
      </c>
      <c r="AI217" s="124">
        <f t="shared" si="1292"/>
        <v>1.0980000000000001</v>
      </c>
      <c r="AJ217" s="124">
        <f t="shared" si="1292"/>
        <v>1.087</v>
      </c>
      <c r="AK217" s="41">
        <f t="shared" si="1351"/>
        <v>0</v>
      </c>
      <c r="AL217" s="41"/>
      <c r="AM217" s="34">
        <f t="shared" ref="AM217:AN217" si="1388">AM216</f>
        <v>2.0049999999999999</v>
      </c>
      <c r="AN217" s="33" t="str">
        <f t="shared" si="1388"/>
        <v>7,19,050</v>
      </c>
      <c r="AO217" s="11" t="str">
        <f t="shared" si="1353"/>
        <v>7,</v>
      </c>
      <c r="AP217" s="11" t="str">
        <f t="shared" si="1354"/>
        <v>19,050</v>
      </c>
      <c r="AQ217" s="11">
        <f t="shared" si="1355"/>
        <v>0.12195833333333334</v>
      </c>
      <c r="AR217" s="14">
        <f t="shared" si="1356"/>
        <v>16.44004099760847</v>
      </c>
      <c r="AS217" s="39">
        <f t="shared" si="1357"/>
        <v>-100</v>
      </c>
      <c r="AT217" s="40" t="str">
        <f t="shared" si="1358"/>
        <v>NO CONFORME</v>
      </c>
      <c r="AU217" s="8" t="b">
        <f t="shared" si="1280"/>
        <v>1</v>
      </c>
      <c r="AV217" s="8" t="b">
        <f t="shared" si="1281"/>
        <v>0</v>
      </c>
      <c r="AW217" s="8" t="b">
        <f t="shared" si="1282"/>
        <v>1</v>
      </c>
      <c r="AX217" s="8" t="str">
        <f t="shared" si="1283"/>
        <v>Qcorrecto</v>
      </c>
      <c r="AY217" s="22" t="str">
        <f t="shared" si="1263"/>
        <v>aceptable</v>
      </c>
      <c r="AZ217" s="22" t="str">
        <f t="shared" si="1264"/>
        <v>aceptable</v>
      </c>
      <c r="BA217" s="22" t="str">
        <f t="shared" si="1284"/>
        <v>aceptable</v>
      </c>
      <c r="BB217" s="25" t="str">
        <f t="shared" si="1285"/>
        <v>NO CONFORME</v>
      </c>
      <c r="BC217" s="5" t="str">
        <f t="shared" si="1286"/>
        <v>NO CONFORME</v>
      </c>
      <c r="BD217" s="15">
        <f t="shared" si="1265"/>
        <v>-1</v>
      </c>
      <c r="BE217" s="15">
        <f t="shared" si="1266"/>
        <v>-1</v>
      </c>
      <c r="BF217" s="15">
        <f t="shared" si="1267"/>
        <v>-1</v>
      </c>
      <c r="BG217" s="15" t="str">
        <f t="shared" si="1268"/>
        <v>-1-1-1</v>
      </c>
      <c r="BH217" s="15" t="str">
        <f t="shared" si="1269"/>
        <v>SD</v>
      </c>
      <c r="BI217" s="15" t="str">
        <f t="shared" si="1270"/>
        <v>SI</v>
      </c>
      <c r="BJ217" s="15" t="b">
        <f t="shared" si="1271"/>
        <v>1</v>
      </c>
      <c r="BK217" s="15" t="str">
        <f t="shared" si="1272"/>
        <v>SIGIGUALES</v>
      </c>
      <c r="BL217" s="22" t="str">
        <f t="shared" si="1273"/>
        <v>NO CONFORME</v>
      </c>
    </row>
    <row r="218" spans="1:64" ht="14.4" x14ac:dyDescent="0.3">
      <c r="A218" s="91">
        <v>210</v>
      </c>
      <c r="B218" s="28">
        <f t="shared" ref="B218:E218" si="1389">B217</f>
        <v>45920</v>
      </c>
      <c r="C218" s="28">
        <f t="shared" si="1389"/>
        <v>45920</v>
      </c>
      <c r="D218" s="12">
        <f t="shared" si="1389"/>
        <v>3</v>
      </c>
      <c r="E218" s="10">
        <f t="shared" si="1389"/>
        <v>8</v>
      </c>
      <c r="F218" s="13"/>
      <c r="G218" s="157"/>
      <c r="H218" s="70">
        <f t="shared" ref="H218:L218" si="1390">H217</f>
        <v>25.6</v>
      </c>
      <c r="I218" s="36">
        <f t="shared" si="1390"/>
        <v>0</v>
      </c>
      <c r="J218" s="35">
        <f t="shared" si="1390"/>
        <v>20.9</v>
      </c>
      <c r="K218" s="122">
        <f t="shared" si="1390"/>
        <v>8.4730000000000008</v>
      </c>
      <c r="L218" s="122">
        <f t="shared" si="1390"/>
        <v>0.52100000000000002</v>
      </c>
      <c r="M218" s="41"/>
      <c r="N218" s="41"/>
      <c r="O218" s="32">
        <f t="shared" ref="O218:P218" si="1391">O217</f>
        <v>100.48</v>
      </c>
      <c r="P218" s="168" t="str">
        <f t="shared" si="1391"/>
        <v>2,29,610</v>
      </c>
      <c r="Q218" s="11" t="str">
        <f t="shared" si="1339"/>
        <v>2</v>
      </c>
      <c r="R218" s="11" t="str">
        <f t="shared" si="1340"/>
        <v>29,610</v>
      </c>
      <c r="S218" s="11">
        <f t="shared" si="1341"/>
        <v>4.1558333333333336E-2</v>
      </c>
      <c r="T218" s="14">
        <f t="shared" si="1342"/>
        <v>2417.8062963705634</v>
      </c>
      <c r="U218" s="37">
        <f t="shared" si="1343"/>
        <v>-100</v>
      </c>
      <c r="V218" s="38">
        <f t="shared" ref="V218:W218" si="1392">V217</f>
        <v>21.3</v>
      </c>
      <c r="W218" s="124">
        <f t="shared" si="1392"/>
        <v>1.0960000000000001</v>
      </c>
      <c r="X218" s="124">
        <f t="shared" si="1277"/>
        <v>1.0880000000000001</v>
      </c>
      <c r="Y218" s="41"/>
      <c r="Z218" s="41"/>
      <c r="AA218" s="90">
        <f t="shared" ref="AA218:AB218" si="1393">AA217</f>
        <v>5.01</v>
      </c>
      <c r="AB218" s="73" t="str">
        <f t="shared" si="1393"/>
        <v>11,15,880</v>
      </c>
      <c r="AC218" s="11" t="str">
        <f t="shared" si="1346"/>
        <v>11</v>
      </c>
      <c r="AD218" s="11" t="str">
        <f t="shared" si="1347"/>
        <v>15,880</v>
      </c>
      <c r="AE218" s="11">
        <f t="shared" si="1348"/>
        <v>0.18774444444444444</v>
      </c>
      <c r="AF218" s="14">
        <f t="shared" si="1349"/>
        <v>26.685210392377346</v>
      </c>
      <c r="AG218" s="39">
        <f t="shared" si="1350"/>
        <v>-100</v>
      </c>
      <c r="AH218" s="38">
        <f t="shared" si="1292"/>
        <v>18.399999999999999</v>
      </c>
      <c r="AI218" s="124">
        <f t="shared" si="1292"/>
        <v>1.0980000000000001</v>
      </c>
      <c r="AJ218" s="124">
        <f t="shared" si="1292"/>
        <v>1.087</v>
      </c>
      <c r="AK218" s="41">
        <f t="shared" si="1351"/>
        <v>0</v>
      </c>
      <c r="AL218" s="41"/>
      <c r="AM218" s="34">
        <f t="shared" ref="AM218:AN218" si="1394">AM217</f>
        <v>2.0049999999999999</v>
      </c>
      <c r="AN218" s="33" t="str">
        <f t="shared" si="1394"/>
        <v>7,19,050</v>
      </c>
      <c r="AO218" s="11" t="str">
        <f t="shared" si="1353"/>
        <v>7,</v>
      </c>
      <c r="AP218" s="11" t="str">
        <f t="shared" si="1354"/>
        <v>19,050</v>
      </c>
      <c r="AQ218" s="11">
        <f t="shared" si="1355"/>
        <v>0.12195833333333334</v>
      </c>
      <c r="AR218" s="14">
        <f t="shared" si="1356"/>
        <v>16.44004099760847</v>
      </c>
      <c r="AS218" s="39">
        <f t="shared" si="1357"/>
        <v>-100</v>
      </c>
      <c r="AT218" s="40" t="str">
        <f t="shared" si="1358"/>
        <v>NO CONFORME</v>
      </c>
      <c r="AU218" s="8" t="b">
        <f t="shared" si="1280"/>
        <v>1</v>
      </c>
      <c r="AV218" s="8" t="b">
        <f>N218&lt;Y218</f>
        <v>0</v>
      </c>
      <c r="AW218" s="8" t="b">
        <f t="shared" si="1282"/>
        <v>1</v>
      </c>
      <c r="AX218" s="8" t="str">
        <f t="shared" si="1283"/>
        <v>Qcorrecto</v>
      </c>
      <c r="AY218" s="22" t="str">
        <f t="shared" si="1263"/>
        <v>aceptable</v>
      </c>
      <c r="AZ218" s="22" t="str">
        <f t="shared" si="1264"/>
        <v>aceptable</v>
      </c>
      <c r="BA218" s="22" t="str">
        <f t="shared" si="1284"/>
        <v>aceptable</v>
      </c>
      <c r="BB218" s="25" t="str">
        <f t="shared" si="1285"/>
        <v>NO CONFORME</v>
      </c>
      <c r="BC218" s="5" t="str">
        <f t="shared" si="1286"/>
        <v>NO CONFORME</v>
      </c>
      <c r="BD218" s="15">
        <f t="shared" si="1265"/>
        <v>-1</v>
      </c>
      <c r="BE218" s="15">
        <f t="shared" si="1266"/>
        <v>-1</v>
      </c>
      <c r="BF218" s="15">
        <f t="shared" si="1267"/>
        <v>-1</v>
      </c>
      <c r="BG218" s="15" t="str">
        <f t="shared" si="1268"/>
        <v>-1-1-1</v>
      </c>
      <c r="BH218" s="15" t="str">
        <f t="shared" si="1269"/>
        <v>SD</v>
      </c>
      <c r="BI218" s="15" t="str">
        <f t="shared" si="1270"/>
        <v>SI</v>
      </c>
      <c r="BJ218" s="15" t="b">
        <f t="shared" si="1271"/>
        <v>1</v>
      </c>
      <c r="BK218" s="15" t="str">
        <f t="shared" si="1272"/>
        <v>SIGIGUALES</v>
      </c>
      <c r="BL218" s="22" t="str">
        <f t="shared" si="1273"/>
        <v>NO CONFORME</v>
      </c>
    </row>
    <row r="219" spans="1:64" ht="14.4" x14ac:dyDescent="0.3">
      <c r="A219" s="91">
        <v>211</v>
      </c>
      <c r="B219" s="28">
        <f t="shared" ref="B219:E219" si="1395">B218</f>
        <v>45920</v>
      </c>
      <c r="C219" s="28">
        <f t="shared" si="1395"/>
        <v>45920</v>
      </c>
      <c r="D219" s="12">
        <f t="shared" si="1395"/>
        <v>3</v>
      </c>
      <c r="E219" s="10">
        <f t="shared" si="1395"/>
        <v>8</v>
      </c>
      <c r="F219" s="13"/>
      <c r="G219" s="157"/>
      <c r="H219" s="70">
        <f t="shared" ref="H219:L219" si="1396">H218</f>
        <v>25.6</v>
      </c>
      <c r="I219" s="36">
        <f t="shared" si="1396"/>
        <v>0</v>
      </c>
      <c r="J219" s="35">
        <f t="shared" si="1396"/>
        <v>20.9</v>
      </c>
      <c r="K219" s="122">
        <f t="shared" si="1396"/>
        <v>8.4730000000000008</v>
      </c>
      <c r="L219" s="122">
        <f t="shared" si="1396"/>
        <v>0.52100000000000002</v>
      </c>
      <c r="M219" s="41"/>
      <c r="N219" s="41"/>
      <c r="O219" s="32">
        <f t="shared" ref="O219:P219" si="1397">O218</f>
        <v>100.48</v>
      </c>
      <c r="P219" s="168" t="str">
        <f t="shared" si="1397"/>
        <v>2,29,610</v>
      </c>
      <c r="Q219" s="11" t="str">
        <f t="shared" si="1339"/>
        <v>2</v>
      </c>
      <c r="R219" s="11" t="str">
        <f t="shared" si="1340"/>
        <v>29,610</v>
      </c>
      <c r="S219" s="11">
        <f t="shared" si="1341"/>
        <v>4.1558333333333336E-2</v>
      </c>
      <c r="T219" s="14">
        <f t="shared" si="1342"/>
        <v>2417.8062963705634</v>
      </c>
      <c r="U219" s="37">
        <f t="shared" si="1343"/>
        <v>-100</v>
      </c>
      <c r="V219" s="38">
        <f t="shared" ref="V219:X234" si="1398">V218</f>
        <v>21.3</v>
      </c>
      <c r="W219" s="124">
        <f t="shared" si="1398"/>
        <v>1.0960000000000001</v>
      </c>
      <c r="X219" s="124">
        <f t="shared" si="1398"/>
        <v>1.0880000000000001</v>
      </c>
      <c r="Y219" s="41"/>
      <c r="Z219" s="41"/>
      <c r="AA219" s="90">
        <f t="shared" ref="AA219:AB219" si="1399">AA218</f>
        <v>5.01</v>
      </c>
      <c r="AB219" s="73" t="str">
        <f t="shared" si="1399"/>
        <v>11,15,880</v>
      </c>
      <c r="AC219" s="11" t="str">
        <f t="shared" si="1346"/>
        <v>11</v>
      </c>
      <c r="AD219" s="11" t="str">
        <f t="shared" si="1347"/>
        <v>15,880</v>
      </c>
      <c r="AE219" s="11">
        <f t="shared" si="1348"/>
        <v>0.18774444444444444</v>
      </c>
      <c r="AF219" s="14">
        <f t="shared" si="1349"/>
        <v>26.685210392377346</v>
      </c>
      <c r="AG219" s="39">
        <f t="shared" si="1350"/>
        <v>-100</v>
      </c>
      <c r="AH219" s="38">
        <f t="shared" si="1292"/>
        <v>18.399999999999999</v>
      </c>
      <c r="AI219" s="124">
        <f t="shared" si="1292"/>
        <v>1.0980000000000001</v>
      </c>
      <c r="AJ219" s="124">
        <f t="shared" si="1292"/>
        <v>1.087</v>
      </c>
      <c r="AK219" s="41">
        <f t="shared" si="1351"/>
        <v>0</v>
      </c>
      <c r="AL219" s="41"/>
      <c r="AM219" s="34">
        <f t="shared" ref="AM219:AN219" si="1400">AM218</f>
        <v>2.0049999999999999</v>
      </c>
      <c r="AN219" s="33" t="str">
        <f t="shared" si="1400"/>
        <v>7,19,050</v>
      </c>
      <c r="AO219" s="11" t="str">
        <f t="shared" si="1353"/>
        <v>7,</v>
      </c>
      <c r="AP219" s="11" t="str">
        <f t="shared" si="1354"/>
        <v>19,050</v>
      </c>
      <c r="AQ219" s="11">
        <f t="shared" si="1355"/>
        <v>0.12195833333333334</v>
      </c>
      <c r="AR219" s="14">
        <f t="shared" si="1356"/>
        <v>16.44004099760847</v>
      </c>
      <c r="AS219" s="39">
        <f t="shared" si="1357"/>
        <v>-100</v>
      </c>
      <c r="AT219" s="40" t="str">
        <f t="shared" si="1358"/>
        <v>NO CONFORME</v>
      </c>
      <c r="AU219" s="8" t="b">
        <f t="shared" si="1280"/>
        <v>1</v>
      </c>
      <c r="AV219" s="8" t="b">
        <f t="shared" si="1281"/>
        <v>0</v>
      </c>
      <c r="AW219" s="8" t="b">
        <f t="shared" si="1282"/>
        <v>1</v>
      </c>
      <c r="AX219" s="8" t="str">
        <f t="shared" si="1283"/>
        <v>Qcorrecto</v>
      </c>
      <c r="AY219" s="22" t="str">
        <f t="shared" si="1263"/>
        <v>aceptable</v>
      </c>
      <c r="AZ219" s="22" t="str">
        <f t="shared" si="1264"/>
        <v>aceptable</v>
      </c>
      <c r="BA219" s="22" t="str">
        <f t="shared" si="1284"/>
        <v>aceptable</v>
      </c>
      <c r="BB219" s="25" t="str">
        <f t="shared" si="1285"/>
        <v>NO CONFORME</v>
      </c>
      <c r="BC219" s="5" t="str">
        <f t="shared" si="1286"/>
        <v>NO CONFORME</v>
      </c>
      <c r="BD219" s="15">
        <f t="shared" si="1265"/>
        <v>-1</v>
      </c>
      <c r="BE219" s="15">
        <f t="shared" si="1266"/>
        <v>-1</v>
      </c>
      <c r="BF219" s="15">
        <f t="shared" si="1267"/>
        <v>-1</v>
      </c>
      <c r="BG219" s="15" t="str">
        <f t="shared" si="1268"/>
        <v>-1-1-1</v>
      </c>
      <c r="BH219" s="15" t="str">
        <f t="shared" si="1269"/>
        <v>SD</v>
      </c>
      <c r="BI219" s="15" t="str">
        <f t="shared" si="1270"/>
        <v>SI</v>
      </c>
      <c r="BJ219" s="15" t="b">
        <f t="shared" si="1271"/>
        <v>1</v>
      </c>
      <c r="BK219" s="15" t="str">
        <f t="shared" si="1272"/>
        <v>SIGIGUALES</v>
      </c>
      <c r="BL219" s="22" t="str">
        <f t="shared" si="1273"/>
        <v>NO CONFORME</v>
      </c>
    </row>
    <row r="220" spans="1:64" ht="14.4" x14ac:dyDescent="0.3">
      <c r="A220" s="91">
        <v>212</v>
      </c>
      <c r="B220" s="28">
        <f t="shared" ref="B220:E220" si="1401">B219</f>
        <v>45920</v>
      </c>
      <c r="C220" s="28">
        <f t="shared" si="1401"/>
        <v>45920</v>
      </c>
      <c r="D220" s="12">
        <f t="shared" si="1401"/>
        <v>3</v>
      </c>
      <c r="E220" s="10">
        <f t="shared" si="1401"/>
        <v>8</v>
      </c>
      <c r="F220" s="13"/>
      <c r="G220" s="157"/>
      <c r="H220" s="70">
        <f t="shared" ref="H220:L220" si="1402">H219</f>
        <v>25.6</v>
      </c>
      <c r="I220" s="36">
        <f t="shared" si="1402"/>
        <v>0</v>
      </c>
      <c r="J220" s="35">
        <f t="shared" si="1402"/>
        <v>20.9</v>
      </c>
      <c r="K220" s="122">
        <f t="shared" si="1402"/>
        <v>8.4730000000000008</v>
      </c>
      <c r="L220" s="122">
        <f t="shared" si="1402"/>
        <v>0.52100000000000002</v>
      </c>
      <c r="M220" s="41"/>
      <c r="N220" s="41"/>
      <c r="O220" s="32">
        <f t="shared" ref="O220:P220" si="1403">O219</f>
        <v>100.48</v>
      </c>
      <c r="P220" s="168" t="str">
        <f t="shared" si="1403"/>
        <v>2,29,610</v>
      </c>
      <c r="Q220" s="11" t="str">
        <f t="shared" si="1339"/>
        <v>2</v>
      </c>
      <c r="R220" s="11" t="str">
        <f t="shared" si="1340"/>
        <v>29,610</v>
      </c>
      <c r="S220" s="11">
        <f t="shared" si="1341"/>
        <v>4.1558333333333336E-2</v>
      </c>
      <c r="T220" s="14">
        <f t="shared" si="1342"/>
        <v>2417.8062963705634</v>
      </c>
      <c r="U220" s="37">
        <f t="shared" si="1343"/>
        <v>-100</v>
      </c>
      <c r="V220" s="38">
        <f t="shared" ref="V220:W220" si="1404">V219</f>
        <v>21.3</v>
      </c>
      <c r="W220" s="124">
        <f t="shared" si="1404"/>
        <v>1.0960000000000001</v>
      </c>
      <c r="X220" s="124">
        <f t="shared" si="1398"/>
        <v>1.0880000000000001</v>
      </c>
      <c r="Y220" s="41"/>
      <c r="Z220" s="41"/>
      <c r="AA220" s="90">
        <f t="shared" ref="AA220:AB220" si="1405">AA219</f>
        <v>5.01</v>
      </c>
      <c r="AB220" s="73" t="str">
        <f t="shared" si="1405"/>
        <v>11,15,880</v>
      </c>
      <c r="AC220" s="11" t="str">
        <f t="shared" si="1346"/>
        <v>11</v>
      </c>
      <c r="AD220" s="11" t="str">
        <f t="shared" si="1347"/>
        <v>15,880</v>
      </c>
      <c r="AE220" s="11">
        <f t="shared" si="1348"/>
        <v>0.18774444444444444</v>
      </c>
      <c r="AF220" s="14">
        <f t="shared" si="1349"/>
        <v>26.685210392377346</v>
      </c>
      <c r="AG220" s="39">
        <f t="shared" si="1350"/>
        <v>-100</v>
      </c>
      <c r="AH220" s="38">
        <f t="shared" ref="AH220:AJ235" si="1406">AH219</f>
        <v>18.399999999999999</v>
      </c>
      <c r="AI220" s="124">
        <f t="shared" si="1406"/>
        <v>1.0980000000000001</v>
      </c>
      <c r="AJ220" s="124">
        <f t="shared" si="1406"/>
        <v>1.087</v>
      </c>
      <c r="AK220" s="41">
        <f t="shared" si="1351"/>
        <v>0</v>
      </c>
      <c r="AL220" s="41"/>
      <c r="AM220" s="34">
        <f t="shared" ref="AM220:AN220" si="1407">AM219</f>
        <v>2.0049999999999999</v>
      </c>
      <c r="AN220" s="33" t="str">
        <f t="shared" si="1407"/>
        <v>7,19,050</v>
      </c>
      <c r="AO220" s="11" t="str">
        <f t="shared" si="1353"/>
        <v>7,</v>
      </c>
      <c r="AP220" s="11" t="str">
        <f t="shared" si="1354"/>
        <v>19,050</v>
      </c>
      <c r="AQ220" s="11">
        <f t="shared" si="1355"/>
        <v>0.12195833333333334</v>
      </c>
      <c r="AR220" s="14">
        <f t="shared" si="1356"/>
        <v>16.44004099760847</v>
      </c>
      <c r="AS220" s="39">
        <f t="shared" si="1357"/>
        <v>-100</v>
      </c>
      <c r="AT220" s="40" t="str">
        <f t="shared" si="1358"/>
        <v>NO CONFORME</v>
      </c>
      <c r="AU220" s="8" t="b">
        <f t="shared" si="1280"/>
        <v>1</v>
      </c>
      <c r="AV220" s="8" t="b">
        <f t="shared" si="1281"/>
        <v>0</v>
      </c>
      <c r="AW220" s="8" t="b">
        <f t="shared" si="1282"/>
        <v>1</v>
      </c>
      <c r="AX220" s="8" t="str">
        <f t="shared" si="1283"/>
        <v>Qcorrecto</v>
      </c>
      <c r="AY220" s="22" t="str">
        <f t="shared" si="1263"/>
        <v>aceptable</v>
      </c>
      <c r="AZ220" s="22" t="str">
        <f t="shared" si="1264"/>
        <v>aceptable</v>
      </c>
      <c r="BA220" s="22" t="str">
        <f t="shared" si="1284"/>
        <v>aceptable</v>
      </c>
      <c r="BB220" s="25" t="str">
        <f t="shared" si="1285"/>
        <v>NO CONFORME</v>
      </c>
      <c r="BC220" s="5" t="str">
        <f t="shared" si="1286"/>
        <v>NO CONFORME</v>
      </c>
      <c r="BD220" s="15">
        <f t="shared" si="1265"/>
        <v>-1</v>
      </c>
      <c r="BE220" s="15">
        <f t="shared" si="1266"/>
        <v>-1</v>
      </c>
      <c r="BF220" s="15">
        <f t="shared" si="1267"/>
        <v>-1</v>
      </c>
      <c r="BG220" s="15" t="str">
        <f t="shared" si="1268"/>
        <v>-1-1-1</v>
      </c>
      <c r="BH220" s="15" t="str">
        <f t="shared" si="1269"/>
        <v>SD</v>
      </c>
      <c r="BI220" s="15" t="str">
        <f t="shared" si="1270"/>
        <v>SI</v>
      </c>
      <c r="BJ220" s="15" t="b">
        <f t="shared" si="1271"/>
        <v>1</v>
      </c>
      <c r="BK220" s="15" t="str">
        <f t="shared" si="1272"/>
        <v>SIGIGUALES</v>
      </c>
      <c r="BL220" s="22" t="str">
        <f t="shared" si="1273"/>
        <v>NO CONFORME</v>
      </c>
    </row>
    <row r="221" spans="1:64" ht="14.4" x14ac:dyDescent="0.3">
      <c r="A221" s="91">
        <v>213</v>
      </c>
      <c r="B221" s="28">
        <f t="shared" ref="B221:E221" si="1408">B220</f>
        <v>45920</v>
      </c>
      <c r="C221" s="28">
        <f t="shared" si="1408"/>
        <v>45920</v>
      </c>
      <c r="D221" s="12">
        <f t="shared" si="1408"/>
        <v>3</v>
      </c>
      <c r="E221" s="10">
        <f t="shared" si="1408"/>
        <v>8</v>
      </c>
      <c r="F221" s="13"/>
      <c r="G221" s="157"/>
      <c r="H221" s="70">
        <f t="shared" ref="H221:L221" si="1409">H220</f>
        <v>25.6</v>
      </c>
      <c r="I221" s="36">
        <f t="shared" si="1409"/>
        <v>0</v>
      </c>
      <c r="J221" s="35">
        <f t="shared" si="1409"/>
        <v>20.9</v>
      </c>
      <c r="K221" s="122">
        <f t="shared" si="1409"/>
        <v>8.4730000000000008</v>
      </c>
      <c r="L221" s="122">
        <f t="shared" si="1409"/>
        <v>0.52100000000000002</v>
      </c>
      <c r="M221" s="41"/>
      <c r="N221" s="41"/>
      <c r="O221" s="32">
        <f t="shared" ref="O221:P221" si="1410">O220</f>
        <v>100.48</v>
      </c>
      <c r="P221" s="168" t="str">
        <f t="shared" si="1410"/>
        <v>2,29,610</v>
      </c>
      <c r="Q221" s="11" t="str">
        <f t="shared" si="1339"/>
        <v>2</v>
      </c>
      <c r="R221" s="11" t="str">
        <f t="shared" si="1340"/>
        <v>29,610</v>
      </c>
      <c r="S221" s="11">
        <f t="shared" si="1341"/>
        <v>4.1558333333333336E-2</v>
      </c>
      <c r="T221" s="14">
        <f t="shared" si="1342"/>
        <v>2417.8062963705634</v>
      </c>
      <c r="U221" s="37">
        <f t="shared" si="1343"/>
        <v>-100</v>
      </c>
      <c r="V221" s="38">
        <f t="shared" ref="V221:W221" si="1411">V220</f>
        <v>21.3</v>
      </c>
      <c r="W221" s="124">
        <f t="shared" si="1411"/>
        <v>1.0960000000000001</v>
      </c>
      <c r="X221" s="124">
        <f t="shared" si="1398"/>
        <v>1.0880000000000001</v>
      </c>
      <c r="Y221" s="41"/>
      <c r="Z221" s="41"/>
      <c r="AA221" s="90">
        <f t="shared" ref="AA221:AB221" si="1412">AA220</f>
        <v>5.01</v>
      </c>
      <c r="AB221" s="73" t="str">
        <f t="shared" si="1412"/>
        <v>11,15,880</v>
      </c>
      <c r="AC221" s="11" t="str">
        <f t="shared" si="1346"/>
        <v>11</v>
      </c>
      <c r="AD221" s="11" t="str">
        <f t="shared" si="1347"/>
        <v>15,880</v>
      </c>
      <c r="AE221" s="11">
        <f t="shared" si="1348"/>
        <v>0.18774444444444444</v>
      </c>
      <c r="AF221" s="14">
        <f t="shared" si="1349"/>
        <v>26.685210392377346</v>
      </c>
      <c r="AG221" s="39">
        <f t="shared" si="1350"/>
        <v>-100</v>
      </c>
      <c r="AH221" s="38">
        <f t="shared" si="1406"/>
        <v>18.399999999999999</v>
      </c>
      <c r="AI221" s="124">
        <f t="shared" si="1406"/>
        <v>1.0980000000000001</v>
      </c>
      <c r="AJ221" s="124">
        <f t="shared" si="1406"/>
        <v>1.087</v>
      </c>
      <c r="AK221" s="41">
        <f t="shared" si="1351"/>
        <v>0</v>
      </c>
      <c r="AL221" s="41"/>
      <c r="AM221" s="34">
        <f t="shared" ref="AM221:AN221" si="1413">AM220</f>
        <v>2.0049999999999999</v>
      </c>
      <c r="AN221" s="33" t="str">
        <f t="shared" si="1413"/>
        <v>7,19,050</v>
      </c>
      <c r="AO221" s="11" t="str">
        <f t="shared" si="1353"/>
        <v>7,</v>
      </c>
      <c r="AP221" s="11" t="str">
        <f t="shared" si="1354"/>
        <v>19,050</v>
      </c>
      <c r="AQ221" s="11">
        <f t="shared" si="1355"/>
        <v>0.12195833333333334</v>
      </c>
      <c r="AR221" s="14">
        <f t="shared" si="1356"/>
        <v>16.44004099760847</v>
      </c>
      <c r="AS221" s="39">
        <f t="shared" si="1357"/>
        <v>-100</v>
      </c>
      <c r="AT221" s="40" t="str">
        <f t="shared" si="1358"/>
        <v>NO CONFORME</v>
      </c>
      <c r="AU221" s="8" t="b">
        <f t="shared" si="1280"/>
        <v>1</v>
      </c>
      <c r="AV221" s="8" t="b">
        <f t="shared" si="1281"/>
        <v>0</v>
      </c>
      <c r="AW221" s="8" t="b">
        <f t="shared" si="1282"/>
        <v>1</v>
      </c>
      <c r="AX221" s="8" t="str">
        <f t="shared" si="1283"/>
        <v>Qcorrecto</v>
      </c>
      <c r="AY221" s="22" t="str">
        <f t="shared" si="1263"/>
        <v>aceptable</v>
      </c>
      <c r="AZ221" s="22" t="str">
        <f t="shared" si="1264"/>
        <v>aceptable</v>
      </c>
      <c r="BA221" s="22" t="str">
        <f t="shared" si="1284"/>
        <v>aceptable</v>
      </c>
      <c r="BB221" s="25" t="str">
        <f t="shared" si="1285"/>
        <v>NO CONFORME</v>
      </c>
      <c r="BC221" s="5" t="str">
        <f t="shared" si="1286"/>
        <v>NO CONFORME</v>
      </c>
      <c r="BD221" s="15">
        <f t="shared" si="1265"/>
        <v>-1</v>
      </c>
      <c r="BE221" s="15">
        <f t="shared" si="1266"/>
        <v>-1</v>
      </c>
      <c r="BF221" s="15">
        <f t="shared" si="1267"/>
        <v>-1</v>
      </c>
      <c r="BG221" s="15" t="str">
        <f t="shared" si="1268"/>
        <v>-1-1-1</v>
      </c>
      <c r="BH221" s="15" t="str">
        <f t="shared" si="1269"/>
        <v>SD</v>
      </c>
      <c r="BI221" s="15" t="str">
        <f t="shared" si="1270"/>
        <v>SI</v>
      </c>
      <c r="BJ221" s="15" t="b">
        <f t="shared" si="1271"/>
        <v>1</v>
      </c>
      <c r="BK221" s="15" t="str">
        <f t="shared" si="1272"/>
        <v>SIGIGUALES</v>
      </c>
      <c r="BL221" s="22" t="str">
        <f t="shared" si="1273"/>
        <v>NO CONFORME</v>
      </c>
    </row>
    <row r="222" spans="1:64" ht="14.4" x14ac:dyDescent="0.3">
      <c r="A222" s="91">
        <v>214</v>
      </c>
      <c r="B222" s="28">
        <f t="shared" ref="B222:E222" si="1414">B221</f>
        <v>45920</v>
      </c>
      <c r="C222" s="28">
        <f t="shared" si="1414"/>
        <v>45920</v>
      </c>
      <c r="D222" s="12">
        <f t="shared" si="1414"/>
        <v>3</v>
      </c>
      <c r="E222" s="10">
        <f t="shared" si="1414"/>
        <v>8</v>
      </c>
      <c r="F222" s="13"/>
      <c r="G222" s="157"/>
      <c r="H222" s="70">
        <f t="shared" ref="H222:L222" si="1415">H221</f>
        <v>25.6</v>
      </c>
      <c r="I222" s="36">
        <f t="shared" si="1415"/>
        <v>0</v>
      </c>
      <c r="J222" s="35">
        <f t="shared" si="1415"/>
        <v>20.9</v>
      </c>
      <c r="K222" s="122">
        <f t="shared" si="1415"/>
        <v>8.4730000000000008</v>
      </c>
      <c r="L222" s="122">
        <f t="shared" si="1415"/>
        <v>0.52100000000000002</v>
      </c>
      <c r="M222" s="41"/>
      <c r="N222" s="41"/>
      <c r="O222" s="32">
        <f t="shared" ref="O222:P222" si="1416">O221</f>
        <v>100.48</v>
      </c>
      <c r="P222" s="168" t="str">
        <f t="shared" si="1416"/>
        <v>2,29,610</v>
      </c>
      <c r="Q222" s="11" t="str">
        <f t="shared" si="1339"/>
        <v>2</v>
      </c>
      <c r="R222" s="11" t="str">
        <f t="shared" si="1340"/>
        <v>29,610</v>
      </c>
      <c r="S222" s="11">
        <f t="shared" si="1341"/>
        <v>4.1558333333333336E-2</v>
      </c>
      <c r="T222" s="14">
        <f t="shared" si="1342"/>
        <v>2417.8062963705634</v>
      </c>
      <c r="U222" s="37">
        <f t="shared" si="1343"/>
        <v>-100</v>
      </c>
      <c r="V222" s="38">
        <f t="shared" ref="V222:W222" si="1417">V221</f>
        <v>21.3</v>
      </c>
      <c r="W222" s="124">
        <f t="shared" si="1417"/>
        <v>1.0960000000000001</v>
      </c>
      <c r="X222" s="124">
        <f t="shared" si="1398"/>
        <v>1.0880000000000001</v>
      </c>
      <c r="Y222" s="41"/>
      <c r="Z222" s="41"/>
      <c r="AA222" s="90">
        <f t="shared" ref="AA222:AB222" si="1418">AA221</f>
        <v>5.01</v>
      </c>
      <c r="AB222" s="73" t="str">
        <f t="shared" si="1418"/>
        <v>11,15,880</v>
      </c>
      <c r="AC222" s="11" t="str">
        <f t="shared" si="1346"/>
        <v>11</v>
      </c>
      <c r="AD222" s="11" t="str">
        <f t="shared" si="1347"/>
        <v>15,880</v>
      </c>
      <c r="AE222" s="11">
        <f t="shared" si="1348"/>
        <v>0.18774444444444444</v>
      </c>
      <c r="AF222" s="14">
        <f t="shared" si="1349"/>
        <v>26.685210392377346</v>
      </c>
      <c r="AG222" s="39">
        <f t="shared" si="1350"/>
        <v>-100</v>
      </c>
      <c r="AH222" s="38">
        <f t="shared" si="1406"/>
        <v>18.399999999999999</v>
      </c>
      <c r="AI222" s="124">
        <f t="shared" si="1406"/>
        <v>1.0980000000000001</v>
      </c>
      <c r="AJ222" s="124">
        <f t="shared" si="1406"/>
        <v>1.087</v>
      </c>
      <c r="AK222" s="41">
        <f t="shared" si="1351"/>
        <v>0</v>
      </c>
      <c r="AL222" s="41"/>
      <c r="AM222" s="34">
        <f t="shared" ref="AM222:AN222" si="1419">AM221</f>
        <v>2.0049999999999999</v>
      </c>
      <c r="AN222" s="33" t="str">
        <f t="shared" si="1419"/>
        <v>7,19,050</v>
      </c>
      <c r="AO222" s="11" t="str">
        <f t="shared" si="1353"/>
        <v>7,</v>
      </c>
      <c r="AP222" s="11" t="str">
        <f t="shared" si="1354"/>
        <v>19,050</v>
      </c>
      <c r="AQ222" s="11">
        <f t="shared" si="1355"/>
        <v>0.12195833333333334</v>
      </c>
      <c r="AR222" s="14">
        <f t="shared" si="1356"/>
        <v>16.44004099760847</v>
      </c>
      <c r="AS222" s="39">
        <f t="shared" si="1357"/>
        <v>-100</v>
      </c>
      <c r="AT222" s="40" t="str">
        <f t="shared" si="1358"/>
        <v>NO CONFORME</v>
      </c>
      <c r="AU222" s="8" t="b">
        <f t="shared" si="1280"/>
        <v>1</v>
      </c>
      <c r="AV222" s="8" t="b">
        <f t="shared" si="1281"/>
        <v>0</v>
      </c>
      <c r="AW222" s="8" t="b">
        <f t="shared" si="1282"/>
        <v>1</v>
      </c>
      <c r="AX222" s="8" t="str">
        <f t="shared" si="1283"/>
        <v>Qcorrecto</v>
      </c>
      <c r="AY222" s="22" t="str">
        <f t="shared" si="1263"/>
        <v>aceptable</v>
      </c>
      <c r="AZ222" s="22" t="str">
        <f t="shared" si="1264"/>
        <v>aceptable</v>
      </c>
      <c r="BA222" s="22" t="str">
        <f t="shared" si="1284"/>
        <v>aceptable</v>
      </c>
      <c r="BB222" s="25" t="str">
        <f t="shared" si="1285"/>
        <v>NO CONFORME</v>
      </c>
      <c r="BC222" s="5" t="str">
        <f t="shared" si="1286"/>
        <v>NO CONFORME</v>
      </c>
      <c r="BD222" s="15">
        <f t="shared" si="1265"/>
        <v>-1</v>
      </c>
      <c r="BE222" s="15">
        <f t="shared" si="1266"/>
        <v>-1</v>
      </c>
      <c r="BF222" s="15">
        <f t="shared" si="1267"/>
        <v>-1</v>
      </c>
      <c r="BG222" s="15" t="str">
        <f t="shared" si="1268"/>
        <v>-1-1-1</v>
      </c>
      <c r="BH222" s="15" t="str">
        <f t="shared" si="1269"/>
        <v>SD</v>
      </c>
      <c r="BI222" s="15" t="str">
        <f t="shared" si="1270"/>
        <v>SI</v>
      </c>
      <c r="BJ222" s="15" t="b">
        <f t="shared" si="1271"/>
        <v>1</v>
      </c>
      <c r="BK222" s="15" t="str">
        <f t="shared" si="1272"/>
        <v>SIGIGUALES</v>
      </c>
      <c r="BL222" s="22" t="str">
        <f t="shared" si="1273"/>
        <v>NO CONFORME</v>
      </c>
    </row>
    <row r="223" spans="1:64" ht="14.4" x14ac:dyDescent="0.3">
      <c r="A223" s="91">
        <v>215</v>
      </c>
      <c r="B223" s="28">
        <f t="shared" ref="B223:E223" si="1420">B222</f>
        <v>45920</v>
      </c>
      <c r="C223" s="28">
        <f t="shared" si="1420"/>
        <v>45920</v>
      </c>
      <c r="D223" s="12">
        <f t="shared" si="1420"/>
        <v>3</v>
      </c>
      <c r="E223" s="10">
        <f t="shared" si="1420"/>
        <v>8</v>
      </c>
      <c r="F223" s="13"/>
      <c r="G223" s="157"/>
      <c r="H223" s="70">
        <f t="shared" ref="H223:L223" si="1421">H222</f>
        <v>25.6</v>
      </c>
      <c r="I223" s="36">
        <f t="shared" si="1421"/>
        <v>0</v>
      </c>
      <c r="J223" s="35">
        <f t="shared" si="1421"/>
        <v>20.9</v>
      </c>
      <c r="K223" s="122">
        <f t="shared" si="1421"/>
        <v>8.4730000000000008</v>
      </c>
      <c r="L223" s="122">
        <f t="shared" si="1421"/>
        <v>0.52100000000000002</v>
      </c>
      <c r="M223" s="41"/>
      <c r="N223" s="41"/>
      <c r="O223" s="32">
        <f t="shared" ref="O223:P223" si="1422">O222</f>
        <v>100.48</v>
      </c>
      <c r="P223" s="168" t="str">
        <f t="shared" si="1422"/>
        <v>2,29,610</v>
      </c>
      <c r="Q223" s="11" t="str">
        <f t="shared" si="1339"/>
        <v>2</v>
      </c>
      <c r="R223" s="11" t="str">
        <f t="shared" si="1340"/>
        <v>29,610</v>
      </c>
      <c r="S223" s="11">
        <f t="shared" si="1341"/>
        <v>4.1558333333333336E-2</v>
      </c>
      <c r="T223" s="14">
        <f t="shared" si="1342"/>
        <v>2417.8062963705634</v>
      </c>
      <c r="U223" s="37">
        <f t="shared" si="1343"/>
        <v>-100</v>
      </c>
      <c r="V223" s="38">
        <f t="shared" ref="V223:W223" si="1423">V222</f>
        <v>21.3</v>
      </c>
      <c r="W223" s="124">
        <f t="shared" si="1423"/>
        <v>1.0960000000000001</v>
      </c>
      <c r="X223" s="124">
        <f t="shared" si="1398"/>
        <v>1.0880000000000001</v>
      </c>
      <c r="Y223" s="41"/>
      <c r="Z223" s="41"/>
      <c r="AA223" s="90">
        <f t="shared" ref="AA223:AB223" si="1424">AA222</f>
        <v>5.01</v>
      </c>
      <c r="AB223" s="73" t="str">
        <f t="shared" si="1424"/>
        <v>11,15,880</v>
      </c>
      <c r="AC223" s="11" t="str">
        <f t="shared" si="1346"/>
        <v>11</v>
      </c>
      <c r="AD223" s="11" t="str">
        <f t="shared" si="1347"/>
        <v>15,880</v>
      </c>
      <c r="AE223" s="11">
        <f t="shared" si="1348"/>
        <v>0.18774444444444444</v>
      </c>
      <c r="AF223" s="14">
        <f t="shared" si="1349"/>
        <v>26.685210392377346</v>
      </c>
      <c r="AG223" s="39">
        <f t="shared" si="1350"/>
        <v>-100</v>
      </c>
      <c r="AH223" s="38">
        <f t="shared" si="1406"/>
        <v>18.399999999999999</v>
      </c>
      <c r="AI223" s="124">
        <f t="shared" si="1406"/>
        <v>1.0980000000000001</v>
      </c>
      <c r="AJ223" s="124">
        <f t="shared" si="1406"/>
        <v>1.087</v>
      </c>
      <c r="AK223" s="41">
        <f t="shared" si="1351"/>
        <v>0</v>
      </c>
      <c r="AL223" s="41"/>
      <c r="AM223" s="34">
        <f t="shared" ref="AM223:AN223" si="1425">AM222</f>
        <v>2.0049999999999999</v>
      </c>
      <c r="AN223" s="33" t="str">
        <f t="shared" si="1425"/>
        <v>7,19,050</v>
      </c>
      <c r="AO223" s="11" t="str">
        <f t="shared" si="1353"/>
        <v>7,</v>
      </c>
      <c r="AP223" s="11" t="str">
        <f t="shared" si="1354"/>
        <v>19,050</v>
      </c>
      <c r="AQ223" s="11">
        <f t="shared" si="1355"/>
        <v>0.12195833333333334</v>
      </c>
      <c r="AR223" s="14">
        <f t="shared" si="1356"/>
        <v>16.44004099760847</v>
      </c>
      <c r="AS223" s="39">
        <f t="shared" si="1357"/>
        <v>-100</v>
      </c>
      <c r="AT223" s="40" t="str">
        <f t="shared" si="1358"/>
        <v>NO CONFORME</v>
      </c>
      <c r="AU223" s="8" t="b">
        <f t="shared" si="1280"/>
        <v>1</v>
      </c>
      <c r="AV223" s="8" t="b">
        <f t="shared" si="1281"/>
        <v>0</v>
      </c>
      <c r="AW223" s="8" t="b">
        <f t="shared" si="1282"/>
        <v>1</v>
      </c>
      <c r="AX223" s="8" t="str">
        <f t="shared" si="1283"/>
        <v>Qcorrecto</v>
      </c>
      <c r="AY223" s="22" t="str">
        <f t="shared" si="1263"/>
        <v>aceptable</v>
      </c>
      <c r="AZ223" s="22" t="str">
        <f t="shared" si="1264"/>
        <v>aceptable</v>
      </c>
      <c r="BA223" s="22" t="str">
        <f t="shared" si="1284"/>
        <v>aceptable</v>
      </c>
      <c r="BB223" s="25" t="str">
        <f t="shared" si="1285"/>
        <v>NO CONFORME</v>
      </c>
      <c r="BC223" s="5" t="str">
        <f t="shared" si="1286"/>
        <v>NO CONFORME</v>
      </c>
      <c r="BD223" s="15">
        <f t="shared" si="1265"/>
        <v>-1</v>
      </c>
      <c r="BE223" s="15">
        <f t="shared" si="1266"/>
        <v>-1</v>
      </c>
      <c r="BF223" s="15">
        <f t="shared" si="1267"/>
        <v>-1</v>
      </c>
      <c r="BG223" s="15" t="str">
        <f t="shared" si="1268"/>
        <v>-1-1-1</v>
      </c>
      <c r="BH223" s="15" t="str">
        <f t="shared" si="1269"/>
        <v>SD</v>
      </c>
      <c r="BI223" s="15" t="str">
        <f t="shared" si="1270"/>
        <v>SI</v>
      </c>
      <c r="BJ223" s="15" t="b">
        <f t="shared" si="1271"/>
        <v>1</v>
      </c>
      <c r="BK223" s="15" t="str">
        <f t="shared" si="1272"/>
        <v>SIGIGUALES</v>
      </c>
      <c r="BL223" s="22" t="str">
        <f t="shared" si="1273"/>
        <v>NO CONFORME</v>
      </c>
    </row>
    <row r="224" spans="1:64" ht="14.4" x14ac:dyDescent="0.3">
      <c r="A224" s="91">
        <v>216</v>
      </c>
      <c r="B224" s="28">
        <f t="shared" ref="B224:E224" si="1426">B223</f>
        <v>45920</v>
      </c>
      <c r="C224" s="28">
        <f t="shared" si="1426"/>
        <v>45920</v>
      </c>
      <c r="D224" s="12">
        <f t="shared" si="1426"/>
        <v>3</v>
      </c>
      <c r="E224" s="10">
        <f t="shared" si="1426"/>
        <v>8</v>
      </c>
      <c r="F224" s="13"/>
      <c r="G224" s="157"/>
      <c r="H224" s="70">
        <f t="shared" ref="H224:L224" si="1427">H223</f>
        <v>25.6</v>
      </c>
      <c r="I224" s="36">
        <f t="shared" si="1427"/>
        <v>0</v>
      </c>
      <c r="J224" s="35">
        <f t="shared" si="1427"/>
        <v>20.9</v>
      </c>
      <c r="K224" s="122">
        <f t="shared" si="1427"/>
        <v>8.4730000000000008</v>
      </c>
      <c r="L224" s="122">
        <f t="shared" si="1427"/>
        <v>0.52100000000000002</v>
      </c>
      <c r="M224" s="41"/>
      <c r="N224" s="41"/>
      <c r="O224" s="32">
        <f t="shared" ref="O224:P224" si="1428">O223</f>
        <v>100.48</v>
      </c>
      <c r="P224" s="168" t="str">
        <f t="shared" si="1428"/>
        <v>2,29,610</v>
      </c>
      <c r="Q224" s="11" t="str">
        <f t="shared" si="1339"/>
        <v>2</v>
      </c>
      <c r="R224" s="11" t="str">
        <f t="shared" si="1340"/>
        <v>29,610</v>
      </c>
      <c r="S224" s="11">
        <f t="shared" si="1341"/>
        <v>4.1558333333333336E-2</v>
      </c>
      <c r="T224" s="14">
        <f t="shared" si="1342"/>
        <v>2417.8062963705634</v>
      </c>
      <c r="U224" s="37">
        <f t="shared" si="1343"/>
        <v>-100</v>
      </c>
      <c r="V224" s="38">
        <f t="shared" ref="V224:W224" si="1429">V223</f>
        <v>21.3</v>
      </c>
      <c r="W224" s="124">
        <f t="shared" si="1429"/>
        <v>1.0960000000000001</v>
      </c>
      <c r="X224" s="124">
        <f t="shared" si="1398"/>
        <v>1.0880000000000001</v>
      </c>
      <c r="Y224" s="41"/>
      <c r="Z224" s="41"/>
      <c r="AA224" s="90">
        <f t="shared" ref="AA224:AB224" si="1430">AA223</f>
        <v>5.01</v>
      </c>
      <c r="AB224" s="73" t="str">
        <f t="shared" si="1430"/>
        <v>11,15,880</v>
      </c>
      <c r="AC224" s="11" t="str">
        <f t="shared" si="1346"/>
        <v>11</v>
      </c>
      <c r="AD224" s="11" t="str">
        <f t="shared" si="1347"/>
        <v>15,880</v>
      </c>
      <c r="AE224" s="11">
        <f t="shared" si="1348"/>
        <v>0.18774444444444444</v>
      </c>
      <c r="AF224" s="14">
        <f t="shared" si="1349"/>
        <v>26.685210392377346</v>
      </c>
      <c r="AG224" s="39">
        <f t="shared" si="1350"/>
        <v>-100</v>
      </c>
      <c r="AH224" s="38">
        <f t="shared" si="1406"/>
        <v>18.399999999999999</v>
      </c>
      <c r="AI224" s="124">
        <f t="shared" si="1406"/>
        <v>1.0980000000000001</v>
      </c>
      <c r="AJ224" s="124">
        <f t="shared" si="1406"/>
        <v>1.087</v>
      </c>
      <c r="AK224" s="41">
        <f t="shared" si="1351"/>
        <v>0</v>
      </c>
      <c r="AL224" s="41"/>
      <c r="AM224" s="34">
        <f t="shared" ref="AM224:AN224" si="1431">AM223</f>
        <v>2.0049999999999999</v>
      </c>
      <c r="AN224" s="33" t="str">
        <f t="shared" si="1431"/>
        <v>7,19,050</v>
      </c>
      <c r="AO224" s="11" t="str">
        <f t="shared" si="1353"/>
        <v>7,</v>
      </c>
      <c r="AP224" s="11" t="str">
        <f t="shared" si="1354"/>
        <v>19,050</v>
      </c>
      <c r="AQ224" s="11">
        <f t="shared" si="1355"/>
        <v>0.12195833333333334</v>
      </c>
      <c r="AR224" s="14">
        <f t="shared" si="1356"/>
        <v>16.44004099760847</v>
      </c>
      <c r="AS224" s="39">
        <f t="shared" si="1357"/>
        <v>-100</v>
      </c>
      <c r="AT224" s="40" t="str">
        <f t="shared" si="1358"/>
        <v>NO CONFORME</v>
      </c>
      <c r="AU224" s="8" t="b">
        <f t="shared" si="1280"/>
        <v>1</v>
      </c>
      <c r="AV224" s="8" t="b">
        <f t="shared" si="1281"/>
        <v>0</v>
      </c>
      <c r="AW224" s="8" t="b">
        <f t="shared" si="1282"/>
        <v>1</v>
      </c>
      <c r="AX224" s="8" t="str">
        <f t="shared" si="1283"/>
        <v>Qcorrecto</v>
      </c>
      <c r="AY224" s="22" t="str">
        <f t="shared" si="1263"/>
        <v>aceptable</v>
      </c>
      <c r="AZ224" s="22" t="str">
        <f t="shared" si="1264"/>
        <v>aceptable</v>
      </c>
      <c r="BA224" s="22" t="str">
        <f t="shared" si="1284"/>
        <v>aceptable</v>
      </c>
      <c r="BB224" s="25" t="str">
        <f t="shared" si="1285"/>
        <v>NO CONFORME</v>
      </c>
      <c r="BC224" s="5" t="str">
        <f t="shared" si="1286"/>
        <v>NO CONFORME</v>
      </c>
      <c r="BD224" s="15">
        <f t="shared" si="1265"/>
        <v>-1</v>
      </c>
      <c r="BE224" s="15">
        <f t="shared" si="1266"/>
        <v>-1</v>
      </c>
      <c r="BF224" s="15">
        <f t="shared" si="1267"/>
        <v>-1</v>
      </c>
      <c r="BG224" s="15" t="str">
        <f t="shared" si="1268"/>
        <v>-1-1-1</v>
      </c>
      <c r="BH224" s="15" t="str">
        <f t="shared" si="1269"/>
        <v>SD</v>
      </c>
      <c r="BI224" s="15" t="str">
        <f t="shared" si="1270"/>
        <v>SI</v>
      </c>
      <c r="BJ224" s="15" t="b">
        <f t="shared" si="1271"/>
        <v>1</v>
      </c>
      <c r="BK224" s="15" t="str">
        <f t="shared" si="1272"/>
        <v>SIGIGUALES</v>
      </c>
      <c r="BL224" s="22" t="str">
        <f t="shared" si="1273"/>
        <v>NO CONFORME</v>
      </c>
    </row>
    <row r="225" spans="1:64" ht="14.4" x14ac:dyDescent="0.3">
      <c r="A225" s="91">
        <v>217</v>
      </c>
      <c r="B225" s="28">
        <f t="shared" ref="B225:E225" si="1432">B224</f>
        <v>45920</v>
      </c>
      <c r="C225" s="28">
        <f t="shared" si="1432"/>
        <v>45920</v>
      </c>
      <c r="D225" s="12">
        <f t="shared" si="1432"/>
        <v>3</v>
      </c>
      <c r="E225" s="10">
        <f t="shared" si="1432"/>
        <v>8</v>
      </c>
      <c r="F225" s="13"/>
      <c r="G225" s="157"/>
      <c r="H225" s="70">
        <f t="shared" ref="H225:L225" si="1433">H224</f>
        <v>25.6</v>
      </c>
      <c r="I225" s="36">
        <f t="shared" si="1433"/>
        <v>0</v>
      </c>
      <c r="J225" s="35">
        <f t="shared" si="1433"/>
        <v>20.9</v>
      </c>
      <c r="K225" s="122">
        <f t="shared" si="1433"/>
        <v>8.4730000000000008</v>
      </c>
      <c r="L225" s="122">
        <f t="shared" si="1433"/>
        <v>0.52100000000000002</v>
      </c>
      <c r="M225" s="41"/>
      <c r="N225" s="41"/>
      <c r="O225" s="32">
        <f t="shared" ref="O225:P225" si="1434">O224</f>
        <v>100.48</v>
      </c>
      <c r="P225" s="168" t="str">
        <f t="shared" si="1434"/>
        <v>2,29,610</v>
      </c>
      <c r="Q225" s="11" t="str">
        <f t="shared" si="1339"/>
        <v>2</v>
      </c>
      <c r="R225" s="11" t="str">
        <f t="shared" si="1340"/>
        <v>29,610</v>
      </c>
      <c r="S225" s="11">
        <f t="shared" si="1341"/>
        <v>4.1558333333333336E-2</v>
      </c>
      <c r="T225" s="14">
        <f t="shared" si="1342"/>
        <v>2417.8062963705634</v>
      </c>
      <c r="U225" s="37">
        <f t="shared" si="1343"/>
        <v>-100</v>
      </c>
      <c r="V225" s="38">
        <f t="shared" ref="V225:W225" si="1435">V224</f>
        <v>21.3</v>
      </c>
      <c r="W225" s="124">
        <f t="shared" si="1435"/>
        <v>1.0960000000000001</v>
      </c>
      <c r="X225" s="124">
        <f t="shared" si="1398"/>
        <v>1.0880000000000001</v>
      </c>
      <c r="Y225" s="41"/>
      <c r="Z225" s="41"/>
      <c r="AA225" s="90">
        <f t="shared" ref="AA225:AB225" si="1436">AA224</f>
        <v>5.01</v>
      </c>
      <c r="AB225" s="73" t="str">
        <f t="shared" si="1436"/>
        <v>11,15,880</v>
      </c>
      <c r="AC225" s="11" t="str">
        <f t="shared" si="1346"/>
        <v>11</v>
      </c>
      <c r="AD225" s="11" t="str">
        <f t="shared" si="1347"/>
        <v>15,880</v>
      </c>
      <c r="AE225" s="11">
        <f t="shared" si="1348"/>
        <v>0.18774444444444444</v>
      </c>
      <c r="AF225" s="14">
        <f t="shared" si="1349"/>
        <v>26.685210392377346</v>
      </c>
      <c r="AG225" s="39">
        <f t="shared" si="1350"/>
        <v>-100</v>
      </c>
      <c r="AH225" s="38">
        <f t="shared" si="1406"/>
        <v>18.399999999999999</v>
      </c>
      <c r="AI225" s="124">
        <f t="shared" si="1406"/>
        <v>1.0980000000000001</v>
      </c>
      <c r="AJ225" s="124">
        <f t="shared" si="1406"/>
        <v>1.087</v>
      </c>
      <c r="AK225" s="41">
        <f t="shared" si="1351"/>
        <v>0</v>
      </c>
      <c r="AL225" s="41"/>
      <c r="AM225" s="34">
        <f t="shared" ref="AM225:AN225" si="1437">AM224</f>
        <v>2.0049999999999999</v>
      </c>
      <c r="AN225" s="33" t="str">
        <f t="shared" si="1437"/>
        <v>7,19,050</v>
      </c>
      <c r="AO225" s="11" t="str">
        <f t="shared" si="1353"/>
        <v>7,</v>
      </c>
      <c r="AP225" s="11" t="str">
        <f t="shared" si="1354"/>
        <v>19,050</v>
      </c>
      <c r="AQ225" s="11">
        <f t="shared" si="1355"/>
        <v>0.12195833333333334</v>
      </c>
      <c r="AR225" s="14">
        <f t="shared" si="1356"/>
        <v>16.44004099760847</v>
      </c>
      <c r="AS225" s="39">
        <f t="shared" si="1357"/>
        <v>-100</v>
      </c>
      <c r="AT225" s="40" t="str">
        <f t="shared" si="1358"/>
        <v>NO CONFORME</v>
      </c>
      <c r="AU225" s="8" t="b">
        <f t="shared" si="1280"/>
        <v>1</v>
      </c>
      <c r="AV225" s="8" t="b">
        <f t="shared" si="1281"/>
        <v>0</v>
      </c>
      <c r="AW225" s="8" t="b">
        <f t="shared" si="1282"/>
        <v>1</v>
      </c>
      <c r="AX225" s="8" t="str">
        <f t="shared" si="1283"/>
        <v>Qcorrecto</v>
      </c>
      <c r="AY225" s="22" t="str">
        <f t="shared" si="1263"/>
        <v>aceptable</v>
      </c>
      <c r="AZ225" s="22" t="str">
        <f t="shared" si="1264"/>
        <v>aceptable</v>
      </c>
      <c r="BA225" s="22" t="str">
        <f t="shared" si="1284"/>
        <v>aceptable</v>
      </c>
      <c r="BB225" s="25" t="str">
        <f t="shared" si="1285"/>
        <v>NO CONFORME</v>
      </c>
      <c r="BC225" s="5" t="str">
        <f t="shared" si="1286"/>
        <v>NO CONFORME</v>
      </c>
      <c r="BD225" s="15">
        <f t="shared" si="1265"/>
        <v>-1</v>
      </c>
      <c r="BE225" s="15">
        <f t="shared" si="1266"/>
        <v>-1</v>
      </c>
      <c r="BF225" s="15">
        <f t="shared" si="1267"/>
        <v>-1</v>
      </c>
      <c r="BG225" s="15" t="str">
        <f t="shared" si="1268"/>
        <v>-1-1-1</v>
      </c>
      <c r="BH225" s="15" t="str">
        <f t="shared" si="1269"/>
        <v>SD</v>
      </c>
      <c r="BI225" s="15" t="str">
        <f t="shared" si="1270"/>
        <v>SI</v>
      </c>
      <c r="BJ225" s="15" t="b">
        <f t="shared" si="1271"/>
        <v>1</v>
      </c>
      <c r="BK225" s="15" t="str">
        <f t="shared" si="1272"/>
        <v>SIGIGUALES</v>
      </c>
      <c r="BL225" s="22" t="str">
        <f t="shared" si="1273"/>
        <v>NO CONFORME</v>
      </c>
    </row>
    <row r="226" spans="1:64" ht="14.4" x14ac:dyDescent="0.3">
      <c r="A226" s="91">
        <v>218</v>
      </c>
      <c r="B226" s="28">
        <f t="shared" ref="B226:E226" si="1438">B225</f>
        <v>45920</v>
      </c>
      <c r="C226" s="28">
        <f t="shared" si="1438"/>
        <v>45920</v>
      </c>
      <c r="D226" s="12">
        <f t="shared" si="1438"/>
        <v>3</v>
      </c>
      <c r="E226" s="10">
        <f t="shared" si="1438"/>
        <v>8</v>
      </c>
      <c r="F226" s="13"/>
      <c r="G226" s="157"/>
      <c r="H226" s="70">
        <f t="shared" ref="H226:L226" si="1439">H225</f>
        <v>25.6</v>
      </c>
      <c r="I226" s="36">
        <f t="shared" si="1439"/>
        <v>0</v>
      </c>
      <c r="J226" s="35">
        <f t="shared" si="1439"/>
        <v>20.9</v>
      </c>
      <c r="K226" s="122">
        <f t="shared" si="1439"/>
        <v>8.4730000000000008</v>
      </c>
      <c r="L226" s="122">
        <f t="shared" si="1439"/>
        <v>0.52100000000000002</v>
      </c>
      <c r="M226" s="41"/>
      <c r="N226" s="41"/>
      <c r="O226" s="32">
        <f t="shared" ref="O226:P226" si="1440">O225</f>
        <v>100.48</v>
      </c>
      <c r="P226" s="168" t="str">
        <f t="shared" si="1440"/>
        <v>2,29,610</v>
      </c>
      <c r="Q226" s="11" t="str">
        <f t="shared" si="1339"/>
        <v>2</v>
      </c>
      <c r="R226" s="11" t="str">
        <f t="shared" si="1340"/>
        <v>29,610</v>
      </c>
      <c r="S226" s="11">
        <f t="shared" si="1341"/>
        <v>4.1558333333333336E-2</v>
      </c>
      <c r="T226" s="14">
        <f t="shared" si="1342"/>
        <v>2417.8062963705634</v>
      </c>
      <c r="U226" s="37">
        <f t="shared" si="1343"/>
        <v>-100</v>
      </c>
      <c r="V226" s="38">
        <f t="shared" ref="V226:W226" si="1441">V225</f>
        <v>21.3</v>
      </c>
      <c r="W226" s="124">
        <f t="shared" si="1441"/>
        <v>1.0960000000000001</v>
      </c>
      <c r="X226" s="124">
        <f t="shared" si="1398"/>
        <v>1.0880000000000001</v>
      </c>
      <c r="Y226" s="41"/>
      <c r="Z226" s="41"/>
      <c r="AA226" s="90">
        <f t="shared" ref="AA226:AB226" si="1442">AA225</f>
        <v>5.01</v>
      </c>
      <c r="AB226" s="73" t="str">
        <f t="shared" si="1442"/>
        <v>11,15,880</v>
      </c>
      <c r="AC226" s="11" t="str">
        <f t="shared" si="1346"/>
        <v>11</v>
      </c>
      <c r="AD226" s="11" t="str">
        <f t="shared" si="1347"/>
        <v>15,880</v>
      </c>
      <c r="AE226" s="11">
        <f t="shared" si="1348"/>
        <v>0.18774444444444444</v>
      </c>
      <c r="AF226" s="14">
        <f t="shared" si="1349"/>
        <v>26.685210392377346</v>
      </c>
      <c r="AG226" s="39">
        <f t="shared" si="1350"/>
        <v>-100</v>
      </c>
      <c r="AH226" s="38">
        <f t="shared" si="1406"/>
        <v>18.399999999999999</v>
      </c>
      <c r="AI226" s="124">
        <f t="shared" si="1406"/>
        <v>1.0980000000000001</v>
      </c>
      <c r="AJ226" s="124">
        <f t="shared" si="1406"/>
        <v>1.087</v>
      </c>
      <c r="AK226" s="41">
        <f t="shared" si="1351"/>
        <v>0</v>
      </c>
      <c r="AL226" s="41"/>
      <c r="AM226" s="34">
        <f t="shared" ref="AM226:AN226" si="1443">AM225</f>
        <v>2.0049999999999999</v>
      </c>
      <c r="AN226" s="33" t="str">
        <f t="shared" si="1443"/>
        <v>7,19,050</v>
      </c>
      <c r="AO226" s="11" t="str">
        <f t="shared" si="1353"/>
        <v>7,</v>
      </c>
      <c r="AP226" s="11" t="str">
        <f t="shared" si="1354"/>
        <v>19,050</v>
      </c>
      <c r="AQ226" s="11">
        <f t="shared" si="1355"/>
        <v>0.12195833333333334</v>
      </c>
      <c r="AR226" s="14">
        <f t="shared" si="1356"/>
        <v>16.44004099760847</v>
      </c>
      <c r="AS226" s="39">
        <f t="shared" si="1357"/>
        <v>-100</v>
      </c>
      <c r="AT226" s="40" t="str">
        <f t="shared" si="1358"/>
        <v>NO CONFORME</v>
      </c>
      <c r="AU226" s="8" t="b">
        <f t="shared" si="1280"/>
        <v>1</v>
      </c>
      <c r="AV226" s="8" t="b">
        <f t="shared" si="1281"/>
        <v>0</v>
      </c>
      <c r="AW226" s="8" t="b">
        <f t="shared" si="1282"/>
        <v>1</v>
      </c>
      <c r="AX226" s="8" t="str">
        <f t="shared" si="1283"/>
        <v>Qcorrecto</v>
      </c>
      <c r="AY226" s="22" t="str">
        <f t="shared" si="1263"/>
        <v>aceptable</v>
      </c>
      <c r="AZ226" s="22" t="str">
        <f t="shared" si="1264"/>
        <v>aceptable</v>
      </c>
      <c r="BA226" s="22" t="str">
        <f t="shared" si="1284"/>
        <v>aceptable</v>
      </c>
      <c r="BB226" s="25" t="str">
        <f t="shared" si="1285"/>
        <v>NO CONFORME</v>
      </c>
      <c r="BC226" s="5" t="str">
        <f t="shared" si="1286"/>
        <v>NO CONFORME</v>
      </c>
      <c r="BD226" s="15">
        <f t="shared" si="1265"/>
        <v>-1</v>
      </c>
      <c r="BE226" s="15">
        <f t="shared" si="1266"/>
        <v>-1</v>
      </c>
      <c r="BF226" s="15">
        <f t="shared" si="1267"/>
        <v>-1</v>
      </c>
      <c r="BG226" s="15" t="str">
        <f t="shared" si="1268"/>
        <v>-1-1-1</v>
      </c>
      <c r="BH226" s="15" t="str">
        <f t="shared" si="1269"/>
        <v>SD</v>
      </c>
      <c r="BI226" s="15" t="str">
        <f t="shared" si="1270"/>
        <v>SI</v>
      </c>
      <c r="BJ226" s="15" t="b">
        <f t="shared" si="1271"/>
        <v>1</v>
      </c>
      <c r="BK226" s="15" t="str">
        <f t="shared" si="1272"/>
        <v>SIGIGUALES</v>
      </c>
      <c r="BL226" s="22" t="str">
        <f t="shared" si="1273"/>
        <v>NO CONFORME</v>
      </c>
    </row>
    <row r="227" spans="1:64" ht="14.4" x14ac:dyDescent="0.3">
      <c r="A227" s="91">
        <v>219</v>
      </c>
      <c r="B227" s="28">
        <f t="shared" ref="B227:E227" si="1444">B226</f>
        <v>45920</v>
      </c>
      <c r="C227" s="28">
        <f t="shared" si="1444"/>
        <v>45920</v>
      </c>
      <c r="D227" s="12">
        <f t="shared" si="1444"/>
        <v>3</v>
      </c>
      <c r="E227" s="10">
        <f t="shared" si="1444"/>
        <v>8</v>
      </c>
      <c r="F227" s="13"/>
      <c r="G227" s="157"/>
      <c r="H227" s="70">
        <f t="shared" ref="H227:L227" si="1445">H226</f>
        <v>25.6</v>
      </c>
      <c r="I227" s="36">
        <f t="shared" si="1445"/>
        <v>0</v>
      </c>
      <c r="J227" s="35">
        <f t="shared" si="1445"/>
        <v>20.9</v>
      </c>
      <c r="K227" s="122">
        <f t="shared" si="1445"/>
        <v>8.4730000000000008</v>
      </c>
      <c r="L227" s="122">
        <f t="shared" si="1445"/>
        <v>0.52100000000000002</v>
      </c>
      <c r="M227" s="41"/>
      <c r="N227" s="41"/>
      <c r="O227" s="32">
        <f t="shared" ref="O227:P227" si="1446">O226</f>
        <v>100.48</v>
      </c>
      <c r="P227" s="168" t="str">
        <f t="shared" si="1446"/>
        <v>2,29,610</v>
      </c>
      <c r="Q227" s="11" t="str">
        <f t="shared" si="1339"/>
        <v>2</v>
      </c>
      <c r="R227" s="11" t="str">
        <f t="shared" si="1340"/>
        <v>29,610</v>
      </c>
      <c r="S227" s="11">
        <f t="shared" si="1341"/>
        <v>4.1558333333333336E-2</v>
      </c>
      <c r="T227" s="14">
        <f t="shared" si="1342"/>
        <v>2417.8062963705634</v>
      </c>
      <c r="U227" s="37">
        <f t="shared" si="1343"/>
        <v>-100</v>
      </c>
      <c r="V227" s="38">
        <f t="shared" ref="V227:W227" si="1447">V226</f>
        <v>21.3</v>
      </c>
      <c r="W227" s="124">
        <f t="shared" si="1447"/>
        <v>1.0960000000000001</v>
      </c>
      <c r="X227" s="124">
        <f t="shared" si="1398"/>
        <v>1.0880000000000001</v>
      </c>
      <c r="Y227" s="41"/>
      <c r="Z227" s="41"/>
      <c r="AA227" s="90">
        <f t="shared" ref="AA227:AB227" si="1448">AA226</f>
        <v>5.01</v>
      </c>
      <c r="AB227" s="73" t="str">
        <f t="shared" si="1448"/>
        <v>11,15,880</v>
      </c>
      <c r="AC227" s="11" t="str">
        <f t="shared" si="1346"/>
        <v>11</v>
      </c>
      <c r="AD227" s="11" t="str">
        <f t="shared" si="1347"/>
        <v>15,880</v>
      </c>
      <c r="AE227" s="11">
        <f t="shared" si="1348"/>
        <v>0.18774444444444444</v>
      </c>
      <c r="AF227" s="14">
        <f t="shared" si="1349"/>
        <v>26.685210392377346</v>
      </c>
      <c r="AG227" s="39">
        <f t="shared" si="1350"/>
        <v>-100</v>
      </c>
      <c r="AH227" s="38">
        <f t="shared" si="1406"/>
        <v>18.399999999999999</v>
      </c>
      <c r="AI227" s="124">
        <f t="shared" si="1406"/>
        <v>1.0980000000000001</v>
      </c>
      <c r="AJ227" s="124">
        <f t="shared" si="1406"/>
        <v>1.087</v>
      </c>
      <c r="AK227" s="41">
        <f t="shared" si="1351"/>
        <v>0</v>
      </c>
      <c r="AL227" s="41"/>
      <c r="AM227" s="34">
        <f t="shared" ref="AM227:AN227" si="1449">AM226</f>
        <v>2.0049999999999999</v>
      </c>
      <c r="AN227" s="33" t="str">
        <f t="shared" si="1449"/>
        <v>7,19,050</v>
      </c>
      <c r="AO227" s="11" t="str">
        <f t="shared" si="1353"/>
        <v>7,</v>
      </c>
      <c r="AP227" s="11" t="str">
        <f t="shared" si="1354"/>
        <v>19,050</v>
      </c>
      <c r="AQ227" s="11">
        <f t="shared" si="1355"/>
        <v>0.12195833333333334</v>
      </c>
      <c r="AR227" s="14">
        <f t="shared" si="1356"/>
        <v>16.44004099760847</v>
      </c>
      <c r="AS227" s="39">
        <f t="shared" si="1357"/>
        <v>-100</v>
      </c>
      <c r="AT227" s="40" t="str">
        <f t="shared" si="1358"/>
        <v>NO CONFORME</v>
      </c>
      <c r="AU227" s="8" t="b">
        <f t="shared" si="1280"/>
        <v>1</v>
      </c>
      <c r="AV227" s="8" t="b">
        <f t="shared" si="1281"/>
        <v>0</v>
      </c>
      <c r="AW227" s="8" t="b">
        <f t="shared" si="1282"/>
        <v>1</v>
      </c>
      <c r="AX227" s="8" t="str">
        <f t="shared" si="1283"/>
        <v>Qcorrecto</v>
      </c>
      <c r="AY227" s="22" t="str">
        <f t="shared" si="1263"/>
        <v>aceptable</v>
      </c>
      <c r="AZ227" s="22" t="str">
        <f t="shared" si="1264"/>
        <v>aceptable</v>
      </c>
      <c r="BA227" s="22" t="str">
        <f t="shared" si="1284"/>
        <v>aceptable</v>
      </c>
      <c r="BB227" s="25" t="str">
        <f t="shared" si="1285"/>
        <v>NO CONFORME</v>
      </c>
      <c r="BC227" s="5" t="str">
        <f t="shared" si="1286"/>
        <v>NO CONFORME</v>
      </c>
      <c r="BD227" s="15">
        <f t="shared" si="1265"/>
        <v>-1</v>
      </c>
      <c r="BE227" s="15">
        <f t="shared" si="1266"/>
        <v>-1</v>
      </c>
      <c r="BF227" s="15">
        <f t="shared" si="1267"/>
        <v>-1</v>
      </c>
      <c r="BG227" s="15" t="str">
        <f t="shared" si="1268"/>
        <v>-1-1-1</v>
      </c>
      <c r="BH227" s="15" t="str">
        <f t="shared" si="1269"/>
        <v>SD</v>
      </c>
      <c r="BI227" s="15" t="str">
        <f t="shared" si="1270"/>
        <v>SI</v>
      </c>
      <c r="BJ227" s="15" t="b">
        <f t="shared" si="1271"/>
        <v>1</v>
      </c>
      <c r="BK227" s="15" t="str">
        <f t="shared" si="1272"/>
        <v>SIGIGUALES</v>
      </c>
      <c r="BL227" s="22" t="str">
        <f t="shared" si="1273"/>
        <v>NO CONFORME</v>
      </c>
    </row>
    <row r="228" spans="1:64" ht="14.4" x14ac:dyDescent="0.3">
      <c r="A228" s="91">
        <v>220</v>
      </c>
      <c r="B228" s="28">
        <f t="shared" ref="B228:E228" si="1450">B227</f>
        <v>45920</v>
      </c>
      <c r="C228" s="28">
        <f t="shared" si="1450"/>
        <v>45920</v>
      </c>
      <c r="D228" s="12">
        <f t="shared" si="1450"/>
        <v>3</v>
      </c>
      <c r="E228" s="10">
        <f t="shared" si="1450"/>
        <v>8</v>
      </c>
      <c r="F228" s="13"/>
      <c r="G228" s="157"/>
      <c r="H228" s="70">
        <f t="shared" ref="H228:L228" si="1451">H227</f>
        <v>25.6</v>
      </c>
      <c r="I228" s="36">
        <f t="shared" si="1451"/>
        <v>0</v>
      </c>
      <c r="J228" s="35">
        <f t="shared" si="1451"/>
        <v>20.9</v>
      </c>
      <c r="K228" s="122">
        <f t="shared" si="1451"/>
        <v>8.4730000000000008</v>
      </c>
      <c r="L228" s="122">
        <f t="shared" si="1451"/>
        <v>0.52100000000000002</v>
      </c>
      <c r="M228" s="41"/>
      <c r="N228" s="41"/>
      <c r="O228" s="32">
        <f t="shared" ref="O228:P228" si="1452">O227</f>
        <v>100.48</v>
      </c>
      <c r="P228" s="168" t="str">
        <f t="shared" si="1452"/>
        <v>2,29,610</v>
      </c>
      <c r="Q228" s="11" t="str">
        <f t="shared" si="1339"/>
        <v>2</v>
      </c>
      <c r="R228" s="11" t="str">
        <f t="shared" si="1340"/>
        <v>29,610</v>
      </c>
      <c r="S228" s="11">
        <f t="shared" si="1341"/>
        <v>4.1558333333333336E-2</v>
      </c>
      <c r="T228" s="14">
        <f t="shared" si="1342"/>
        <v>2417.8062963705634</v>
      </c>
      <c r="U228" s="37">
        <f t="shared" si="1343"/>
        <v>-100</v>
      </c>
      <c r="V228" s="38">
        <f t="shared" ref="V228:W228" si="1453">V227</f>
        <v>21.3</v>
      </c>
      <c r="W228" s="124">
        <f t="shared" si="1453"/>
        <v>1.0960000000000001</v>
      </c>
      <c r="X228" s="124">
        <f t="shared" si="1398"/>
        <v>1.0880000000000001</v>
      </c>
      <c r="Y228" s="41"/>
      <c r="Z228" s="41"/>
      <c r="AA228" s="90">
        <f t="shared" ref="AA228:AB228" si="1454">AA227</f>
        <v>5.01</v>
      </c>
      <c r="AB228" s="73" t="str">
        <f t="shared" si="1454"/>
        <v>11,15,880</v>
      </c>
      <c r="AC228" s="11" t="str">
        <f t="shared" si="1346"/>
        <v>11</v>
      </c>
      <c r="AD228" s="11" t="str">
        <f t="shared" si="1347"/>
        <v>15,880</v>
      </c>
      <c r="AE228" s="11">
        <f t="shared" si="1348"/>
        <v>0.18774444444444444</v>
      </c>
      <c r="AF228" s="14">
        <f t="shared" si="1349"/>
        <v>26.685210392377346</v>
      </c>
      <c r="AG228" s="39">
        <f t="shared" si="1350"/>
        <v>-100</v>
      </c>
      <c r="AH228" s="38">
        <f t="shared" si="1406"/>
        <v>18.399999999999999</v>
      </c>
      <c r="AI228" s="124">
        <f t="shared" si="1406"/>
        <v>1.0980000000000001</v>
      </c>
      <c r="AJ228" s="124">
        <f t="shared" si="1406"/>
        <v>1.087</v>
      </c>
      <c r="AK228" s="41">
        <f t="shared" si="1351"/>
        <v>0</v>
      </c>
      <c r="AL228" s="41"/>
      <c r="AM228" s="34">
        <f t="shared" ref="AM228:AN228" si="1455">AM227</f>
        <v>2.0049999999999999</v>
      </c>
      <c r="AN228" s="33" t="str">
        <f t="shared" si="1455"/>
        <v>7,19,050</v>
      </c>
      <c r="AO228" s="11" t="str">
        <f t="shared" si="1353"/>
        <v>7,</v>
      </c>
      <c r="AP228" s="11" t="str">
        <f t="shared" si="1354"/>
        <v>19,050</v>
      </c>
      <c r="AQ228" s="11">
        <f t="shared" si="1355"/>
        <v>0.12195833333333334</v>
      </c>
      <c r="AR228" s="14">
        <f t="shared" si="1356"/>
        <v>16.44004099760847</v>
      </c>
      <c r="AS228" s="39">
        <f t="shared" si="1357"/>
        <v>-100</v>
      </c>
      <c r="AT228" s="40" t="str">
        <f t="shared" si="1358"/>
        <v>NO CONFORME</v>
      </c>
      <c r="AU228" s="8" t="b">
        <f t="shared" si="1280"/>
        <v>1</v>
      </c>
      <c r="AV228" s="8" t="b">
        <f t="shared" si="1281"/>
        <v>0</v>
      </c>
      <c r="AW228" s="8" t="b">
        <f t="shared" si="1282"/>
        <v>1</v>
      </c>
      <c r="AX228" s="8" t="str">
        <f t="shared" si="1283"/>
        <v>Qcorrecto</v>
      </c>
      <c r="AY228" s="22" t="str">
        <f t="shared" si="1263"/>
        <v>aceptable</v>
      </c>
      <c r="AZ228" s="22" t="str">
        <f t="shared" si="1264"/>
        <v>aceptable</v>
      </c>
      <c r="BA228" s="22" t="str">
        <f t="shared" si="1284"/>
        <v>aceptable</v>
      </c>
      <c r="BB228" s="25" t="str">
        <f t="shared" si="1285"/>
        <v>NO CONFORME</v>
      </c>
      <c r="BC228" s="5" t="str">
        <f t="shared" si="1286"/>
        <v>NO CONFORME</v>
      </c>
      <c r="BD228" s="15">
        <f t="shared" si="1265"/>
        <v>-1</v>
      </c>
      <c r="BE228" s="15">
        <f t="shared" si="1266"/>
        <v>-1</v>
      </c>
      <c r="BF228" s="15">
        <f t="shared" si="1267"/>
        <v>-1</v>
      </c>
      <c r="BG228" s="15" t="str">
        <f t="shared" si="1268"/>
        <v>-1-1-1</v>
      </c>
      <c r="BH228" s="15" t="str">
        <f t="shared" si="1269"/>
        <v>SD</v>
      </c>
      <c r="BI228" s="15" t="str">
        <f t="shared" si="1270"/>
        <v>SI</v>
      </c>
      <c r="BJ228" s="15" t="b">
        <f t="shared" si="1271"/>
        <v>1</v>
      </c>
      <c r="BK228" s="15" t="str">
        <f t="shared" si="1272"/>
        <v>SIGIGUALES</v>
      </c>
      <c r="BL228" s="22" t="str">
        <f t="shared" si="1273"/>
        <v>NO CONFORME</v>
      </c>
    </row>
    <row r="229" spans="1:64" ht="14.4" x14ac:dyDescent="0.3">
      <c r="A229" s="91">
        <v>221</v>
      </c>
      <c r="B229" s="28">
        <f t="shared" ref="B229:E229" si="1456">B228</f>
        <v>45920</v>
      </c>
      <c r="C229" s="28">
        <f t="shared" si="1456"/>
        <v>45920</v>
      </c>
      <c r="D229" s="12">
        <f t="shared" si="1456"/>
        <v>3</v>
      </c>
      <c r="E229" s="10">
        <f t="shared" si="1456"/>
        <v>8</v>
      </c>
      <c r="F229" s="13"/>
      <c r="G229" s="157"/>
      <c r="H229" s="70">
        <f t="shared" ref="H229:L229" si="1457">H228</f>
        <v>25.6</v>
      </c>
      <c r="I229" s="36">
        <f t="shared" si="1457"/>
        <v>0</v>
      </c>
      <c r="J229" s="35">
        <f t="shared" si="1457"/>
        <v>20.9</v>
      </c>
      <c r="K229" s="122">
        <f t="shared" si="1457"/>
        <v>8.4730000000000008</v>
      </c>
      <c r="L229" s="122">
        <f t="shared" si="1457"/>
        <v>0.52100000000000002</v>
      </c>
      <c r="M229" s="41"/>
      <c r="N229" s="41"/>
      <c r="O229" s="32">
        <f t="shared" ref="O229:P229" si="1458">O228</f>
        <v>100.48</v>
      </c>
      <c r="P229" s="168" t="str">
        <f t="shared" si="1458"/>
        <v>2,29,610</v>
      </c>
      <c r="Q229" s="11" t="str">
        <f t="shared" si="1339"/>
        <v>2</v>
      </c>
      <c r="R229" s="11" t="str">
        <f t="shared" si="1340"/>
        <v>29,610</v>
      </c>
      <c r="S229" s="11">
        <f t="shared" si="1341"/>
        <v>4.1558333333333336E-2</v>
      </c>
      <c r="T229" s="14">
        <f t="shared" si="1342"/>
        <v>2417.8062963705634</v>
      </c>
      <c r="U229" s="37">
        <f t="shared" si="1343"/>
        <v>-100</v>
      </c>
      <c r="V229" s="38">
        <f t="shared" ref="V229:W229" si="1459">V228</f>
        <v>21.3</v>
      </c>
      <c r="W229" s="124">
        <f t="shared" si="1459"/>
        <v>1.0960000000000001</v>
      </c>
      <c r="X229" s="124">
        <f t="shared" si="1398"/>
        <v>1.0880000000000001</v>
      </c>
      <c r="Y229" s="41"/>
      <c r="Z229" s="41"/>
      <c r="AA229" s="90">
        <f t="shared" ref="AA229:AB229" si="1460">AA228</f>
        <v>5.01</v>
      </c>
      <c r="AB229" s="73" t="str">
        <f t="shared" si="1460"/>
        <v>11,15,880</v>
      </c>
      <c r="AC229" s="11" t="str">
        <f t="shared" si="1346"/>
        <v>11</v>
      </c>
      <c r="AD229" s="11" t="str">
        <f t="shared" si="1347"/>
        <v>15,880</v>
      </c>
      <c r="AE229" s="11">
        <f t="shared" si="1348"/>
        <v>0.18774444444444444</v>
      </c>
      <c r="AF229" s="14">
        <f t="shared" si="1349"/>
        <v>26.685210392377346</v>
      </c>
      <c r="AG229" s="39">
        <f t="shared" si="1350"/>
        <v>-100</v>
      </c>
      <c r="AH229" s="38">
        <f t="shared" si="1406"/>
        <v>18.399999999999999</v>
      </c>
      <c r="AI229" s="124">
        <f t="shared" si="1406"/>
        <v>1.0980000000000001</v>
      </c>
      <c r="AJ229" s="124">
        <f t="shared" si="1406"/>
        <v>1.087</v>
      </c>
      <c r="AK229" s="41">
        <f t="shared" si="1351"/>
        <v>0</v>
      </c>
      <c r="AL229" s="41"/>
      <c r="AM229" s="34">
        <f t="shared" ref="AM229:AN229" si="1461">AM228</f>
        <v>2.0049999999999999</v>
      </c>
      <c r="AN229" s="33" t="str">
        <f t="shared" si="1461"/>
        <v>7,19,050</v>
      </c>
      <c r="AO229" s="11" t="str">
        <f t="shared" si="1353"/>
        <v>7,</v>
      </c>
      <c r="AP229" s="11" t="str">
        <f t="shared" si="1354"/>
        <v>19,050</v>
      </c>
      <c r="AQ229" s="11">
        <f t="shared" si="1355"/>
        <v>0.12195833333333334</v>
      </c>
      <c r="AR229" s="14">
        <f t="shared" si="1356"/>
        <v>16.44004099760847</v>
      </c>
      <c r="AS229" s="39">
        <f t="shared" si="1357"/>
        <v>-100</v>
      </c>
      <c r="AT229" s="40" t="str">
        <f t="shared" si="1358"/>
        <v>NO CONFORME</v>
      </c>
      <c r="AU229" s="8" t="b">
        <f t="shared" si="1280"/>
        <v>1</v>
      </c>
      <c r="AV229" s="8" t="b">
        <f t="shared" si="1281"/>
        <v>0</v>
      </c>
      <c r="AW229" s="8" t="b">
        <f t="shared" si="1282"/>
        <v>1</v>
      </c>
      <c r="AX229" s="8" t="str">
        <f t="shared" si="1283"/>
        <v>Qcorrecto</v>
      </c>
      <c r="AY229" s="22" t="str">
        <f t="shared" si="1263"/>
        <v>aceptable</v>
      </c>
      <c r="AZ229" s="22" t="str">
        <f t="shared" si="1264"/>
        <v>aceptable</v>
      </c>
      <c r="BA229" s="22" t="str">
        <f t="shared" si="1284"/>
        <v>aceptable</v>
      </c>
      <c r="BB229" s="25" t="str">
        <f t="shared" si="1285"/>
        <v>NO CONFORME</v>
      </c>
      <c r="BC229" s="5" t="str">
        <f t="shared" si="1286"/>
        <v>NO CONFORME</v>
      </c>
      <c r="BD229" s="15">
        <f t="shared" si="1265"/>
        <v>-1</v>
      </c>
      <c r="BE229" s="15">
        <f t="shared" si="1266"/>
        <v>-1</v>
      </c>
      <c r="BF229" s="15">
        <f t="shared" si="1267"/>
        <v>-1</v>
      </c>
      <c r="BG229" s="15" t="str">
        <f t="shared" si="1268"/>
        <v>-1-1-1</v>
      </c>
      <c r="BH229" s="15" t="str">
        <f t="shared" si="1269"/>
        <v>SD</v>
      </c>
      <c r="BI229" s="15" t="str">
        <f t="shared" si="1270"/>
        <v>SI</v>
      </c>
      <c r="BJ229" s="15" t="b">
        <f t="shared" si="1271"/>
        <v>1</v>
      </c>
      <c r="BK229" s="15" t="str">
        <f t="shared" si="1272"/>
        <v>SIGIGUALES</v>
      </c>
      <c r="BL229" s="22" t="str">
        <f t="shared" si="1273"/>
        <v>NO CONFORME</v>
      </c>
    </row>
    <row r="230" spans="1:64" ht="14.4" x14ac:dyDescent="0.3">
      <c r="A230" s="91">
        <v>222</v>
      </c>
      <c r="B230" s="28">
        <f t="shared" ref="B230:E230" si="1462">B229</f>
        <v>45920</v>
      </c>
      <c r="C230" s="28">
        <f t="shared" si="1462"/>
        <v>45920</v>
      </c>
      <c r="D230" s="12">
        <f t="shared" si="1462"/>
        <v>3</v>
      </c>
      <c r="E230" s="10">
        <f t="shared" si="1462"/>
        <v>8</v>
      </c>
      <c r="F230" s="13"/>
      <c r="G230" s="157"/>
      <c r="H230" s="70">
        <f t="shared" ref="H230:L230" si="1463">H229</f>
        <v>25.6</v>
      </c>
      <c r="I230" s="36">
        <f t="shared" si="1463"/>
        <v>0</v>
      </c>
      <c r="J230" s="35">
        <f t="shared" si="1463"/>
        <v>20.9</v>
      </c>
      <c r="K230" s="122">
        <f t="shared" si="1463"/>
        <v>8.4730000000000008</v>
      </c>
      <c r="L230" s="122">
        <f t="shared" si="1463"/>
        <v>0.52100000000000002</v>
      </c>
      <c r="M230" s="41"/>
      <c r="N230" s="41"/>
      <c r="O230" s="32">
        <f t="shared" ref="O230:P230" si="1464">O229</f>
        <v>100.48</v>
      </c>
      <c r="P230" s="168" t="str">
        <f t="shared" si="1464"/>
        <v>2,29,610</v>
      </c>
      <c r="Q230" s="11" t="str">
        <f t="shared" si="1339"/>
        <v>2</v>
      </c>
      <c r="R230" s="11" t="str">
        <f t="shared" si="1340"/>
        <v>29,610</v>
      </c>
      <c r="S230" s="11">
        <f t="shared" si="1341"/>
        <v>4.1558333333333336E-2</v>
      </c>
      <c r="T230" s="14">
        <f t="shared" si="1342"/>
        <v>2417.8062963705634</v>
      </c>
      <c r="U230" s="37">
        <f t="shared" si="1343"/>
        <v>-100</v>
      </c>
      <c r="V230" s="38">
        <f t="shared" ref="V230:W230" si="1465">V229</f>
        <v>21.3</v>
      </c>
      <c r="W230" s="124">
        <f t="shared" si="1465"/>
        <v>1.0960000000000001</v>
      </c>
      <c r="X230" s="124">
        <f t="shared" si="1398"/>
        <v>1.0880000000000001</v>
      </c>
      <c r="Y230" s="41"/>
      <c r="Z230" s="41"/>
      <c r="AA230" s="90">
        <f t="shared" ref="AA230:AB230" si="1466">AA229</f>
        <v>5.01</v>
      </c>
      <c r="AB230" s="73" t="str">
        <f t="shared" si="1466"/>
        <v>11,15,880</v>
      </c>
      <c r="AC230" s="11" t="str">
        <f t="shared" si="1346"/>
        <v>11</v>
      </c>
      <c r="AD230" s="11" t="str">
        <f t="shared" si="1347"/>
        <v>15,880</v>
      </c>
      <c r="AE230" s="11">
        <f t="shared" si="1348"/>
        <v>0.18774444444444444</v>
      </c>
      <c r="AF230" s="14">
        <f t="shared" si="1349"/>
        <v>26.685210392377346</v>
      </c>
      <c r="AG230" s="39">
        <f t="shared" si="1350"/>
        <v>-100</v>
      </c>
      <c r="AH230" s="38">
        <f t="shared" si="1406"/>
        <v>18.399999999999999</v>
      </c>
      <c r="AI230" s="124">
        <f t="shared" si="1406"/>
        <v>1.0980000000000001</v>
      </c>
      <c r="AJ230" s="124">
        <f t="shared" si="1406"/>
        <v>1.087</v>
      </c>
      <c r="AK230" s="41">
        <f t="shared" si="1351"/>
        <v>0</v>
      </c>
      <c r="AL230" s="41"/>
      <c r="AM230" s="34">
        <f t="shared" ref="AM230:AN230" si="1467">AM229</f>
        <v>2.0049999999999999</v>
      </c>
      <c r="AN230" s="33" t="str">
        <f t="shared" si="1467"/>
        <v>7,19,050</v>
      </c>
      <c r="AO230" s="11" t="str">
        <f t="shared" si="1353"/>
        <v>7,</v>
      </c>
      <c r="AP230" s="11" t="str">
        <f t="shared" si="1354"/>
        <v>19,050</v>
      </c>
      <c r="AQ230" s="11">
        <f t="shared" si="1355"/>
        <v>0.12195833333333334</v>
      </c>
      <c r="AR230" s="14">
        <f t="shared" si="1356"/>
        <v>16.44004099760847</v>
      </c>
      <c r="AS230" s="39">
        <f t="shared" si="1357"/>
        <v>-100</v>
      </c>
      <c r="AT230" s="40" t="str">
        <f t="shared" si="1358"/>
        <v>NO CONFORME</v>
      </c>
      <c r="AU230" s="8" t="b">
        <f t="shared" si="1280"/>
        <v>1</v>
      </c>
      <c r="AV230" s="8" t="b">
        <f t="shared" si="1281"/>
        <v>0</v>
      </c>
      <c r="AW230" s="8" t="b">
        <f t="shared" si="1282"/>
        <v>1</v>
      </c>
      <c r="AX230" s="8" t="str">
        <f t="shared" si="1283"/>
        <v>Qcorrecto</v>
      </c>
      <c r="AY230" s="22" t="str">
        <f t="shared" si="1263"/>
        <v>aceptable</v>
      </c>
      <c r="AZ230" s="22" t="str">
        <f t="shared" si="1264"/>
        <v>aceptable</v>
      </c>
      <c r="BA230" s="22" t="str">
        <f t="shared" si="1284"/>
        <v>aceptable</v>
      </c>
      <c r="BB230" s="25" t="str">
        <f t="shared" si="1285"/>
        <v>NO CONFORME</v>
      </c>
      <c r="BC230" s="5" t="str">
        <f t="shared" si="1286"/>
        <v>NO CONFORME</v>
      </c>
      <c r="BD230" s="15">
        <f t="shared" si="1265"/>
        <v>-1</v>
      </c>
      <c r="BE230" s="15">
        <f t="shared" si="1266"/>
        <v>-1</v>
      </c>
      <c r="BF230" s="15">
        <f t="shared" si="1267"/>
        <v>-1</v>
      </c>
      <c r="BG230" s="15" t="str">
        <f t="shared" si="1268"/>
        <v>-1-1-1</v>
      </c>
      <c r="BH230" s="15" t="str">
        <f t="shared" si="1269"/>
        <v>SD</v>
      </c>
      <c r="BI230" s="15" t="str">
        <f t="shared" si="1270"/>
        <v>SI</v>
      </c>
      <c r="BJ230" s="15" t="b">
        <f t="shared" si="1271"/>
        <v>1</v>
      </c>
      <c r="BK230" s="15" t="str">
        <f t="shared" si="1272"/>
        <v>SIGIGUALES</v>
      </c>
      <c r="BL230" s="22" t="str">
        <f t="shared" si="1273"/>
        <v>NO CONFORME</v>
      </c>
    </row>
    <row r="231" spans="1:64" ht="14.4" x14ac:dyDescent="0.3">
      <c r="A231" s="91">
        <v>223</v>
      </c>
      <c r="B231" s="28">
        <f t="shared" ref="B231:E231" si="1468">B230</f>
        <v>45920</v>
      </c>
      <c r="C231" s="28">
        <f t="shared" si="1468"/>
        <v>45920</v>
      </c>
      <c r="D231" s="12">
        <f t="shared" si="1468"/>
        <v>3</v>
      </c>
      <c r="E231" s="10">
        <f t="shared" si="1468"/>
        <v>8</v>
      </c>
      <c r="F231" s="13"/>
      <c r="G231" s="157"/>
      <c r="H231" s="70">
        <f t="shared" ref="H231:L231" si="1469">H230</f>
        <v>25.6</v>
      </c>
      <c r="I231" s="36">
        <f t="shared" si="1469"/>
        <v>0</v>
      </c>
      <c r="J231" s="35">
        <f t="shared" si="1469"/>
        <v>20.9</v>
      </c>
      <c r="K231" s="122">
        <f t="shared" si="1469"/>
        <v>8.4730000000000008</v>
      </c>
      <c r="L231" s="122">
        <f t="shared" si="1469"/>
        <v>0.52100000000000002</v>
      </c>
      <c r="M231" s="41"/>
      <c r="N231" s="41"/>
      <c r="O231" s="32">
        <f t="shared" ref="O231:P231" si="1470">O230</f>
        <v>100.48</v>
      </c>
      <c r="P231" s="168" t="str">
        <f t="shared" si="1470"/>
        <v>2,29,610</v>
      </c>
      <c r="Q231" s="11" t="str">
        <f t="shared" si="1339"/>
        <v>2</v>
      </c>
      <c r="R231" s="11" t="str">
        <f t="shared" si="1340"/>
        <v>29,610</v>
      </c>
      <c r="S231" s="11">
        <f t="shared" si="1341"/>
        <v>4.1558333333333336E-2</v>
      </c>
      <c r="T231" s="14">
        <f t="shared" si="1342"/>
        <v>2417.8062963705634</v>
      </c>
      <c r="U231" s="37">
        <f t="shared" si="1343"/>
        <v>-100</v>
      </c>
      <c r="V231" s="38">
        <f t="shared" ref="V231:W231" si="1471">V230</f>
        <v>21.3</v>
      </c>
      <c r="W231" s="124">
        <f t="shared" si="1471"/>
        <v>1.0960000000000001</v>
      </c>
      <c r="X231" s="124">
        <f t="shared" si="1398"/>
        <v>1.0880000000000001</v>
      </c>
      <c r="Y231" s="41"/>
      <c r="Z231" s="41"/>
      <c r="AA231" s="90">
        <f t="shared" ref="AA231:AB231" si="1472">AA230</f>
        <v>5.01</v>
      </c>
      <c r="AB231" s="73" t="str">
        <f t="shared" si="1472"/>
        <v>11,15,880</v>
      </c>
      <c r="AC231" s="11" t="str">
        <f t="shared" si="1346"/>
        <v>11</v>
      </c>
      <c r="AD231" s="11" t="str">
        <f t="shared" si="1347"/>
        <v>15,880</v>
      </c>
      <c r="AE231" s="11">
        <f t="shared" si="1348"/>
        <v>0.18774444444444444</v>
      </c>
      <c r="AF231" s="14">
        <f t="shared" si="1349"/>
        <v>26.685210392377346</v>
      </c>
      <c r="AG231" s="39">
        <f t="shared" si="1350"/>
        <v>-100</v>
      </c>
      <c r="AH231" s="38">
        <f t="shared" si="1406"/>
        <v>18.399999999999999</v>
      </c>
      <c r="AI231" s="124">
        <f t="shared" si="1406"/>
        <v>1.0980000000000001</v>
      </c>
      <c r="AJ231" s="124">
        <f t="shared" si="1406"/>
        <v>1.087</v>
      </c>
      <c r="AK231" s="41">
        <f t="shared" si="1351"/>
        <v>0</v>
      </c>
      <c r="AL231" s="41"/>
      <c r="AM231" s="34">
        <f t="shared" ref="AM231:AN231" si="1473">AM230</f>
        <v>2.0049999999999999</v>
      </c>
      <c r="AN231" s="33" t="str">
        <f t="shared" si="1473"/>
        <v>7,19,050</v>
      </c>
      <c r="AO231" s="11" t="str">
        <f t="shared" si="1353"/>
        <v>7,</v>
      </c>
      <c r="AP231" s="11" t="str">
        <f t="shared" si="1354"/>
        <v>19,050</v>
      </c>
      <c r="AQ231" s="11">
        <f t="shared" si="1355"/>
        <v>0.12195833333333334</v>
      </c>
      <c r="AR231" s="14">
        <f t="shared" si="1356"/>
        <v>16.44004099760847</v>
      </c>
      <c r="AS231" s="39">
        <f t="shared" si="1357"/>
        <v>-100</v>
      </c>
      <c r="AT231" s="40" t="str">
        <f t="shared" si="1358"/>
        <v>NO CONFORME</v>
      </c>
      <c r="AU231" s="8" t="b">
        <f t="shared" si="1280"/>
        <v>1</v>
      </c>
      <c r="AV231" s="8" t="b">
        <f t="shared" si="1281"/>
        <v>0</v>
      </c>
      <c r="AW231" s="8" t="b">
        <f t="shared" si="1282"/>
        <v>1</v>
      </c>
      <c r="AX231" s="8" t="str">
        <f t="shared" si="1283"/>
        <v>Qcorrecto</v>
      </c>
      <c r="AY231" s="22" t="str">
        <f t="shared" si="1263"/>
        <v>aceptable</v>
      </c>
      <c r="AZ231" s="22" t="str">
        <f t="shared" si="1264"/>
        <v>aceptable</v>
      </c>
      <c r="BA231" s="22" t="str">
        <f t="shared" si="1284"/>
        <v>aceptable</v>
      </c>
      <c r="BB231" s="25" t="str">
        <f t="shared" si="1285"/>
        <v>NO CONFORME</v>
      </c>
      <c r="BC231" s="5" t="str">
        <f t="shared" si="1286"/>
        <v>NO CONFORME</v>
      </c>
      <c r="BD231" s="15">
        <f t="shared" si="1265"/>
        <v>-1</v>
      </c>
      <c r="BE231" s="15">
        <f t="shared" si="1266"/>
        <v>-1</v>
      </c>
      <c r="BF231" s="15">
        <f t="shared" si="1267"/>
        <v>-1</v>
      </c>
      <c r="BG231" s="15" t="str">
        <f t="shared" si="1268"/>
        <v>-1-1-1</v>
      </c>
      <c r="BH231" s="15" t="str">
        <f t="shared" si="1269"/>
        <v>SD</v>
      </c>
      <c r="BI231" s="15" t="str">
        <f t="shared" si="1270"/>
        <v>SI</v>
      </c>
      <c r="BJ231" s="15" t="b">
        <f t="shared" si="1271"/>
        <v>1</v>
      </c>
      <c r="BK231" s="15" t="str">
        <f t="shared" si="1272"/>
        <v>SIGIGUALES</v>
      </c>
      <c r="BL231" s="22" t="str">
        <f t="shared" si="1273"/>
        <v>NO CONFORME</v>
      </c>
    </row>
    <row r="232" spans="1:64" ht="14.4" x14ac:dyDescent="0.3">
      <c r="A232" s="91">
        <v>224</v>
      </c>
      <c r="B232" s="28">
        <f t="shared" ref="B232:E232" si="1474">B231</f>
        <v>45920</v>
      </c>
      <c r="C232" s="28">
        <f t="shared" si="1474"/>
        <v>45920</v>
      </c>
      <c r="D232" s="12">
        <f t="shared" si="1474"/>
        <v>3</v>
      </c>
      <c r="E232" s="10">
        <f t="shared" si="1474"/>
        <v>8</v>
      </c>
      <c r="F232" s="13"/>
      <c r="G232" s="157"/>
      <c r="H232" s="70">
        <f t="shared" ref="H232:L232" si="1475">H231</f>
        <v>25.6</v>
      </c>
      <c r="I232" s="36">
        <f t="shared" si="1475"/>
        <v>0</v>
      </c>
      <c r="J232" s="35">
        <f t="shared" si="1475"/>
        <v>20.9</v>
      </c>
      <c r="K232" s="122">
        <f t="shared" si="1475"/>
        <v>8.4730000000000008</v>
      </c>
      <c r="L232" s="122">
        <f t="shared" si="1475"/>
        <v>0.52100000000000002</v>
      </c>
      <c r="M232" s="41"/>
      <c r="N232" s="41"/>
      <c r="O232" s="32">
        <f t="shared" ref="O232:P232" si="1476">O231</f>
        <v>100.48</v>
      </c>
      <c r="P232" s="168" t="str">
        <f t="shared" si="1476"/>
        <v>2,29,610</v>
      </c>
      <c r="Q232" s="11" t="str">
        <f t="shared" si="1339"/>
        <v>2</v>
      </c>
      <c r="R232" s="11" t="str">
        <f t="shared" si="1340"/>
        <v>29,610</v>
      </c>
      <c r="S232" s="11">
        <f t="shared" si="1341"/>
        <v>4.1558333333333336E-2</v>
      </c>
      <c r="T232" s="14">
        <f t="shared" si="1342"/>
        <v>2417.8062963705634</v>
      </c>
      <c r="U232" s="37">
        <f t="shared" si="1343"/>
        <v>-100</v>
      </c>
      <c r="V232" s="38">
        <f t="shared" ref="V232:W232" si="1477">V231</f>
        <v>21.3</v>
      </c>
      <c r="W232" s="124">
        <f t="shared" si="1477"/>
        <v>1.0960000000000001</v>
      </c>
      <c r="X232" s="124">
        <f t="shared" si="1398"/>
        <v>1.0880000000000001</v>
      </c>
      <c r="Y232" s="41"/>
      <c r="Z232" s="41"/>
      <c r="AA232" s="90">
        <f t="shared" ref="AA232:AB232" si="1478">AA231</f>
        <v>5.01</v>
      </c>
      <c r="AB232" s="73" t="str">
        <f t="shared" si="1478"/>
        <v>11,15,880</v>
      </c>
      <c r="AC232" s="11" t="str">
        <f t="shared" si="1346"/>
        <v>11</v>
      </c>
      <c r="AD232" s="11" t="str">
        <f t="shared" si="1347"/>
        <v>15,880</v>
      </c>
      <c r="AE232" s="11">
        <f t="shared" si="1348"/>
        <v>0.18774444444444444</v>
      </c>
      <c r="AF232" s="14">
        <f t="shared" si="1349"/>
        <v>26.685210392377346</v>
      </c>
      <c r="AG232" s="39">
        <f t="shared" si="1350"/>
        <v>-100</v>
      </c>
      <c r="AH232" s="38">
        <f t="shared" si="1406"/>
        <v>18.399999999999999</v>
      </c>
      <c r="AI232" s="124">
        <f t="shared" si="1406"/>
        <v>1.0980000000000001</v>
      </c>
      <c r="AJ232" s="124">
        <f t="shared" si="1406"/>
        <v>1.087</v>
      </c>
      <c r="AK232" s="41">
        <f t="shared" si="1351"/>
        <v>0</v>
      </c>
      <c r="AL232" s="41"/>
      <c r="AM232" s="34">
        <f t="shared" ref="AM232:AN232" si="1479">AM231</f>
        <v>2.0049999999999999</v>
      </c>
      <c r="AN232" s="33" t="str">
        <f t="shared" si="1479"/>
        <v>7,19,050</v>
      </c>
      <c r="AO232" s="11" t="str">
        <f t="shared" si="1353"/>
        <v>7,</v>
      </c>
      <c r="AP232" s="11" t="str">
        <f t="shared" si="1354"/>
        <v>19,050</v>
      </c>
      <c r="AQ232" s="11">
        <f t="shared" si="1355"/>
        <v>0.12195833333333334</v>
      </c>
      <c r="AR232" s="14">
        <f t="shared" si="1356"/>
        <v>16.44004099760847</v>
      </c>
      <c r="AS232" s="39">
        <f t="shared" si="1357"/>
        <v>-100</v>
      </c>
      <c r="AT232" s="40" t="str">
        <f t="shared" si="1358"/>
        <v>NO CONFORME</v>
      </c>
      <c r="AU232" s="8" t="b">
        <f t="shared" si="1280"/>
        <v>1</v>
      </c>
      <c r="AV232" s="8" t="b">
        <f t="shared" si="1281"/>
        <v>0</v>
      </c>
      <c r="AW232" s="8" t="b">
        <f t="shared" si="1282"/>
        <v>1</v>
      </c>
      <c r="AX232" s="8" t="str">
        <f t="shared" si="1283"/>
        <v>Qcorrecto</v>
      </c>
      <c r="AY232" s="22" t="str">
        <f t="shared" si="1263"/>
        <v>aceptable</v>
      </c>
      <c r="AZ232" s="22" t="str">
        <f t="shared" si="1264"/>
        <v>aceptable</v>
      </c>
      <c r="BA232" s="22" t="str">
        <f t="shared" si="1284"/>
        <v>aceptable</v>
      </c>
      <c r="BB232" s="25" t="str">
        <f t="shared" si="1285"/>
        <v>NO CONFORME</v>
      </c>
      <c r="BC232" s="5" t="str">
        <f t="shared" si="1286"/>
        <v>NO CONFORME</v>
      </c>
      <c r="BD232" s="15">
        <f t="shared" si="1265"/>
        <v>-1</v>
      </c>
      <c r="BE232" s="15">
        <f t="shared" si="1266"/>
        <v>-1</v>
      </c>
      <c r="BF232" s="15">
        <f t="shared" si="1267"/>
        <v>-1</v>
      </c>
      <c r="BG232" s="15" t="str">
        <f t="shared" si="1268"/>
        <v>-1-1-1</v>
      </c>
      <c r="BH232" s="15" t="str">
        <f t="shared" si="1269"/>
        <v>SD</v>
      </c>
      <c r="BI232" s="15" t="str">
        <f t="shared" si="1270"/>
        <v>SI</v>
      </c>
      <c r="BJ232" s="15" t="b">
        <f t="shared" si="1271"/>
        <v>1</v>
      </c>
      <c r="BK232" s="15" t="str">
        <f t="shared" si="1272"/>
        <v>SIGIGUALES</v>
      </c>
      <c r="BL232" s="22" t="str">
        <f t="shared" si="1273"/>
        <v>NO CONFORME</v>
      </c>
    </row>
    <row r="233" spans="1:64" ht="14.4" x14ac:dyDescent="0.3">
      <c r="A233" s="91">
        <v>225</v>
      </c>
      <c r="B233" s="28">
        <f t="shared" ref="B233:E233" si="1480">B232</f>
        <v>45920</v>
      </c>
      <c r="C233" s="28">
        <f t="shared" si="1480"/>
        <v>45920</v>
      </c>
      <c r="D233" s="12">
        <f t="shared" si="1480"/>
        <v>3</v>
      </c>
      <c r="E233" s="10">
        <f t="shared" si="1480"/>
        <v>8</v>
      </c>
      <c r="F233" s="13"/>
      <c r="G233" s="157"/>
      <c r="H233" s="70">
        <f t="shared" ref="H233:L233" si="1481">H232</f>
        <v>25.6</v>
      </c>
      <c r="I233" s="36">
        <f t="shared" si="1481"/>
        <v>0</v>
      </c>
      <c r="J233" s="35">
        <f t="shared" si="1481"/>
        <v>20.9</v>
      </c>
      <c r="K233" s="122">
        <f t="shared" si="1481"/>
        <v>8.4730000000000008</v>
      </c>
      <c r="L233" s="122">
        <f t="shared" si="1481"/>
        <v>0.52100000000000002</v>
      </c>
      <c r="M233" s="41"/>
      <c r="N233" s="41"/>
      <c r="O233" s="32">
        <f t="shared" ref="O233:P233" si="1482">O232</f>
        <v>100.48</v>
      </c>
      <c r="P233" s="168" t="str">
        <f t="shared" si="1482"/>
        <v>2,29,610</v>
      </c>
      <c r="Q233" s="11" t="str">
        <f t="shared" si="1339"/>
        <v>2</v>
      </c>
      <c r="R233" s="11" t="str">
        <f t="shared" si="1340"/>
        <v>29,610</v>
      </c>
      <c r="S233" s="11">
        <f t="shared" si="1341"/>
        <v>4.1558333333333336E-2</v>
      </c>
      <c r="T233" s="14">
        <f t="shared" si="1342"/>
        <v>2417.8062963705634</v>
      </c>
      <c r="U233" s="37">
        <f t="shared" si="1343"/>
        <v>-100</v>
      </c>
      <c r="V233" s="38">
        <f t="shared" ref="V233:W233" si="1483">V232</f>
        <v>21.3</v>
      </c>
      <c r="W233" s="124">
        <f t="shared" si="1483"/>
        <v>1.0960000000000001</v>
      </c>
      <c r="X233" s="124">
        <f t="shared" si="1398"/>
        <v>1.0880000000000001</v>
      </c>
      <c r="Y233" s="41"/>
      <c r="Z233" s="41"/>
      <c r="AA233" s="90">
        <f t="shared" ref="AA233:AB233" si="1484">AA232</f>
        <v>5.01</v>
      </c>
      <c r="AB233" s="73" t="str">
        <f t="shared" si="1484"/>
        <v>11,15,880</v>
      </c>
      <c r="AC233" s="11" t="str">
        <f t="shared" si="1346"/>
        <v>11</v>
      </c>
      <c r="AD233" s="11" t="str">
        <f t="shared" si="1347"/>
        <v>15,880</v>
      </c>
      <c r="AE233" s="11">
        <f t="shared" si="1348"/>
        <v>0.18774444444444444</v>
      </c>
      <c r="AF233" s="14">
        <f t="shared" si="1349"/>
        <v>26.685210392377346</v>
      </c>
      <c r="AG233" s="39">
        <f t="shared" si="1350"/>
        <v>-100</v>
      </c>
      <c r="AH233" s="38">
        <f t="shared" si="1406"/>
        <v>18.399999999999999</v>
      </c>
      <c r="AI233" s="124">
        <f t="shared" si="1406"/>
        <v>1.0980000000000001</v>
      </c>
      <c r="AJ233" s="124">
        <f t="shared" si="1406"/>
        <v>1.087</v>
      </c>
      <c r="AK233" s="41">
        <f t="shared" si="1351"/>
        <v>0</v>
      </c>
      <c r="AL233" s="41"/>
      <c r="AM233" s="34">
        <f t="shared" ref="AM233:AN233" si="1485">AM232</f>
        <v>2.0049999999999999</v>
      </c>
      <c r="AN233" s="33" t="str">
        <f t="shared" si="1485"/>
        <v>7,19,050</v>
      </c>
      <c r="AO233" s="11" t="str">
        <f t="shared" si="1353"/>
        <v>7,</v>
      </c>
      <c r="AP233" s="11" t="str">
        <f t="shared" si="1354"/>
        <v>19,050</v>
      </c>
      <c r="AQ233" s="11">
        <f t="shared" si="1355"/>
        <v>0.12195833333333334</v>
      </c>
      <c r="AR233" s="14">
        <f t="shared" si="1356"/>
        <v>16.44004099760847</v>
      </c>
      <c r="AS233" s="39">
        <f t="shared" si="1357"/>
        <v>-100</v>
      </c>
      <c r="AT233" s="40" t="str">
        <f t="shared" si="1358"/>
        <v>NO CONFORME</v>
      </c>
      <c r="AU233" s="8" t="b">
        <f t="shared" si="1280"/>
        <v>1</v>
      </c>
      <c r="AV233" s="8" t="b">
        <f t="shared" si="1281"/>
        <v>0</v>
      </c>
      <c r="AW233" s="8" t="b">
        <f t="shared" si="1282"/>
        <v>1</v>
      </c>
      <c r="AX233" s="8" t="str">
        <f t="shared" si="1283"/>
        <v>Qcorrecto</v>
      </c>
      <c r="AY233" s="22" t="str">
        <f t="shared" si="1263"/>
        <v>aceptable</v>
      </c>
      <c r="AZ233" s="22" t="str">
        <f t="shared" si="1264"/>
        <v>aceptable</v>
      </c>
      <c r="BA233" s="22" t="str">
        <f t="shared" si="1284"/>
        <v>aceptable</v>
      </c>
      <c r="BB233" s="25" t="str">
        <f t="shared" si="1285"/>
        <v>NO CONFORME</v>
      </c>
      <c r="BC233" s="5" t="str">
        <f t="shared" si="1286"/>
        <v>NO CONFORME</v>
      </c>
      <c r="BD233" s="15">
        <f t="shared" si="1265"/>
        <v>-1</v>
      </c>
      <c r="BE233" s="15">
        <f t="shared" si="1266"/>
        <v>-1</v>
      </c>
      <c r="BF233" s="15">
        <f t="shared" si="1267"/>
        <v>-1</v>
      </c>
      <c r="BG233" s="15" t="str">
        <f t="shared" si="1268"/>
        <v>-1-1-1</v>
      </c>
      <c r="BH233" s="15" t="str">
        <f t="shared" si="1269"/>
        <v>SD</v>
      </c>
      <c r="BI233" s="15" t="str">
        <f t="shared" si="1270"/>
        <v>SI</v>
      </c>
      <c r="BJ233" s="15" t="b">
        <f t="shared" si="1271"/>
        <v>1</v>
      </c>
      <c r="BK233" s="15" t="str">
        <f t="shared" si="1272"/>
        <v>SIGIGUALES</v>
      </c>
      <c r="BL233" s="22" t="str">
        <f t="shared" si="1273"/>
        <v>NO CONFORME</v>
      </c>
    </row>
    <row r="234" spans="1:64" ht="14.4" x14ac:dyDescent="0.3">
      <c r="A234" s="91">
        <v>226</v>
      </c>
      <c r="B234" s="28">
        <f t="shared" ref="B234:E234" si="1486">B233</f>
        <v>45920</v>
      </c>
      <c r="C234" s="28">
        <f t="shared" si="1486"/>
        <v>45920</v>
      </c>
      <c r="D234" s="12">
        <f t="shared" si="1486"/>
        <v>3</v>
      </c>
      <c r="E234" s="10">
        <f t="shared" si="1486"/>
        <v>8</v>
      </c>
      <c r="F234" s="13"/>
      <c r="G234" s="157"/>
      <c r="H234" s="70">
        <f t="shared" ref="H234:L234" si="1487">H233</f>
        <v>25.6</v>
      </c>
      <c r="I234" s="36">
        <f t="shared" si="1487"/>
        <v>0</v>
      </c>
      <c r="J234" s="35">
        <f t="shared" si="1487"/>
        <v>20.9</v>
      </c>
      <c r="K234" s="122">
        <f t="shared" si="1487"/>
        <v>8.4730000000000008</v>
      </c>
      <c r="L234" s="122">
        <f t="shared" si="1487"/>
        <v>0.52100000000000002</v>
      </c>
      <c r="M234" s="41"/>
      <c r="N234" s="41"/>
      <c r="O234" s="32">
        <f t="shared" ref="O234:P234" si="1488">O233</f>
        <v>100.48</v>
      </c>
      <c r="P234" s="168" t="str">
        <f t="shared" si="1488"/>
        <v>2,29,610</v>
      </c>
      <c r="Q234" s="11" t="str">
        <f t="shared" si="1339"/>
        <v>2</v>
      </c>
      <c r="R234" s="11" t="str">
        <f t="shared" si="1340"/>
        <v>29,610</v>
      </c>
      <c r="S234" s="11">
        <f t="shared" si="1341"/>
        <v>4.1558333333333336E-2</v>
      </c>
      <c r="T234" s="14">
        <f t="shared" si="1342"/>
        <v>2417.8062963705634</v>
      </c>
      <c r="U234" s="37">
        <f t="shared" si="1343"/>
        <v>-100</v>
      </c>
      <c r="V234" s="38">
        <f t="shared" ref="V234:W234" si="1489">V233</f>
        <v>21.3</v>
      </c>
      <c r="W234" s="124">
        <f t="shared" si="1489"/>
        <v>1.0960000000000001</v>
      </c>
      <c r="X234" s="124">
        <f t="shared" si="1398"/>
        <v>1.0880000000000001</v>
      </c>
      <c r="Y234" s="41"/>
      <c r="Z234" s="41"/>
      <c r="AA234" s="90">
        <f t="shared" ref="AA234:AB234" si="1490">AA233</f>
        <v>5.01</v>
      </c>
      <c r="AB234" s="73" t="str">
        <f t="shared" si="1490"/>
        <v>11,15,880</v>
      </c>
      <c r="AC234" s="11" t="str">
        <f t="shared" si="1346"/>
        <v>11</v>
      </c>
      <c r="AD234" s="11" t="str">
        <f t="shared" si="1347"/>
        <v>15,880</v>
      </c>
      <c r="AE234" s="11">
        <f t="shared" si="1348"/>
        <v>0.18774444444444444</v>
      </c>
      <c r="AF234" s="14">
        <f t="shared" si="1349"/>
        <v>26.685210392377346</v>
      </c>
      <c r="AG234" s="39">
        <f t="shared" si="1350"/>
        <v>-100</v>
      </c>
      <c r="AH234" s="38">
        <f t="shared" si="1406"/>
        <v>18.399999999999999</v>
      </c>
      <c r="AI234" s="124">
        <f t="shared" si="1406"/>
        <v>1.0980000000000001</v>
      </c>
      <c r="AJ234" s="124">
        <f t="shared" si="1406"/>
        <v>1.087</v>
      </c>
      <c r="AK234" s="41">
        <f t="shared" si="1351"/>
        <v>0</v>
      </c>
      <c r="AL234" s="41"/>
      <c r="AM234" s="34">
        <f t="shared" ref="AM234:AN234" si="1491">AM233</f>
        <v>2.0049999999999999</v>
      </c>
      <c r="AN234" s="33" t="str">
        <f t="shared" si="1491"/>
        <v>7,19,050</v>
      </c>
      <c r="AO234" s="11" t="str">
        <f t="shared" si="1353"/>
        <v>7,</v>
      </c>
      <c r="AP234" s="11" t="str">
        <f t="shared" si="1354"/>
        <v>19,050</v>
      </c>
      <c r="AQ234" s="11">
        <f t="shared" si="1355"/>
        <v>0.12195833333333334</v>
      </c>
      <c r="AR234" s="14">
        <f t="shared" si="1356"/>
        <v>16.44004099760847</v>
      </c>
      <c r="AS234" s="39">
        <f t="shared" si="1357"/>
        <v>-100</v>
      </c>
      <c r="AT234" s="40" t="str">
        <f t="shared" si="1358"/>
        <v>NO CONFORME</v>
      </c>
      <c r="AU234" s="8" t="b">
        <f t="shared" si="1280"/>
        <v>1</v>
      </c>
      <c r="AV234" s="8" t="b">
        <f t="shared" si="1281"/>
        <v>0</v>
      </c>
      <c r="AW234" s="8" t="b">
        <f t="shared" si="1282"/>
        <v>1</v>
      </c>
      <c r="AX234" s="8" t="str">
        <f t="shared" si="1283"/>
        <v>Qcorrecto</v>
      </c>
      <c r="AY234" s="22" t="str">
        <f t="shared" si="1263"/>
        <v>aceptable</v>
      </c>
      <c r="AZ234" s="22" t="str">
        <f t="shared" si="1264"/>
        <v>aceptable</v>
      </c>
      <c r="BA234" s="22" t="str">
        <f t="shared" si="1284"/>
        <v>aceptable</v>
      </c>
      <c r="BB234" s="25" t="str">
        <f t="shared" si="1285"/>
        <v>NO CONFORME</v>
      </c>
      <c r="BC234" s="5" t="str">
        <f t="shared" si="1286"/>
        <v>NO CONFORME</v>
      </c>
      <c r="BD234" s="15">
        <f t="shared" si="1265"/>
        <v>-1</v>
      </c>
      <c r="BE234" s="15">
        <f t="shared" si="1266"/>
        <v>-1</v>
      </c>
      <c r="BF234" s="15">
        <f t="shared" si="1267"/>
        <v>-1</v>
      </c>
      <c r="BG234" s="15" t="str">
        <f t="shared" si="1268"/>
        <v>-1-1-1</v>
      </c>
      <c r="BH234" s="15" t="str">
        <f t="shared" si="1269"/>
        <v>SD</v>
      </c>
      <c r="BI234" s="15" t="str">
        <f t="shared" si="1270"/>
        <v>SI</v>
      </c>
      <c r="BJ234" s="15" t="b">
        <f t="shared" si="1271"/>
        <v>1</v>
      </c>
      <c r="BK234" s="15" t="str">
        <f t="shared" si="1272"/>
        <v>SIGIGUALES</v>
      </c>
      <c r="BL234" s="22" t="str">
        <f t="shared" si="1273"/>
        <v>NO CONFORME</v>
      </c>
    </row>
    <row r="235" spans="1:64" ht="14.4" x14ac:dyDescent="0.3">
      <c r="A235" s="91">
        <v>227</v>
      </c>
      <c r="B235" s="28">
        <f t="shared" ref="B235:E235" si="1492">B234</f>
        <v>45920</v>
      </c>
      <c r="C235" s="28">
        <f t="shared" si="1492"/>
        <v>45920</v>
      </c>
      <c r="D235" s="12">
        <f t="shared" si="1492"/>
        <v>3</v>
      </c>
      <c r="E235" s="10">
        <f t="shared" si="1492"/>
        <v>8</v>
      </c>
      <c r="F235" s="13"/>
      <c r="G235" s="157"/>
      <c r="H235" s="70">
        <f t="shared" ref="H235:L235" si="1493">H234</f>
        <v>25.6</v>
      </c>
      <c r="I235" s="36">
        <f t="shared" si="1493"/>
        <v>0</v>
      </c>
      <c r="J235" s="35">
        <f t="shared" si="1493"/>
        <v>20.9</v>
      </c>
      <c r="K235" s="122">
        <f t="shared" si="1493"/>
        <v>8.4730000000000008</v>
      </c>
      <c r="L235" s="122">
        <f t="shared" si="1493"/>
        <v>0.52100000000000002</v>
      </c>
      <c r="M235" s="41"/>
      <c r="N235" s="41"/>
      <c r="O235" s="32">
        <f t="shared" ref="O235:P235" si="1494">O234</f>
        <v>100.48</v>
      </c>
      <c r="P235" s="168" t="str">
        <f t="shared" si="1494"/>
        <v>2,29,610</v>
      </c>
      <c r="Q235" s="11" t="str">
        <f t="shared" si="1339"/>
        <v>2</v>
      </c>
      <c r="R235" s="11" t="str">
        <f t="shared" si="1340"/>
        <v>29,610</v>
      </c>
      <c r="S235" s="11">
        <f t="shared" si="1341"/>
        <v>4.1558333333333336E-2</v>
      </c>
      <c r="T235" s="14">
        <f t="shared" si="1342"/>
        <v>2417.8062963705634</v>
      </c>
      <c r="U235" s="37">
        <f t="shared" si="1343"/>
        <v>-100</v>
      </c>
      <c r="V235" s="38">
        <f t="shared" ref="V235:X250" si="1495">V234</f>
        <v>21.3</v>
      </c>
      <c r="W235" s="124">
        <f t="shared" si="1495"/>
        <v>1.0960000000000001</v>
      </c>
      <c r="X235" s="124">
        <f t="shared" si="1495"/>
        <v>1.0880000000000001</v>
      </c>
      <c r="Y235" s="41"/>
      <c r="Z235" s="41"/>
      <c r="AA235" s="90">
        <f t="shared" ref="AA235:AB235" si="1496">AA234</f>
        <v>5.01</v>
      </c>
      <c r="AB235" s="73" t="str">
        <f t="shared" si="1496"/>
        <v>11,15,880</v>
      </c>
      <c r="AC235" s="11" t="str">
        <f t="shared" si="1346"/>
        <v>11</v>
      </c>
      <c r="AD235" s="11" t="str">
        <f t="shared" si="1347"/>
        <v>15,880</v>
      </c>
      <c r="AE235" s="11">
        <f t="shared" si="1348"/>
        <v>0.18774444444444444</v>
      </c>
      <c r="AF235" s="14">
        <f t="shared" si="1349"/>
        <v>26.685210392377346</v>
      </c>
      <c r="AG235" s="39">
        <f t="shared" si="1350"/>
        <v>-100</v>
      </c>
      <c r="AH235" s="38">
        <f t="shared" si="1406"/>
        <v>18.399999999999999</v>
      </c>
      <c r="AI235" s="124">
        <f t="shared" si="1406"/>
        <v>1.0980000000000001</v>
      </c>
      <c r="AJ235" s="124">
        <f t="shared" si="1406"/>
        <v>1.087</v>
      </c>
      <c r="AK235" s="41">
        <f t="shared" si="1351"/>
        <v>0</v>
      </c>
      <c r="AL235" s="41"/>
      <c r="AM235" s="34">
        <f t="shared" ref="AM235:AN235" si="1497">AM234</f>
        <v>2.0049999999999999</v>
      </c>
      <c r="AN235" s="33" t="str">
        <f t="shared" si="1497"/>
        <v>7,19,050</v>
      </c>
      <c r="AO235" s="11" t="str">
        <f t="shared" si="1353"/>
        <v>7,</v>
      </c>
      <c r="AP235" s="11" t="str">
        <f t="shared" si="1354"/>
        <v>19,050</v>
      </c>
      <c r="AQ235" s="11">
        <f t="shared" si="1355"/>
        <v>0.12195833333333334</v>
      </c>
      <c r="AR235" s="14">
        <f t="shared" si="1356"/>
        <v>16.44004099760847</v>
      </c>
      <c r="AS235" s="39">
        <f t="shared" si="1357"/>
        <v>-100</v>
      </c>
      <c r="AT235" s="40" t="str">
        <f t="shared" si="1358"/>
        <v>NO CONFORME</v>
      </c>
      <c r="AU235" s="8" t="b">
        <f t="shared" si="1280"/>
        <v>1</v>
      </c>
      <c r="AV235" s="8" t="b">
        <f t="shared" si="1281"/>
        <v>0</v>
      </c>
      <c r="AW235" s="8" t="b">
        <f t="shared" si="1282"/>
        <v>1</v>
      </c>
      <c r="AX235" s="8" t="str">
        <f t="shared" si="1283"/>
        <v>Qcorrecto</v>
      </c>
      <c r="AY235" s="22" t="str">
        <f t="shared" si="1263"/>
        <v>aceptable</v>
      </c>
      <c r="AZ235" s="22" t="str">
        <f t="shared" si="1264"/>
        <v>aceptable</v>
      </c>
      <c r="BA235" s="22" t="str">
        <f t="shared" si="1284"/>
        <v>aceptable</v>
      </c>
      <c r="BB235" s="25" t="str">
        <f t="shared" si="1285"/>
        <v>NO CONFORME</v>
      </c>
      <c r="BC235" s="5" t="str">
        <f t="shared" si="1286"/>
        <v>NO CONFORME</v>
      </c>
      <c r="BD235" s="15">
        <f t="shared" si="1265"/>
        <v>-1</v>
      </c>
      <c r="BE235" s="15">
        <f t="shared" si="1266"/>
        <v>-1</v>
      </c>
      <c r="BF235" s="15">
        <f t="shared" si="1267"/>
        <v>-1</v>
      </c>
      <c r="BG235" s="15" t="str">
        <f t="shared" si="1268"/>
        <v>-1-1-1</v>
      </c>
      <c r="BH235" s="15" t="str">
        <f t="shared" si="1269"/>
        <v>SD</v>
      </c>
      <c r="BI235" s="15" t="str">
        <f t="shared" si="1270"/>
        <v>SI</v>
      </c>
      <c r="BJ235" s="15" t="b">
        <f t="shared" si="1271"/>
        <v>1</v>
      </c>
      <c r="BK235" s="15" t="str">
        <f t="shared" si="1272"/>
        <v>SIGIGUALES</v>
      </c>
      <c r="BL235" s="22" t="str">
        <f t="shared" si="1273"/>
        <v>NO CONFORME</v>
      </c>
    </row>
    <row r="236" spans="1:64" ht="14.4" x14ac:dyDescent="0.3">
      <c r="A236" s="91">
        <v>228</v>
      </c>
      <c r="B236" s="28">
        <f t="shared" ref="B236:E236" si="1498">B235</f>
        <v>45920</v>
      </c>
      <c r="C236" s="28">
        <f t="shared" si="1498"/>
        <v>45920</v>
      </c>
      <c r="D236" s="12">
        <f t="shared" si="1498"/>
        <v>3</v>
      </c>
      <c r="E236" s="10">
        <f t="shared" si="1498"/>
        <v>8</v>
      </c>
      <c r="F236" s="13"/>
      <c r="G236" s="157"/>
      <c r="H236" s="70">
        <f t="shared" ref="H236:L236" si="1499">H235</f>
        <v>25.6</v>
      </c>
      <c r="I236" s="36">
        <f t="shared" si="1499"/>
        <v>0</v>
      </c>
      <c r="J236" s="35">
        <f t="shared" si="1499"/>
        <v>20.9</v>
      </c>
      <c r="K236" s="122">
        <f t="shared" si="1499"/>
        <v>8.4730000000000008</v>
      </c>
      <c r="L236" s="122">
        <f t="shared" si="1499"/>
        <v>0.52100000000000002</v>
      </c>
      <c r="M236" s="41"/>
      <c r="N236" s="41"/>
      <c r="O236" s="32">
        <f t="shared" ref="O236:P236" si="1500">O235</f>
        <v>100.48</v>
      </c>
      <c r="P236" s="168" t="str">
        <f t="shared" si="1500"/>
        <v>2,29,610</v>
      </c>
      <c r="Q236" s="11" t="str">
        <f t="shared" si="1339"/>
        <v>2</v>
      </c>
      <c r="R236" s="11" t="str">
        <f t="shared" si="1340"/>
        <v>29,610</v>
      </c>
      <c r="S236" s="11">
        <f t="shared" si="1341"/>
        <v>4.1558333333333336E-2</v>
      </c>
      <c r="T236" s="14">
        <f t="shared" si="1342"/>
        <v>2417.8062963705634</v>
      </c>
      <c r="U236" s="37">
        <f t="shared" si="1343"/>
        <v>-100</v>
      </c>
      <c r="V236" s="38">
        <f t="shared" ref="V236:W236" si="1501">V235</f>
        <v>21.3</v>
      </c>
      <c r="W236" s="124">
        <f t="shared" si="1501"/>
        <v>1.0960000000000001</v>
      </c>
      <c r="X236" s="124">
        <f t="shared" si="1495"/>
        <v>1.0880000000000001</v>
      </c>
      <c r="Y236" s="41"/>
      <c r="Z236" s="41"/>
      <c r="AA236" s="90">
        <f t="shared" ref="AA236:AB236" si="1502">AA235</f>
        <v>5.01</v>
      </c>
      <c r="AB236" s="73" t="str">
        <f t="shared" si="1502"/>
        <v>11,15,880</v>
      </c>
      <c r="AC236" s="11" t="str">
        <f t="shared" si="1346"/>
        <v>11</v>
      </c>
      <c r="AD236" s="11" t="str">
        <f t="shared" si="1347"/>
        <v>15,880</v>
      </c>
      <c r="AE236" s="11">
        <f t="shared" si="1348"/>
        <v>0.18774444444444444</v>
      </c>
      <c r="AF236" s="14">
        <f t="shared" si="1349"/>
        <v>26.685210392377346</v>
      </c>
      <c r="AG236" s="39">
        <f t="shared" si="1350"/>
        <v>-100</v>
      </c>
      <c r="AH236" s="38">
        <f t="shared" ref="AH236:AJ251" si="1503">AH235</f>
        <v>18.399999999999999</v>
      </c>
      <c r="AI236" s="124">
        <f t="shared" si="1503"/>
        <v>1.0980000000000001</v>
      </c>
      <c r="AJ236" s="124">
        <f t="shared" si="1503"/>
        <v>1.087</v>
      </c>
      <c r="AK236" s="41">
        <f t="shared" si="1351"/>
        <v>0</v>
      </c>
      <c r="AL236" s="41"/>
      <c r="AM236" s="34">
        <f t="shared" ref="AM236:AN236" si="1504">AM235</f>
        <v>2.0049999999999999</v>
      </c>
      <c r="AN236" s="33" t="str">
        <f t="shared" si="1504"/>
        <v>7,19,050</v>
      </c>
      <c r="AO236" s="11" t="str">
        <f t="shared" si="1353"/>
        <v>7,</v>
      </c>
      <c r="AP236" s="11" t="str">
        <f t="shared" si="1354"/>
        <v>19,050</v>
      </c>
      <c r="AQ236" s="11">
        <f t="shared" si="1355"/>
        <v>0.12195833333333334</v>
      </c>
      <c r="AR236" s="14">
        <f t="shared" si="1356"/>
        <v>16.44004099760847</v>
      </c>
      <c r="AS236" s="39">
        <f t="shared" si="1357"/>
        <v>-100</v>
      </c>
      <c r="AT236" s="40" t="str">
        <f t="shared" si="1358"/>
        <v>NO CONFORME</v>
      </c>
      <c r="AU236" s="8" t="b">
        <f t="shared" si="1280"/>
        <v>1</v>
      </c>
      <c r="AV236" s="8" t="b">
        <f t="shared" si="1281"/>
        <v>0</v>
      </c>
      <c r="AW236" s="8" t="b">
        <f t="shared" si="1282"/>
        <v>1</v>
      </c>
      <c r="AX236" s="8" t="str">
        <f t="shared" si="1283"/>
        <v>Qcorrecto</v>
      </c>
      <c r="AY236" s="22" t="str">
        <f t="shared" si="1263"/>
        <v>aceptable</v>
      </c>
      <c r="AZ236" s="22" t="str">
        <f t="shared" si="1264"/>
        <v>aceptable</v>
      </c>
      <c r="BA236" s="22" t="str">
        <f t="shared" si="1284"/>
        <v>aceptable</v>
      </c>
      <c r="BB236" s="25" t="str">
        <f t="shared" si="1285"/>
        <v>NO CONFORME</v>
      </c>
      <c r="BC236" s="5" t="str">
        <f t="shared" si="1286"/>
        <v>NO CONFORME</v>
      </c>
      <c r="BD236" s="15">
        <f t="shared" si="1265"/>
        <v>-1</v>
      </c>
      <c r="BE236" s="15">
        <f t="shared" si="1266"/>
        <v>-1</v>
      </c>
      <c r="BF236" s="15">
        <f t="shared" si="1267"/>
        <v>-1</v>
      </c>
      <c r="BG236" s="15" t="str">
        <f t="shared" si="1268"/>
        <v>-1-1-1</v>
      </c>
      <c r="BH236" s="15" t="str">
        <f t="shared" si="1269"/>
        <v>SD</v>
      </c>
      <c r="BI236" s="15" t="str">
        <f t="shared" si="1270"/>
        <v>SI</v>
      </c>
      <c r="BJ236" s="15" t="b">
        <f t="shared" si="1271"/>
        <v>1</v>
      </c>
      <c r="BK236" s="15" t="str">
        <f t="shared" si="1272"/>
        <v>SIGIGUALES</v>
      </c>
      <c r="BL236" s="22" t="str">
        <f t="shared" si="1273"/>
        <v>NO CONFORME</v>
      </c>
    </row>
    <row r="237" spans="1:64" ht="14.4" x14ac:dyDescent="0.3">
      <c r="A237" s="91">
        <v>229</v>
      </c>
      <c r="B237" s="28">
        <f t="shared" ref="B237:E237" si="1505">B236</f>
        <v>45920</v>
      </c>
      <c r="C237" s="28">
        <f t="shared" si="1505"/>
        <v>45920</v>
      </c>
      <c r="D237" s="12">
        <f t="shared" si="1505"/>
        <v>3</v>
      </c>
      <c r="E237" s="10">
        <f t="shared" si="1505"/>
        <v>8</v>
      </c>
      <c r="F237" s="13"/>
      <c r="G237" s="157"/>
      <c r="H237" s="70">
        <f t="shared" ref="H237:L237" si="1506">H236</f>
        <v>25.6</v>
      </c>
      <c r="I237" s="36">
        <f t="shared" si="1506"/>
        <v>0</v>
      </c>
      <c r="J237" s="35">
        <f t="shared" si="1506"/>
        <v>20.9</v>
      </c>
      <c r="K237" s="122">
        <f t="shared" si="1506"/>
        <v>8.4730000000000008</v>
      </c>
      <c r="L237" s="122">
        <f t="shared" si="1506"/>
        <v>0.52100000000000002</v>
      </c>
      <c r="M237" s="41"/>
      <c r="N237" s="41"/>
      <c r="O237" s="32">
        <f t="shared" ref="O237:P237" si="1507">O236</f>
        <v>100.48</v>
      </c>
      <c r="P237" s="168" t="str">
        <f t="shared" si="1507"/>
        <v>2,29,610</v>
      </c>
      <c r="Q237" s="11" t="str">
        <f t="shared" si="1339"/>
        <v>2</v>
      </c>
      <c r="R237" s="11" t="str">
        <f t="shared" si="1340"/>
        <v>29,610</v>
      </c>
      <c r="S237" s="11">
        <f t="shared" si="1341"/>
        <v>4.1558333333333336E-2</v>
      </c>
      <c r="T237" s="14">
        <f t="shared" si="1342"/>
        <v>2417.8062963705634</v>
      </c>
      <c r="U237" s="37">
        <f t="shared" si="1343"/>
        <v>-100</v>
      </c>
      <c r="V237" s="38">
        <f t="shared" ref="V237:W237" si="1508">V236</f>
        <v>21.3</v>
      </c>
      <c r="W237" s="124">
        <f t="shared" si="1508"/>
        <v>1.0960000000000001</v>
      </c>
      <c r="X237" s="124">
        <f t="shared" si="1495"/>
        <v>1.0880000000000001</v>
      </c>
      <c r="Y237" s="41"/>
      <c r="Z237" s="41"/>
      <c r="AA237" s="90">
        <f t="shared" ref="AA237:AB237" si="1509">AA236</f>
        <v>5.01</v>
      </c>
      <c r="AB237" s="73" t="str">
        <f t="shared" si="1509"/>
        <v>11,15,880</v>
      </c>
      <c r="AC237" s="11" t="str">
        <f t="shared" si="1346"/>
        <v>11</v>
      </c>
      <c r="AD237" s="11" t="str">
        <f t="shared" si="1347"/>
        <v>15,880</v>
      </c>
      <c r="AE237" s="11">
        <f t="shared" si="1348"/>
        <v>0.18774444444444444</v>
      </c>
      <c r="AF237" s="14">
        <f t="shared" si="1349"/>
        <v>26.685210392377346</v>
      </c>
      <c r="AG237" s="39">
        <f t="shared" si="1350"/>
        <v>-100</v>
      </c>
      <c r="AH237" s="38">
        <f t="shared" si="1503"/>
        <v>18.399999999999999</v>
      </c>
      <c r="AI237" s="124">
        <f t="shared" si="1503"/>
        <v>1.0980000000000001</v>
      </c>
      <c r="AJ237" s="124">
        <f t="shared" si="1503"/>
        <v>1.087</v>
      </c>
      <c r="AK237" s="41">
        <f t="shared" si="1351"/>
        <v>0</v>
      </c>
      <c r="AL237" s="41"/>
      <c r="AM237" s="34">
        <f t="shared" ref="AM237:AN237" si="1510">AM236</f>
        <v>2.0049999999999999</v>
      </c>
      <c r="AN237" s="33" t="str">
        <f t="shared" si="1510"/>
        <v>7,19,050</v>
      </c>
      <c r="AO237" s="11" t="str">
        <f t="shared" si="1353"/>
        <v>7,</v>
      </c>
      <c r="AP237" s="11" t="str">
        <f t="shared" si="1354"/>
        <v>19,050</v>
      </c>
      <c r="AQ237" s="11">
        <f t="shared" si="1355"/>
        <v>0.12195833333333334</v>
      </c>
      <c r="AR237" s="14">
        <f t="shared" si="1356"/>
        <v>16.44004099760847</v>
      </c>
      <c r="AS237" s="39">
        <f t="shared" si="1357"/>
        <v>-100</v>
      </c>
      <c r="AT237" s="40" t="str">
        <f t="shared" si="1358"/>
        <v>NO CONFORME</v>
      </c>
      <c r="AU237" s="8" t="b">
        <f t="shared" si="1280"/>
        <v>1</v>
      </c>
      <c r="AV237" s="8" t="b">
        <f t="shared" si="1281"/>
        <v>0</v>
      </c>
      <c r="AW237" s="8" t="b">
        <f t="shared" si="1282"/>
        <v>1</v>
      </c>
      <c r="AX237" s="8" t="str">
        <f t="shared" si="1283"/>
        <v>Qcorrecto</v>
      </c>
      <c r="AY237" s="22" t="str">
        <f t="shared" si="1263"/>
        <v>aceptable</v>
      </c>
      <c r="AZ237" s="22" t="str">
        <f t="shared" si="1264"/>
        <v>aceptable</v>
      </c>
      <c r="BA237" s="22" t="str">
        <f t="shared" si="1284"/>
        <v>aceptable</v>
      </c>
      <c r="BB237" s="25" t="str">
        <f t="shared" si="1285"/>
        <v>NO CONFORME</v>
      </c>
      <c r="BC237" s="5" t="str">
        <f t="shared" si="1286"/>
        <v>NO CONFORME</v>
      </c>
      <c r="BD237" s="15">
        <f t="shared" si="1265"/>
        <v>-1</v>
      </c>
      <c r="BE237" s="15">
        <f t="shared" si="1266"/>
        <v>-1</v>
      </c>
      <c r="BF237" s="15">
        <f t="shared" si="1267"/>
        <v>-1</v>
      </c>
      <c r="BG237" s="15" t="str">
        <f t="shared" si="1268"/>
        <v>-1-1-1</v>
      </c>
      <c r="BH237" s="15" t="str">
        <f t="shared" si="1269"/>
        <v>SD</v>
      </c>
      <c r="BI237" s="15" t="str">
        <f t="shared" si="1270"/>
        <v>SI</v>
      </c>
      <c r="BJ237" s="15" t="b">
        <f t="shared" si="1271"/>
        <v>1</v>
      </c>
      <c r="BK237" s="15" t="str">
        <f t="shared" si="1272"/>
        <v>SIGIGUALES</v>
      </c>
      <c r="BL237" s="22" t="str">
        <f t="shared" si="1273"/>
        <v>NO CONFORME</v>
      </c>
    </row>
    <row r="238" spans="1:64" ht="14.4" x14ac:dyDescent="0.3">
      <c r="A238" s="91">
        <v>230</v>
      </c>
      <c r="B238" s="28">
        <f t="shared" ref="B238:E238" si="1511">B237</f>
        <v>45920</v>
      </c>
      <c r="C238" s="28">
        <f t="shared" si="1511"/>
        <v>45920</v>
      </c>
      <c r="D238" s="12">
        <f t="shared" si="1511"/>
        <v>3</v>
      </c>
      <c r="E238" s="10">
        <f t="shared" si="1511"/>
        <v>8</v>
      </c>
      <c r="F238" s="13"/>
      <c r="G238" s="157"/>
      <c r="H238" s="70">
        <f t="shared" ref="H238:L238" si="1512">H237</f>
        <v>25.6</v>
      </c>
      <c r="I238" s="36">
        <f t="shared" si="1512"/>
        <v>0</v>
      </c>
      <c r="J238" s="35">
        <f t="shared" si="1512"/>
        <v>20.9</v>
      </c>
      <c r="K238" s="122">
        <f t="shared" si="1512"/>
        <v>8.4730000000000008</v>
      </c>
      <c r="L238" s="122">
        <f t="shared" si="1512"/>
        <v>0.52100000000000002</v>
      </c>
      <c r="M238" s="41"/>
      <c r="N238" s="41"/>
      <c r="O238" s="32">
        <f t="shared" ref="O238:P238" si="1513">O237</f>
        <v>100.48</v>
      </c>
      <c r="P238" s="168" t="str">
        <f t="shared" si="1513"/>
        <v>2,29,610</v>
      </c>
      <c r="Q238" s="11" t="str">
        <f t="shared" si="1339"/>
        <v>2</v>
      </c>
      <c r="R238" s="11" t="str">
        <f t="shared" si="1340"/>
        <v>29,610</v>
      </c>
      <c r="S238" s="11">
        <f t="shared" si="1341"/>
        <v>4.1558333333333336E-2</v>
      </c>
      <c r="T238" s="14">
        <f t="shared" si="1342"/>
        <v>2417.8062963705634</v>
      </c>
      <c r="U238" s="37">
        <f t="shared" si="1343"/>
        <v>-100</v>
      </c>
      <c r="V238" s="38">
        <f t="shared" ref="V238:W238" si="1514">V237</f>
        <v>21.3</v>
      </c>
      <c r="W238" s="124">
        <f t="shared" si="1514"/>
        <v>1.0960000000000001</v>
      </c>
      <c r="X238" s="124">
        <f t="shared" si="1495"/>
        <v>1.0880000000000001</v>
      </c>
      <c r="Y238" s="41"/>
      <c r="Z238" s="41"/>
      <c r="AA238" s="90">
        <f t="shared" ref="AA238:AB238" si="1515">AA237</f>
        <v>5.01</v>
      </c>
      <c r="AB238" s="73" t="str">
        <f t="shared" si="1515"/>
        <v>11,15,880</v>
      </c>
      <c r="AC238" s="11" t="str">
        <f t="shared" si="1346"/>
        <v>11</v>
      </c>
      <c r="AD238" s="11" t="str">
        <f t="shared" si="1347"/>
        <v>15,880</v>
      </c>
      <c r="AE238" s="11">
        <f t="shared" si="1348"/>
        <v>0.18774444444444444</v>
      </c>
      <c r="AF238" s="14">
        <f t="shared" si="1349"/>
        <v>26.685210392377346</v>
      </c>
      <c r="AG238" s="39">
        <f t="shared" si="1350"/>
        <v>-100</v>
      </c>
      <c r="AH238" s="38">
        <f t="shared" si="1503"/>
        <v>18.399999999999999</v>
      </c>
      <c r="AI238" s="124">
        <f t="shared" si="1503"/>
        <v>1.0980000000000001</v>
      </c>
      <c r="AJ238" s="124">
        <f t="shared" si="1503"/>
        <v>1.087</v>
      </c>
      <c r="AK238" s="41">
        <f t="shared" si="1351"/>
        <v>0</v>
      </c>
      <c r="AL238" s="41"/>
      <c r="AM238" s="34">
        <f t="shared" ref="AM238:AN238" si="1516">AM237</f>
        <v>2.0049999999999999</v>
      </c>
      <c r="AN238" s="33" t="str">
        <f t="shared" si="1516"/>
        <v>7,19,050</v>
      </c>
      <c r="AO238" s="11" t="str">
        <f t="shared" si="1353"/>
        <v>7,</v>
      </c>
      <c r="AP238" s="11" t="str">
        <f t="shared" si="1354"/>
        <v>19,050</v>
      </c>
      <c r="AQ238" s="11">
        <f t="shared" si="1355"/>
        <v>0.12195833333333334</v>
      </c>
      <c r="AR238" s="14">
        <f t="shared" si="1356"/>
        <v>16.44004099760847</v>
      </c>
      <c r="AS238" s="39">
        <f t="shared" si="1357"/>
        <v>-100</v>
      </c>
      <c r="AT238" s="40" t="str">
        <f t="shared" si="1358"/>
        <v>NO CONFORME</v>
      </c>
      <c r="AU238" s="8" t="b">
        <f t="shared" si="1280"/>
        <v>1</v>
      </c>
      <c r="AV238" s="8" t="b">
        <f t="shared" si="1281"/>
        <v>0</v>
      </c>
      <c r="AW238" s="8" t="b">
        <f t="shared" si="1282"/>
        <v>1</v>
      </c>
      <c r="AX238" s="8" t="str">
        <f t="shared" si="1283"/>
        <v>Qcorrecto</v>
      </c>
      <c r="AY238" s="22" t="str">
        <f t="shared" si="1263"/>
        <v>aceptable</v>
      </c>
      <c r="AZ238" s="22" t="str">
        <f t="shared" si="1264"/>
        <v>aceptable</v>
      </c>
      <c r="BA238" s="22" t="str">
        <f t="shared" si="1284"/>
        <v>aceptable</v>
      </c>
      <c r="BB238" s="25" t="str">
        <f t="shared" si="1285"/>
        <v>NO CONFORME</v>
      </c>
      <c r="BC238" s="5" t="str">
        <f t="shared" si="1286"/>
        <v>NO CONFORME</v>
      </c>
      <c r="BD238" s="15">
        <f t="shared" si="1265"/>
        <v>-1</v>
      </c>
      <c r="BE238" s="15">
        <f t="shared" si="1266"/>
        <v>-1</v>
      </c>
      <c r="BF238" s="15">
        <f t="shared" si="1267"/>
        <v>-1</v>
      </c>
      <c r="BG238" s="15" t="str">
        <f t="shared" si="1268"/>
        <v>-1-1-1</v>
      </c>
      <c r="BH238" s="15" t="str">
        <f t="shared" si="1269"/>
        <v>SD</v>
      </c>
      <c r="BI238" s="15" t="str">
        <f t="shared" si="1270"/>
        <v>SI</v>
      </c>
      <c r="BJ238" s="15" t="b">
        <f t="shared" si="1271"/>
        <v>1</v>
      </c>
      <c r="BK238" s="15" t="str">
        <f t="shared" si="1272"/>
        <v>SIGIGUALES</v>
      </c>
      <c r="BL238" s="22" t="str">
        <f t="shared" si="1273"/>
        <v>NO CONFORME</v>
      </c>
    </row>
    <row r="239" spans="1:64" ht="14.4" x14ac:dyDescent="0.3">
      <c r="A239" s="91">
        <v>231</v>
      </c>
      <c r="B239" s="28">
        <f t="shared" ref="B239:E239" si="1517">B238</f>
        <v>45920</v>
      </c>
      <c r="C239" s="28">
        <f t="shared" si="1517"/>
        <v>45920</v>
      </c>
      <c r="D239" s="12">
        <f t="shared" si="1517"/>
        <v>3</v>
      </c>
      <c r="E239" s="10">
        <f t="shared" si="1517"/>
        <v>8</v>
      </c>
      <c r="F239" s="13"/>
      <c r="G239" s="157"/>
      <c r="H239" s="70">
        <f t="shared" ref="H239:L239" si="1518">H238</f>
        <v>25.6</v>
      </c>
      <c r="I239" s="36">
        <f t="shared" si="1518"/>
        <v>0</v>
      </c>
      <c r="J239" s="35">
        <f t="shared" si="1518"/>
        <v>20.9</v>
      </c>
      <c r="K239" s="122">
        <f t="shared" si="1518"/>
        <v>8.4730000000000008</v>
      </c>
      <c r="L239" s="122">
        <f t="shared" si="1518"/>
        <v>0.52100000000000002</v>
      </c>
      <c r="M239" s="41"/>
      <c r="N239" s="41"/>
      <c r="O239" s="32">
        <f t="shared" ref="O239:P239" si="1519">O238</f>
        <v>100.48</v>
      </c>
      <c r="P239" s="168" t="str">
        <f t="shared" si="1519"/>
        <v>2,29,610</v>
      </c>
      <c r="Q239" s="11" t="str">
        <f t="shared" si="1339"/>
        <v>2</v>
      </c>
      <c r="R239" s="11" t="str">
        <f t="shared" si="1340"/>
        <v>29,610</v>
      </c>
      <c r="S239" s="11">
        <f t="shared" si="1341"/>
        <v>4.1558333333333336E-2</v>
      </c>
      <c r="T239" s="14">
        <f t="shared" si="1342"/>
        <v>2417.8062963705634</v>
      </c>
      <c r="U239" s="37">
        <f t="shared" si="1343"/>
        <v>-100</v>
      </c>
      <c r="V239" s="38">
        <f t="shared" ref="V239:W239" si="1520">V238</f>
        <v>21.3</v>
      </c>
      <c r="W239" s="124">
        <f t="shared" si="1520"/>
        <v>1.0960000000000001</v>
      </c>
      <c r="X239" s="124">
        <f t="shared" si="1495"/>
        <v>1.0880000000000001</v>
      </c>
      <c r="Y239" s="41"/>
      <c r="Z239" s="41"/>
      <c r="AA239" s="90">
        <f t="shared" ref="AA239:AB239" si="1521">AA238</f>
        <v>5.01</v>
      </c>
      <c r="AB239" s="73" t="str">
        <f t="shared" si="1521"/>
        <v>11,15,880</v>
      </c>
      <c r="AC239" s="11" t="str">
        <f t="shared" si="1346"/>
        <v>11</v>
      </c>
      <c r="AD239" s="11" t="str">
        <f t="shared" si="1347"/>
        <v>15,880</v>
      </c>
      <c r="AE239" s="11">
        <f t="shared" si="1348"/>
        <v>0.18774444444444444</v>
      </c>
      <c r="AF239" s="14">
        <f t="shared" si="1349"/>
        <v>26.685210392377346</v>
      </c>
      <c r="AG239" s="39">
        <f t="shared" si="1350"/>
        <v>-100</v>
      </c>
      <c r="AH239" s="38">
        <f t="shared" si="1503"/>
        <v>18.399999999999999</v>
      </c>
      <c r="AI239" s="124">
        <f t="shared" si="1503"/>
        <v>1.0980000000000001</v>
      </c>
      <c r="AJ239" s="124">
        <f t="shared" si="1503"/>
        <v>1.087</v>
      </c>
      <c r="AK239" s="41">
        <f t="shared" si="1351"/>
        <v>0</v>
      </c>
      <c r="AL239" s="41"/>
      <c r="AM239" s="34">
        <f t="shared" ref="AM239:AN239" si="1522">AM238</f>
        <v>2.0049999999999999</v>
      </c>
      <c r="AN239" s="33" t="str">
        <f t="shared" si="1522"/>
        <v>7,19,050</v>
      </c>
      <c r="AO239" s="11" t="str">
        <f t="shared" si="1353"/>
        <v>7,</v>
      </c>
      <c r="AP239" s="11" t="str">
        <f t="shared" si="1354"/>
        <v>19,050</v>
      </c>
      <c r="AQ239" s="11">
        <f t="shared" si="1355"/>
        <v>0.12195833333333334</v>
      </c>
      <c r="AR239" s="14">
        <f t="shared" si="1356"/>
        <v>16.44004099760847</v>
      </c>
      <c r="AS239" s="39">
        <f t="shared" si="1357"/>
        <v>-100</v>
      </c>
      <c r="AT239" s="40" t="str">
        <f t="shared" si="1358"/>
        <v>NO CONFORME</v>
      </c>
      <c r="AU239" s="8" t="b">
        <f t="shared" si="1280"/>
        <v>1</v>
      </c>
      <c r="AV239" s="8" t="b">
        <f t="shared" si="1281"/>
        <v>0</v>
      </c>
      <c r="AW239" s="8" t="b">
        <f t="shared" si="1282"/>
        <v>1</v>
      </c>
      <c r="AX239" s="8" t="str">
        <f t="shared" si="1283"/>
        <v>Qcorrecto</v>
      </c>
      <c r="AY239" s="22" t="str">
        <f t="shared" si="1263"/>
        <v>aceptable</v>
      </c>
      <c r="AZ239" s="22" t="str">
        <f t="shared" si="1264"/>
        <v>aceptable</v>
      </c>
      <c r="BA239" s="22" t="str">
        <f t="shared" si="1284"/>
        <v>aceptable</v>
      </c>
      <c r="BB239" s="25" t="str">
        <f t="shared" si="1285"/>
        <v>NO CONFORME</v>
      </c>
      <c r="BC239" s="5" t="str">
        <f t="shared" si="1286"/>
        <v>NO CONFORME</v>
      </c>
      <c r="BD239" s="15">
        <f t="shared" si="1265"/>
        <v>-1</v>
      </c>
      <c r="BE239" s="15">
        <f t="shared" si="1266"/>
        <v>-1</v>
      </c>
      <c r="BF239" s="15">
        <f t="shared" si="1267"/>
        <v>-1</v>
      </c>
      <c r="BG239" s="15" t="str">
        <f t="shared" si="1268"/>
        <v>-1-1-1</v>
      </c>
      <c r="BH239" s="15" t="str">
        <f t="shared" si="1269"/>
        <v>SD</v>
      </c>
      <c r="BI239" s="15" t="str">
        <f t="shared" si="1270"/>
        <v>SI</v>
      </c>
      <c r="BJ239" s="15" t="b">
        <f t="shared" si="1271"/>
        <v>1</v>
      </c>
      <c r="BK239" s="15" t="str">
        <f t="shared" si="1272"/>
        <v>SIGIGUALES</v>
      </c>
      <c r="BL239" s="22" t="str">
        <f t="shared" si="1273"/>
        <v>NO CONFORME</v>
      </c>
    </row>
    <row r="240" spans="1:64" ht="14.4" x14ac:dyDescent="0.3">
      <c r="A240" s="91">
        <v>232</v>
      </c>
      <c r="B240" s="28">
        <f t="shared" ref="B240:E240" si="1523">B239</f>
        <v>45920</v>
      </c>
      <c r="C240" s="28">
        <f t="shared" si="1523"/>
        <v>45920</v>
      </c>
      <c r="D240" s="12">
        <f t="shared" si="1523"/>
        <v>3</v>
      </c>
      <c r="E240" s="10">
        <f t="shared" si="1523"/>
        <v>8</v>
      </c>
      <c r="F240" s="13"/>
      <c r="G240" s="157"/>
      <c r="H240" s="70">
        <f t="shared" ref="H240:L240" si="1524">H239</f>
        <v>25.6</v>
      </c>
      <c r="I240" s="36">
        <f t="shared" si="1524"/>
        <v>0</v>
      </c>
      <c r="J240" s="35">
        <f t="shared" si="1524"/>
        <v>20.9</v>
      </c>
      <c r="K240" s="122">
        <f t="shared" si="1524"/>
        <v>8.4730000000000008</v>
      </c>
      <c r="L240" s="122">
        <f t="shared" si="1524"/>
        <v>0.52100000000000002</v>
      </c>
      <c r="M240" s="41"/>
      <c r="N240" s="41"/>
      <c r="O240" s="32">
        <f t="shared" ref="O240:P240" si="1525">O239</f>
        <v>100.48</v>
      </c>
      <c r="P240" s="168" t="str">
        <f t="shared" si="1525"/>
        <v>2,29,610</v>
      </c>
      <c r="Q240" s="11" t="str">
        <f t="shared" si="1339"/>
        <v>2</v>
      </c>
      <c r="R240" s="11" t="str">
        <f t="shared" si="1340"/>
        <v>29,610</v>
      </c>
      <c r="S240" s="11">
        <f t="shared" si="1341"/>
        <v>4.1558333333333336E-2</v>
      </c>
      <c r="T240" s="14">
        <f t="shared" si="1342"/>
        <v>2417.8062963705634</v>
      </c>
      <c r="U240" s="37">
        <f t="shared" si="1343"/>
        <v>-100</v>
      </c>
      <c r="V240" s="38">
        <f t="shared" ref="V240:W240" si="1526">V239</f>
        <v>21.3</v>
      </c>
      <c r="W240" s="124">
        <f t="shared" si="1526"/>
        <v>1.0960000000000001</v>
      </c>
      <c r="X240" s="124">
        <f t="shared" si="1495"/>
        <v>1.0880000000000001</v>
      </c>
      <c r="Y240" s="41"/>
      <c r="Z240" s="41"/>
      <c r="AA240" s="90">
        <f t="shared" ref="AA240:AB240" si="1527">AA239</f>
        <v>5.01</v>
      </c>
      <c r="AB240" s="73" t="str">
        <f t="shared" si="1527"/>
        <v>11,15,880</v>
      </c>
      <c r="AC240" s="11" t="str">
        <f t="shared" si="1346"/>
        <v>11</v>
      </c>
      <c r="AD240" s="11" t="str">
        <f t="shared" si="1347"/>
        <v>15,880</v>
      </c>
      <c r="AE240" s="11">
        <f t="shared" si="1348"/>
        <v>0.18774444444444444</v>
      </c>
      <c r="AF240" s="14">
        <f t="shared" si="1349"/>
        <v>26.685210392377346</v>
      </c>
      <c r="AG240" s="39">
        <f t="shared" si="1350"/>
        <v>-100</v>
      </c>
      <c r="AH240" s="38">
        <f t="shared" si="1503"/>
        <v>18.399999999999999</v>
      </c>
      <c r="AI240" s="124">
        <f t="shared" si="1503"/>
        <v>1.0980000000000001</v>
      </c>
      <c r="AJ240" s="124">
        <f t="shared" si="1503"/>
        <v>1.087</v>
      </c>
      <c r="AK240" s="41">
        <f t="shared" si="1351"/>
        <v>0</v>
      </c>
      <c r="AL240" s="41"/>
      <c r="AM240" s="34">
        <f t="shared" ref="AM240:AN240" si="1528">AM239</f>
        <v>2.0049999999999999</v>
      </c>
      <c r="AN240" s="33" t="str">
        <f t="shared" si="1528"/>
        <v>7,19,050</v>
      </c>
      <c r="AO240" s="11" t="str">
        <f t="shared" si="1353"/>
        <v>7,</v>
      </c>
      <c r="AP240" s="11" t="str">
        <f t="shared" si="1354"/>
        <v>19,050</v>
      </c>
      <c r="AQ240" s="11">
        <f t="shared" si="1355"/>
        <v>0.12195833333333334</v>
      </c>
      <c r="AR240" s="14">
        <f t="shared" si="1356"/>
        <v>16.44004099760847</v>
      </c>
      <c r="AS240" s="39">
        <f t="shared" si="1357"/>
        <v>-100</v>
      </c>
      <c r="AT240" s="40" t="str">
        <f t="shared" si="1358"/>
        <v>NO CONFORME</v>
      </c>
      <c r="AU240" s="8" t="b">
        <f t="shared" si="1280"/>
        <v>1</v>
      </c>
      <c r="AV240" s="8" t="b">
        <f t="shared" si="1281"/>
        <v>0</v>
      </c>
      <c r="AW240" s="8" t="b">
        <f t="shared" si="1282"/>
        <v>1</v>
      </c>
      <c r="AX240" s="8" t="str">
        <f t="shared" si="1283"/>
        <v>Qcorrecto</v>
      </c>
      <c r="AY240" s="22" t="str">
        <f t="shared" si="1263"/>
        <v>aceptable</v>
      </c>
      <c r="AZ240" s="22" t="str">
        <f t="shared" si="1264"/>
        <v>aceptable</v>
      </c>
      <c r="BA240" s="22" t="str">
        <f t="shared" si="1284"/>
        <v>aceptable</v>
      </c>
      <c r="BB240" s="25" t="str">
        <f t="shared" si="1285"/>
        <v>NO CONFORME</v>
      </c>
      <c r="BC240" s="5" t="str">
        <f t="shared" si="1286"/>
        <v>NO CONFORME</v>
      </c>
      <c r="BD240" s="15">
        <f t="shared" si="1265"/>
        <v>-1</v>
      </c>
      <c r="BE240" s="15">
        <f t="shared" si="1266"/>
        <v>-1</v>
      </c>
      <c r="BF240" s="15">
        <f t="shared" si="1267"/>
        <v>-1</v>
      </c>
      <c r="BG240" s="15" t="str">
        <f t="shared" si="1268"/>
        <v>-1-1-1</v>
      </c>
      <c r="BH240" s="15" t="str">
        <f t="shared" si="1269"/>
        <v>SD</v>
      </c>
      <c r="BI240" s="15" t="str">
        <f t="shared" si="1270"/>
        <v>SI</v>
      </c>
      <c r="BJ240" s="15" t="b">
        <f t="shared" si="1271"/>
        <v>1</v>
      </c>
      <c r="BK240" s="15" t="str">
        <f t="shared" si="1272"/>
        <v>SIGIGUALES</v>
      </c>
      <c r="BL240" s="22" t="str">
        <f t="shared" si="1273"/>
        <v>NO CONFORME</v>
      </c>
    </row>
    <row r="241" spans="1:64" ht="14.4" x14ac:dyDescent="0.3">
      <c r="A241" s="91">
        <v>233</v>
      </c>
      <c r="B241" s="28">
        <f t="shared" ref="B241:E241" si="1529">B240</f>
        <v>45920</v>
      </c>
      <c r="C241" s="28">
        <f t="shared" si="1529"/>
        <v>45920</v>
      </c>
      <c r="D241" s="12">
        <f t="shared" si="1529"/>
        <v>3</v>
      </c>
      <c r="E241" s="10">
        <f t="shared" si="1529"/>
        <v>8</v>
      </c>
      <c r="F241" s="13"/>
      <c r="G241" s="157"/>
      <c r="H241" s="70">
        <f t="shared" ref="H241:L241" si="1530">H240</f>
        <v>25.6</v>
      </c>
      <c r="I241" s="36">
        <f t="shared" si="1530"/>
        <v>0</v>
      </c>
      <c r="J241" s="35">
        <f t="shared" si="1530"/>
        <v>20.9</v>
      </c>
      <c r="K241" s="122">
        <f t="shared" si="1530"/>
        <v>8.4730000000000008</v>
      </c>
      <c r="L241" s="122">
        <f t="shared" si="1530"/>
        <v>0.52100000000000002</v>
      </c>
      <c r="M241" s="41"/>
      <c r="N241" s="41"/>
      <c r="O241" s="32">
        <f t="shared" ref="O241:P241" si="1531">O240</f>
        <v>100.48</v>
      </c>
      <c r="P241" s="168" t="str">
        <f t="shared" si="1531"/>
        <v>2,29,610</v>
      </c>
      <c r="Q241" s="11" t="str">
        <f t="shared" si="1339"/>
        <v>2</v>
      </c>
      <c r="R241" s="11" t="str">
        <f t="shared" si="1340"/>
        <v>29,610</v>
      </c>
      <c r="S241" s="11">
        <f t="shared" si="1341"/>
        <v>4.1558333333333336E-2</v>
      </c>
      <c r="T241" s="14">
        <f t="shared" si="1342"/>
        <v>2417.8062963705634</v>
      </c>
      <c r="U241" s="37">
        <f t="shared" si="1343"/>
        <v>-100</v>
      </c>
      <c r="V241" s="38">
        <f t="shared" ref="V241:W241" si="1532">V240</f>
        <v>21.3</v>
      </c>
      <c r="W241" s="124">
        <f t="shared" si="1532"/>
        <v>1.0960000000000001</v>
      </c>
      <c r="X241" s="124">
        <f t="shared" si="1495"/>
        <v>1.0880000000000001</v>
      </c>
      <c r="Y241" s="41"/>
      <c r="Z241" s="41"/>
      <c r="AA241" s="90">
        <f t="shared" ref="AA241:AB241" si="1533">AA240</f>
        <v>5.01</v>
      </c>
      <c r="AB241" s="73" t="str">
        <f t="shared" si="1533"/>
        <v>11,15,880</v>
      </c>
      <c r="AC241" s="11" t="str">
        <f t="shared" si="1346"/>
        <v>11</v>
      </c>
      <c r="AD241" s="11" t="str">
        <f t="shared" si="1347"/>
        <v>15,880</v>
      </c>
      <c r="AE241" s="11">
        <f t="shared" si="1348"/>
        <v>0.18774444444444444</v>
      </c>
      <c r="AF241" s="14">
        <f t="shared" si="1349"/>
        <v>26.685210392377346</v>
      </c>
      <c r="AG241" s="39">
        <f t="shared" si="1350"/>
        <v>-100</v>
      </c>
      <c r="AH241" s="38">
        <f t="shared" si="1503"/>
        <v>18.399999999999999</v>
      </c>
      <c r="AI241" s="124">
        <f t="shared" si="1503"/>
        <v>1.0980000000000001</v>
      </c>
      <c r="AJ241" s="124">
        <f t="shared" si="1503"/>
        <v>1.087</v>
      </c>
      <c r="AK241" s="41">
        <f t="shared" si="1351"/>
        <v>0</v>
      </c>
      <c r="AL241" s="41"/>
      <c r="AM241" s="34">
        <f t="shared" ref="AM241:AN241" si="1534">AM240</f>
        <v>2.0049999999999999</v>
      </c>
      <c r="AN241" s="33" t="str">
        <f t="shared" si="1534"/>
        <v>7,19,050</v>
      </c>
      <c r="AO241" s="11" t="str">
        <f t="shared" si="1353"/>
        <v>7,</v>
      </c>
      <c r="AP241" s="11" t="str">
        <f t="shared" si="1354"/>
        <v>19,050</v>
      </c>
      <c r="AQ241" s="11">
        <f t="shared" si="1355"/>
        <v>0.12195833333333334</v>
      </c>
      <c r="AR241" s="14">
        <f t="shared" si="1356"/>
        <v>16.44004099760847</v>
      </c>
      <c r="AS241" s="39">
        <f t="shared" si="1357"/>
        <v>-100</v>
      </c>
      <c r="AT241" s="40" t="str">
        <f t="shared" si="1358"/>
        <v>NO CONFORME</v>
      </c>
      <c r="AU241" s="8" t="b">
        <f t="shared" si="1280"/>
        <v>1</v>
      </c>
      <c r="AV241" s="8" t="b">
        <f t="shared" si="1281"/>
        <v>0</v>
      </c>
      <c r="AW241" s="8" t="b">
        <f t="shared" si="1282"/>
        <v>1</v>
      </c>
      <c r="AX241" s="8" t="str">
        <f t="shared" si="1283"/>
        <v>Qcorrecto</v>
      </c>
      <c r="AY241" s="22" t="str">
        <f t="shared" si="1263"/>
        <v>aceptable</v>
      </c>
      <c r="AZ241" s="22" t="str">
        <f t="shared" si="1264"/>
        <v>aceptable</v>
      </c>
      <c r="BA241" s="22" t="str">
        <f t="shared" si="1284"/>
        <v>aceptable</v>
      </c>
      <c r="BB241" s="25" t="str">
        <f t="shared" si="1285"/>
        <v>NO CONFORME</v>
      </c>
      <c r="BC241" s="5" t="str">
        <f t="shared" si="1286"/>
        <v>NO CONFORME</v>
      </c>
      <c r="BD241" s="15">
        <f t="shared" si="1265"/>
        <v>-1</v>
      </c>
      <c r="BE241" s="15">
        <f t="shared" si="1266"/>
        <v>-1</v>
      </c>
      <c r="BF241" s="15">
        <f t="shared" si="1267"/>
        <v>-1</v>
      </c>
      <c r="BG241" s="15" t="str">
        <f t="shared" si="1268"/>
        <v>-1-1-1</v>
      </c>
      <c r="BH241" s="15" t="str">
        <f t="shared" si="1269"/>
        <v>SD</v>
      </c>
      <c r="BI241" s="15" t="str">
        <f t="shared" si="1270"/>
        <v>SI</v>
      </c>
      <c r="BJ241" s="15" t="b">
        <f t="shared" si="1271"/>
        <v>1</v>
      </c>
      <c r="BK241" s="15" t="str">
        <f t="shared" si="1272"/>
        <v>SIGIGUALES</v>
      </c>
      <c r="BL241" s="22" t="str">
        <f t="shared" si="1273"/>
        <v>NO CONFORME</v>
      </c>
    </row>
    <row r="242" spans="1:64" ht="14.4" x14ac:dyDescent="0.3">
      <c r="A242" s="91">
        <v>234</v>
      </c>
      <c r="B242" s="28">
        <f t="shared" ref="B242:E242" si="1535">B241</f>
        <v>45920</v>
      </c>
      <c r="C242" s="28">
        <f t="shared" si="1535"/>
        <v>45920</v>
      </c>
      <c r="D242" s="12">
        <f t="shared" si="1535"/>
        <v>3</v>
      </c>
      <c r="E242" s="10">
        <f t="shared" si="1535"/>
        <v>8</v>
      </c>
      <c r="F242" s="13"/>
      <c r="G242" s="157"/>
      <c r="H242" s="70">
        <f t="shared" ref="H242:L242" si="1536">H241</f>
        <v>25.6</v>
      </c>
      <c r="I242" s="36">
        <f t="shared" si="1536"/>
        <v>0</v>
      </c>
      <c r="J242" s="35">
        <f t="shared" si="1536"/>
        <v>20.9</v>
      </c>
      <c r="K242" s="122">
        <f t="shared" si="1536"/>
        <v>8.4730000000000008</v>
      </c>
      <c r="L242" s="122">
        <f t="shared" si="1536"/>
        <v>0.52100000000000002</v>
      </c>
      <c r="M242" s="41"/>
      <c r="N242" s="41"/>
      <c r="O242" s="32">
        <f t="shared" ref="O242:P242" si="1537">O241</f>
        <v>100.48</v>
      </c>
      <c r="P242" s="168" t="str">
        <f t="shared" si="1537"/>
        <v>2,29,610</v>
      </c>
      <c r="Q242" s="11" t="str">
        <f t="shared" si="1339"/>
        <v>2</v>
      </c>
      <c r="R242" s="11" t="str">
        <f t="shared" si="1340"/>
        <v>29,610</v>
      </c>
      <c r="S242" s="11">
        <f t="shared" si="1341"/>
        <v>4.1558333333333336E-2</v>
      </c>
      <c r="T242" s="14">
        <f t="shared" si="1342"/>
        <v>2417.8062963705634</v>
      </c>
      <c r="U242" s="37">
        <f t="shared" si="1343"/>
        <v>-100</v>
      </c>
      <c r="V242" s="38">
        <f t="shared" ref="V242:W242" si="1538">V241</f>
        <v>21.3</v>
      </c>
      <c r="W242" s="124">
        <f t="shared" si="1538"/>
        <v>1.0960000000000001</v>
      </c>
      <c r="X242" s="124">
        <f t="shared" si="1495"/>
        <v>1.0880000000000001</v>
      </c>
      <c r="Y242" s="41"/>
      <c r="Z242" s="41"/>
      <c r="AA242" s="90">
        <f t="shared" ref="AA242:AB242" si="1539">AA241</f>
        <v>5.01</v>
      </c>
      <c r="AB242" s="73" t="str">
        <f t="shared" si="1539"/>
        <v>11,15,880</v>
      </c>
      <c r="AC242" s="11" t="str">
        <f t="shared" si="1346"/>
        <v>11</v>
      </c>
      <c r="AD242" s="11" t="str">
        <f t="shared" si="1347"/>
        <v>15,880</v>
      </c>
      <c r="AE242" s="11">
        <f t="shared" si="1348"/>
        <v>0.18774444444444444</v>
      </c>
      <c r="AF242" s="14">
        <f t="shared" si="1349"/>
        <v>26.685210392377346</v>
      </c>
      <c r="AG242" s="39">
        <f t="shared" si="1350"/>
        <v>-100</v>
      </c>
      <c r="AH242" s="38">
        <f t="shared" si="1503"/>
        <v>18.399999999999999</v>
      </c>
      <c r="AI242" s="124">
        <f t="shared" si="1503"/>
        <v>1.0980000000000001</v>
      </c>
      <c r="AJ242" s="124">
        <f t="shared" si="1503"/>
        <v>1.087</v>
      </c>
      <c r="AK242" s="41">
        <f t="shared" si="1351"/>
        <v>0</v>
      </c>
      <c r="AL242" s="41"/>
      <c r="AM242" s="34">
        <f t="shared" ref="AM242:AN242" si="1540">AM241</f>
        <v>2.0049999999999999</v>
      </c>
      <c r="AN242" s="33" t="str">
        <f t="shared" si="1540"/>
        <v>7,19,050</v>
      </c>
      <c r="AO242" s="11" t="str">
        <f t="shared" si="1353"/>
        <v>7,</v>
      </c>
      <c r="AP242" s="11" t="str">
        <f t="shared" si="1354"/>
        <v>19,050</v>
      </c>
      <c r="AQ242" s="11">
        <f t="shared" si="1355"/>
        <v>0.12195833333333334</v>
      </c>
      <c r="AR242" s="14">
        <f t="shared" si="1356"/>
        <v>16.44004099760847</v>
      </c>
      <c r="AS242" s="39">
        <f t="shared" si="1357"/>
        <v>-100</v>
      </c>
      <c r="AT242" s="40" t="str">
        <f t="shared" si="1358"/>
        <v>NO CONFORME</v>
      </c>
      <c r="AU242" s="8" t="b">
        <f t="shared" si="1280"/>
        <v>1</v>
      </c>
      <c r="AV242" s="8" t="b">
        <f t="shared" si="1281"/>
        <v>0</v>
      </c>
      <c r="AW242" s="8" t="b">
        <f t="shared" si="1282"/>
        <v>1</v>
      </c>
      <c r="AX242" s="8" t="str">
        <f t="shared" si="1283"/>
        <v>Qcorrecto</v>
      </c>
      <c r="AY242" s="22" t="str">
        <f t="shared" si="1263"/>
        <v>aceptable</v>
      </c>
      <c r="AZ242" s="22" t="str">
        <f t="shared" si="1264"/>
        <v>aceptable</v>
      </c>
      <c r="BA242" s="22" t="str">
        <f t="shared" si="1284"/>
        <v>aceptable</v>
      </c>
      <c r="BB242" s="25" t="str">
        <f t="shared" si="1285"/>
        <v>NO CONFORME</v>
      </c>
      <c r="BC242" s="5" t="str">
        <f t="shared" si="1286"/>
        <v>NO CONFORME</v>
      </c>
      <c r="BD242" s="15">
        <f t="shared" si="1265"/>
        <v>-1</v>
      </c>
      <c r="BE242" s="15">
        <f t="shared" si="1266"/>
        <v>-1</v>
      </c>
      <c r="BF242" s="15">
        <f t="shared" si="1267"/>
        <v>-1</v>
      </c>
      <c r="BG242" s="15" t="str">
        <f t="shared" si="1268"/>
        <v>-1-1-1</v>
      </c>
      <c r="BH242" s="15" t="str">
        <f t="shared" si="1269"/>
        <v>SD</v>
      </c>
      <c r="BI242" s="15" t="str">
        <f t="shared" si="1270"/>
        <v>SI</v>
      </c>
      <c r="BJ242" s="15" t="b">
        <f t="shared" si="1271"/>
        <v>1</v>
      </c>
      <c r="BK242" s="15" t="str">
        <f t="shared" si="1272"/>
        <v>SIGIGUALES</v>
      </c>
      <c r="BL242" s="22" t="str">
        <f t="shared" si="1273"/>
        <v>NO CONFORME</v>
      </c>
    </row>
    <row r="243" spans="1:64" ht="14.4" x14ac:dyDescent="0.3">
      <c r="A243" s="91">
        <v>235</v>
      </c>
      <c r="B243" s="28">
        <f t="shared" ref="B243:E243" si="1541">B242</f>
        <v>45920</v>
      </c>
      <c r="C243" s="28">
        <f t="shared" si="1541"/>
        <v>45920</v>
      </c>
      <c r="D243" s="12">
        <f t="shared" si="1541"/>
        <v>3</v>
      </c>
      <c r="E243" s="10">
        <f t="shared" si="1541"/>
        <v>8</v>
      </c>
      <c r="F243" s="13"/>
      <c r="G243" s="157"/>
      <c r="H243" s="70">
        <f t="shared" ref="H243:L243" si="1542">H242</f>
        <v>25.6</v>
      </c>
      <c r="I243" s="36">
        <f t="shared" si="1542"/>
        <v>0</v>
      </c>
      <c r="J243" s="35">
        <f t="shared" si="1542"/>
        <v>20.9</v>
      </c>
      <c r="K243" s="122">
        <f t="shared" si="1542"/>
        <v>8.4730000000000008</v>
      </c>
      <c r="L243" s="122">
        <f t="shared" si="1542"/>
        <v>0.52100000000000002</v>
      </c>
      <c r="M243" s="41"/>
      <c r="N243" s="41"/>
      <c r="O243" s="32">
        <f t="shared" ref="O243:P243" si="1543">O242</f>
        <v>100.48</v>
      </c>
      <c r="P243" s="168" t="str">
        <f t="shared" si="1543"/>
        <v>2,29,610</v>
      </c>
      <c r="Q243" s="11" t="str">
        <f t="shared" si="1339"/>
        <v>2</v>
      </c>
      <c r="R243" s="11" t="str">
        <f t="shared" si="1340"/>
        <v>29,610</v>
      </c>
      <c r="S243" s="11">
        <f t="shared" si="1341"/>
        <v>4.1558333333333336E-2</v>
      </c>
      <c r="T243" s="14">
        <f t="shared" si="1342"/>
        <v>2417.8062963705634</v>
      </c>
      <c r="U243" s="37">
        <f t="shared" si="1343"/>
        <v>-100</v>
      </c>
      <c r="V243" s="38">
        <f t="shared" ref="V243:W243" si="1544">V242</f>
        <v>21.3</v>
      </c>
      <c r="W243" s="124">
        <f t="shared" si="1544"/>
        <v>1.0960000000000001</v>
      </c>
      <c r="X243" s="124">
        <f t="shared" si="1495"/>
        <v>1.0880000000000001</v>
      </c>
      <c r="Y243" s="41"/>
      <c r="Z243" s="41"/>
      <c r="AA243" s="90">
        <f t="shared" ref="AA243:AB243" si="1545">AA242</f>
        <v>5.01</v>
      </c>
      <c r="AB243" s="73" t="str">
        <f t="shared" si="1545"/>
        <v>11,15,880</v>
      </c>
      <c r="AC243" s="11" t="str">
        <f t="shared" si="1346"/>
        <v>11</v>
      </c>
      <c r="AD243" s="11" t="str">
        <f t="shared" si="1347"/>
        <v>15,880</v>
      </c>
      <c r="AE243" s="11">
        <f t="shared" si="1348"/>
        <v>0.18774444444444444</v>
      </c>
      <c r="AF243" s="14">
        <f t="shared" si="1349"/>
        <v>26.685210392377346</v>
      </c>
      <c r="AG243" s="39">
        <f t="shared" si="1350"/>
        <v>-100</v>
      </c>
      <c r="AH243" s="38">
        <f t="shared" si="1503"/>
        <v>18.399999999999999</v>
      </c>
      <c r="AI243" s="124">
        <f t="shared" si="1503"/>
        <v>1.0980000000000001</v>
      </c>
      <c r="AJ243" s="124">
        <f t="shared" si="1503"/>
        <v>1.087</v>
      </c>
      <c r="AK243" s="41">
        <f t="shared" si="1351"/>
        <v>0</v>
      </c>
      <c r="AL243" s="41"/>
      <c r="AM243" s="34">
        <f t="shared" ref="AM243:AN243" si="1546">AM242</f>
        <v>2.0049999999999999</v>
      </c>
      <c r="AN243" s="33" t="str">
        <f t="shared" si="1546"/>
        <v>7,19,050</v>
      </c>
      <c r="AO243" s="11" t="str">
        <f t="shared" si="1353"/>
        <v>7,</v>
      </c>
      <c r="AP243" s="11" t="str">
        <f t="shared" si="1354"/>
        <v>19,050</v>
      </c>
      <c r="AQ243" s="11">
        <f t="shared" si="1355"/>
        <v>0.12195833333333334</v>
      </c>
      <c r="AR243" s="14">
        <f t="shared" si="1356"/>
        <v>16.44004099760847</v>
      </c>
      <c r="AS243" s="39">
        <f t="shared" si="1357"/>
        <v>-100</v>
      </c>
      <c r="AT243" s="40" t="str">
        <f t="shared" si="1358"/>
        <v>NO CONFORME</v>
      </c>
      <c r="AU243" s="8" t="b">
        <f t="shared" si="1280"/>
        <v>1</v>
      </c>
      <c r="AV243" s="8" t="b">
        <f t="shared" si="1281"/>
        <v>0</v>
      </c>
      <c r="AW243" s="8" t="b">
        <f t="shared" si="1282"/>
        <v>1</v>
      </c>
      <c r="AX243" s="8" t="str">
        <f t="shared" si="1283"/>
        <v>Qcorrecto</v>
      </c>
      <c r="AY243" s="22" t="str">
        <f t="shared" si="1263"/>
        <v>aceptable</v>
      </c>
      <c r="AZ243" s="22" t="str">
        <f t="shared" si="1264"/>
        <v>aceptable</v>
      </c>
      <c r="BA243" s="22" t="str">
        <f t="shared" si="1284"/>
        <v>aceptable</v>
      </c>
      <c r="BB243" s="25" t="str">
        <f t="shared" si="1285"/>
        <v>NO CONFORME</v>
      </c>
      <c r="BC243" s="5" t="str">
        <f t="shared" si="1286"/>
        <v>NO CONFORME</v>
      </c>
      <c r="BD243" s="15">
        <f t="shared" si="1265"/>
        <v>-1</v>
      </c>
      <c r="BE243" s="15">
        <f t="shared" si="1266"/>
        <v>-1</v>
      </c>
      <c r="BF243" s="15">
        <f t="shared" si="1267"/>
        <v>-1</v>
      </c>
      <c r="BG243" s="15" t="str">
        <f t="shared" si="1268"/>
        <v>-1-1-1</v>
      </c>
      <c r="BH243" s="15" t="str">
        <f t="shared" si="1269"/>
        <v>SD</v>
      </c>
      <c r="BI243" s="15" t="str">
        <f t="shared" si="1270"/>
        <v>SI</v>
      </c>
      <c r="BJ243" s="15" t="b">
        <f t="shared" si="1271"/>
        <v>1</v>
      </c>
      <c r="BK243" s="15" t="str">
        <f t="shared" si="1272"/>
        <v>SIGIGUALES</v>
      </c>
      <c r="BL243" s="22" t="str">
        <f t="shared" si="1273"/>
        <v>NO CONFORME</v>
      </c>
    </row>
    <row r="244" spans="1:64" ht="14.4" x14ac:dyDescent="0.3">
      <c r="A244" s="91">
        <v>236</v>
      </c>
      <c r="B244" s="28">
        <f t="shared" ref="B244:E244" si="1547">B243</f>
        <v>45920</v>
      </c>
      <c r="C244" s="28">
        <f t="shared" si="1547"/>
        <v>45920</v>
      </c>
      <c r="D244" s="12">
        <f t="shared" si="1547"/>
        <v>3</v>
      </c>
      <c r="E244" s="10">
        <f t="shared" si="1547"/>
        <v>8</v>
      </c>
      <c r="F244" s="13"/>
      <c r="G244" s="157"/>
      <c r="H244" s="70">
        <f t="shared" ref="H244:L244" si="1548">H243</f>
        <v>25.6</v>
      </c>
      <c r="I244" s="36">
        <f t="shared" si="1548"/>
        <v>0</v>
      </c>
      <c r="J244" s="35">
        <f t="shared" si="1548"/>
        <v>20.9</v>
      </c>
      <c r="K244" s="122">
        <f t="shared" si="1548"/>
        <v>8.4730000000000008</v>
      </c>
      <c r="L244" s="122">
        <f t="shared" si="1548"/>
        <v>0.52100000000000002</v>
      </c>
      <c r="M244" s="41"/>
      <c r="N244" s="41"/>
      <c r="O244" s="32">
        <f t="shared" ref="O244:P244" si="1549">O243</f>
        <v>100.48</v>
      </c>
      <c r="P244" s="168" t="str">
        <f t="shared" si="1549"/>
        <v>2,29,610</v>
      </c>
      <c r="Q244" s="11" t="str">
        <f t="shared" si="1339"/>
        <v>2</v>
      </c>
      <c r="R244" s="11" t="str">
        <f t="shared" si="1340"/>
        <v>29,610</v>
      </c>
      <c r="S244" s="11">
        <f t="shared" si="1341"/>
        <v>4.1558333333333336E-2</v>
      </c>
      <c r="T244" s="14">
        <f t="shared" si="1342"/>
        <v>2417.8062963705634</v>
      </c>
      <c r="U244" s="37">
        <f t="shared" si="1343"/>
        <v>-100</v>
      </c>
      <c r="V244" s="38">
        <f t="shared" ref="V244:W244" si="1550">V243</f>
        <v>21.3</v>
      </c>
      <c r="W244" s="124">
        <f t="shared" si="1550"/>
        <v>1.0960000000000001</v>
      </c>
      <c r="X244" s="124">
        <f t="shared" si="1495"/>
        <v>1.0880000000000001</v>
      </c>
      <c r="Y244" s="41"/>
      <c r="Z244" s="41"/>
      <c r="AA244" s="90">
        <f t="shared" ref="AA244:AB244" si="1551">AA243</f>
        <v>5.01</v>
      </c>
      <c r="AB244" s="73" t="str">
        <f t="shared" si="1551"/>
        <v>11,15,880</v>
      </c>
      <c r="AC244" s="11" t="str">
        <f t="shared" si="1346"/>
        <v>11</v>
      </c>
      <c r="AD244" s="11" t="str">
        <f t="shared" si="1347"/>
        <v>15,880</v>
      </c>
      <c r="AE244" s="11">
        <f t="shared" si="1348"/>
        <v>0.18774444444444444</v>
      </c>
      <c r="AF244" s="14">
        <f t="shared" si="1349"/>
        <v>26.685210392377346</v>
      </c>
      <c r="AG244" s="39">
        <f t="shared" si="1350"/>
        <v>-100</v>
      </c>
      <c r="AH244" s="38">
        <f t="shared" si="1503"/>
        <v>18.399999999999999</v>
      </c>
      <c r="AI244" s="124">
        <f t="shared" si="1503"/>
        <v>1.0980000000000001</v>
      </c>
      <c r="AJ244" s="124">
        <f t="shared" si="1503"/>
        <v>1.087</v>
      </c>
      <c r="AK244" s="41">
        <f t="shared" si="1351"/>
        <v>0</v>
      </c>
      <c r="AL244" s="41"/>
      <c r="AM244" s="34">
        <f t="shared" ref="AM244:AN244" si="1552">AM243</f>
        <v>2.0049999999999999</v>
      </c>
      <c r="AN244" s="33" t="str">
        <f t="shared" si="1552"/>
        <v>7,19,050</v>
      </c>
      <c r="AO244" s="11" t="str">
        <f t="shared" si="1353"/>
        <v>7,</v>
      </c>
      <c r="AP244" s="11" t="str">
        <f t="shared" si="1354"/>
        <v>19,050</v>
      </c>
      <c r="AQ244" s="11">
        <f t="shared" si="1355"/>
        <v>0.12195833333333334</v>
      </c>
      <c r="AR244" s="14">
        <f t="shared" si="1356"/>
        <v>16.44004099760847</v>
      </c>
      <c r="AS244" s="39">
        <f t="shared" si="1357"/>
        <v>-100</v>
      </c>
      <c r="AT244" s="40" t="str">
        <f t="shared" si="1358"/>
        <v>NO CONFORME</v>
      </c>
      <c r="AU244" s="8" t="b">
        <f t="shared" si="1280"/>
        <v>1</v>
      </c>
      <c r="AV244" s="8" t="b">
        <f t="shared" si="1281"/>
        <v>0</v>
      </c>
      <c r="AW244" s="8" t="b">
        <f t="shared" si="1282"/>
        <v>1</v>
      </c>
      <c r="AX244" s="8" t="str">
        <f t="shared" si="1283"/>
        <v>Qcorrecto</v>
      </c>
      <c r="AY244" s="22" t="str">
        <f t="shared" si="1263"/>
        <v>aceptable</v>
      </c>
      <c r="AZ244" s="22" t="str">
        <f t="shared" si="1264"/>
        <v>aceptable</v>
      </c>
      <c r="BA244" s="22" t="str">
        <f t="shared" si="1284"/>
        <v>aceptable</v>
      </c>
      <c r="BB244" s="25" t="str">
        <f t="shared" si="1285"/>
        <v>NO CONFORME</v>
      </c>
      <c r="BC244" s="5" t="str">
        <f t="shared" si="1286"/>
        <v>NO CONFORME</v>
      </c>
      <c r="BD244" s="15">
        <f t="shared" si="1265"/>
        <v>-1</v>
      </c>
      <c r="BE244" s="15">
        <f t="shared" si="1266"/>
        <v>-1</v>
      </c>
      <c r="BF244" s="15">
        <f t="shared" si="1267"/>
        <v>-1</v>
      </c>
      <c r="BG244" s="15" t="str">
        <f t="shared" si="1268"/>
        <v>-1-1-1</v>
      </c>
      <c r="BH244" s="15" t="str">
        <f t="shared" si="1269"/>
        <v>SD</v>
      </c>
      <c r="BI244" s="15" t="str">
        <f t="shared" si="1270"/>
        <v>SI</v>
      </c>
      <c r="BJ244" s="15" t="b">
        <f t="shared" si="1271"/>
        <v>1</v>
      </c>
      <c r="BK244" s="15" t="str">
        <f t="shared" si="1272"/>
        <v>SIGIGUALES</v>
      </c>
      <c r="BL244" s="22" t="str">
        <f t="shared" si="1273"/>
        <v>NO CONFORME</v>
      </c>
    </row>
    <row r="245" spans="1:64" ht="14.4" x14ac:dyDescent="0.3">
      <c r="A245" s="91">
        <v>237</v>
      </c>
      <c r="B245" s="28">
        <f t="shared" ref="B245:E245" si="1553">B244</f>
        <v>45920</v>
      </c>
      <c r="C245" s="28">
        <f t="shared" si="1553"/>
        <v>45920</v>
      </c>
      <c r="D245" s="12">
        <f t="shared" si="1553"/>
        <v>3</v>
      </c>
      <c r="E245" s="10">
        <f t="shared" si="1553"/>
        <v>8</v>
      </c>
      <c r="F245" s="13"/>
      <c r="G245" s="157"/>
      <c r="H245" s="70">
        <f t="shared" ref="H245:L245" si="1554">H244</f>
        <v>25.6</v>
      </c>
      <c r="I245" s="36">
        <f t="shared" si="1554"/>
        <v>0</v>
      </c>
      <c r="J245" s="35">
        <f t="shared" si="1554"/>
        <v>20.9</v>
      </c>
      <c r="K245" s="122">
        <f t="shared" si="1554"/>
        <v>8.4730000000000008</v>
      </c>
      <c r="L245" s="122">
        <f t="shared" si="1554"/>
        <v>0.52100000000000002</v>
      </c>
      <c r="M245" s="41"/>
      <c r="N245" s="41"/>
      <c r="O245" s="32">
        <f t="shared" ref="O245:P245" si="1555">O244</f>
        <v>100.48</v>
      </c>
      <c r="P245" s="168" t="str">
        <f t="shared" si="1555"/>
        <v>2,29,610</v>
      </c>
      <c r="Q245" s="11" t="str">
        <f t="shared" si="1339"/>
        <v>2</v>
      </c>
      <c r="R245" s="11" t="str">
        <f t="shared" si="1340"/>
        <v>29,610</v>
      </c>
      <c r="S245" s="11">
        <f t="shared" si="1341"/>
        <v>4.1558333333333336E-2</v>
      </c>
      <c r="T245" s="14">
        <f t="shared" si="1342"/>
        <v>2417.8062963705634</v>
      </c>
      <c r="U245" s="37">
        <f t="shared" si="1343"/>
        <v>-100</v>
      </c>
      <c r="V245" s="38">
        <f t="shared" ref="V245:W245" si="1556">V244</f>
        <v>21.3</v>
      </c>
      <c r="W245" s="124">
        <f t="shared" si="1556"/>
        <v>1.0960000000000001</v>
      </c>
      <c r="X245" s="124">
        <f t="shared" si="1495"/>
        <v>1.0880000000000001</v>
      </c>
      <c r="Y245" s="41"/>
      <c r="Z245" s="41"/>
      <c r="AA245" s="90">
        <f t="shared" ref="AA245:AB245" si="1557">AA244</f>
        <v>5.01</v>
      </c>
      <c r="AB245" s="73" t="str">
        <f t="shared" si="1557"/>
        <v>11,15,880</v>
      </c>
      <c r="AC245" s="11" t="str">
        <f t="shared" si="1346"/>
        <v>11</v>
      </c>
      <c r="AD245" s="11" t="str">
        <f t="shared" si="1347"/>
        <v>15,880</v>
      </c>
      <c r="AE245" s="11">
        <f t="shared" si="1348"/>
        <v>0.18774444444444444</v>
      </c>
      <c r="AF245" s="14">
        <f t="shared" si="1349"/>
        <v>26.685210392377346</v>
      </c>
      <c r="AG245" s="39">
        <f t="shared" si="1350"/>
        <v>-100</v>
      </c>
      <c r="AH245" s="38">
        <f t="shared" si="1503"/>
        <v>18.399999999999999</v>
      </c>
      <c r="AI245" s="124">
        <f t="shared" si="1503"/>
        <v>1.0980000000000001</v>
      </c>
      <c r="AJ245" s="124">
        <f t="shared" si="1503"/>
        <v>1.087</v>
      </c>
      <c r="AK245" s="41">
        <f t="shared" si="1351"/>
        <v>0</v>
      </c>
      <c r="AL245" s="41"/>
      <c r="AM245" s="34">
        <f t="shared" ref="AM245:AN245" si="1558">AM244</f>
        <v>2.0049999999999999</v>
      </c>
      <c r="AN245" s="33" t="str">
        <f t="shared" si="1558"/>
        <v>7,19,050</v>
      </c>
      <c r="AO245" s="11" t="str">
        <f t="shared" si="1353"/>
        <v>7,</v>
      </c>
      <c r="AP245" s="11" t="str">
        <f t="shared" si="1354"/>
        <v>19,050</v>
      </c>
      <c r="AQ245" s="11">
        <f t="shared" si="1355"/>
        <v>0.12195833333333334</v>
      </c>
      <c r="AR245" s="14">
        <f t="shared" si="1356"/>
        <v>16.44004099760847</v>
      </c>
      <c r="AS245" s="39">
        <f t="shared" si="1357"/>
        <v>-100</v>
      </c>
      <c r="AT245" s="40" t="str">
        <f t="shared" si="1358"/>
        <v>NO CONFORME</v>
      </c>
      <c r="AU245" s="8" t="b">
        <f t="shared" si="1280"/>
        <v>1</v>
      </c>
      <c r="AV245" s="8" t="b">
        <f t="shared" si="1281"/>
        <v>0</v>
      </c>
      <c r="AW245" s="8" t="b">
        <f t="shared" si="1282"/>
        <v>1</v>
      </c>
      <c r="AX245" s="8" t="str">
        <f t="shared" si="1283"/>
        <v>Qcorrecto</v>
      </c>
      <c r="AY245" s="22" t="str">
        <f t="shared" si="1263"/>
        <v>aceptable</v>
      </c>
      <c r="AZ245" s="22" t="str">
        <f t="shared" si="1264"/>
        <v>aceptable</v>
      </c>
      <c r="BA245" s="22" t="str">
        <f t="shared" si="1284"/>
        <v>aceptable</v>
      </c>
      <c r="BB245" s="25" t="str">
        <f t="shared" si="1285"/>
        <v>NO CONFORME</v>
      </c>
      <c r="BC245" s="5" t="str">
        <f t="shared" si="1286"/>
        <v>NO CONFORME</v>
      </c>
      <c r="BD245" s="15">
        <f t="shared" si="1265"/>
        <v>-1</v>
      </c>
      <c r="BE245" s="15">
        <f t="shared" si="1266"/>
        <v>-1</v>
      </c>
      <c r="BF245" s="15">
        <f t="shared" si="1267"/>
        <v>-1</v>
      </c>
      <c r="BG245" s="15" t="str">
        <f t="shared" si="1268"/>
        <v>-1-1-1</v>
      </c>
      <c r="BH245" s="15" t="str">
        <f t="shared" si="1269"/>
        <v>SD</v>
      </c>
      <c r="BI245" s="15" t="str">
        <f t="shared" si="1270"/>
        <v>SI</v>
      </c>
      <c r="BJ245" s="15" t="b">
        <f t="shared" si="1271"/>
        <v>1</v>
      </c>
      <c r="BK245" s="15" t="str">
        <f t="shared" si="1272"/>
        <v>SIGIGUALES</v>
      </c>
      <c r="BL245" s="22" t="str">
        <f t="shared" si="1273"/>
        <v>NO CONFORME</v>
      </c>
    </row>
    <row r="246" spans="1:64" ht="14.4" x14ac:dyDescent="0.3">
      <c r="A246" s="91">
        <v>238</v>
      </c>
      <c r="B246" s="28">
        <f t="shared" ref="B246:E246" si="1559">B245</f>
        <v>45920</v>
      </c>
      <c r="C246" s="28">
        <f t="shared" si="1559"/>
        <v>45920</v>
      </c>
      <c r="D246" s="12">
        <f t="shared" si="1559"/>
        <v>3</v>
      </c>
      <c r="E246" s="10">
        <f t="shared" si="1559"/>
        <v>8</v>
      </c>
      <c r="F246" s="13"/>
      <c r="G246" s="157"/>
      <c r="H246" s="70">
        <f t="shared" ref="H246:L246" si="1560">H245</f>
        <v>25.6</v>
      </c>
      <c r="I246" s="36">
        <f t="shared" si="1560"/>
        <v>0</v>
      </c>
      <c r="J246" s="35">
        <f t="shared" si="1560"/>
        <v>20.9</v>
      </c>
      <c r="K246" s="122">
        <f t="shared" si="1560"/>
        <v>8.4730000000000008</v>
      </c>
      <c r="L246" s="122">
        <f t="shared" si="1560"/>
        <v>0.52100000000000002</v>
      </c>
      <c r="M246" s="41"/>
      <c r="N246" s="41"/>
      <c r="O246" s="32">
        <f t="shared" ref="O246:P246" si="1561">O245</f>
        <v>100.48</v>
      </c>
      <c r="P246" s="168" t="str">
        <f t="shared" si="1561"/>
        <v>2,29,610</v>
      </c>
      <c r="Q246" s="11" t="str">
        <f t="shared" si="1339"/>
        <v>2</v>
      </c>
      <c r="R246" s="11" t="str">
        <f t="shared" si="1340"/>
        <v>29,610</v>
      </c>
      <c r="S246" s="11">
        <f t="shared" si="1341"/>
        <v>4.1558333333333336E-2</v>
      </c>
      <c r="T246" s="14">
        <f t="shared" si="1342"/>
        <v>2417.8062963705634</v>
      </c>
      <c r="U246" s="37">
        <f t="shared" si="1343"/>
        <v>-100</v>
      </c>
      <c r="V246" s="38">
        <f t="shared" ref="V246:W246" si="1562">V245</f>
        <v>21.3</v>
      </c>
      <c r="W246" s="124">
        <f t="shared" si="1562"/>
        <v>1.0960000000000001</v>
      </c>
      <c r="X246" s="124">
        <f t="shared" si="1495"/>
        <v>1.0880000000000001</v>
      </c>
      <c r="Y246" s="41"/>
      <c r="Z246" s="41"/>
      <c r="AA246" s="90">
        <f t="shared" ref="AA246:AB246" si="1563">AA245</f>
        <v>5.01</v>
      </c>
      <c r="AB246" s="73" t="str">
        <f t="shared" si="1563"/>
        <v>11,15,880</v>
      </c>
      <c r="AC246" s="11" t="str">
        <f t="shared" si="1346"/>
        <v>11</v>
      </c>
      <c r="AD246" s="11" t="str">
        <f t="shared" si="1347"/>
        <v>15,880</v>
      </c>
      <c r="AE246" s="11">
        <f t="shared" si="1348"/>
        <v>0.18774444444444444</v>
      </c>
      <c r="AF246" s="14">
        <f t="shared" si="1349"/>
        <v>26.685210392377346</v>
      </c>
      <c r="AG246" s="39">
        <f t="shared" si="1350"/>
        <v>-100</v>
      </c>
      <c r="AH246" s="38">
        <f t="shared" si="1503"/>
        <v>18.399999999999999</v>
      </c>
      <c r="AI246" s="124">
        <f t="shared" si="1503"/>
        <v>1.0980000000000001</v>
      </c>
      <c r="AJ246" s="124">
        <f t="shared" si="1503"/>
        <v>1.087</v>
      </c>
      <c r="AK246" s="41">
        <f t="shared" si="1351"/>
        <v>0</v>
      </c>
      <c r="AL246" s="41"/>
      <c r="AM246" s="34">
        <f t="shared" ref="AM246:AN246" si="1564">AM245</f>
        <v>2.0049999999999999</v>
      </c>
      <c r="AN246" s="33" t="str">
        <f t="shared" si="1564"/>
        <v>7,19,050</v>
      </c>
      <c r="AO246" s="11" t="str">
        <f t="shared" si="1353"/>
        <v>7,</v>
      </c>
      <c r="AP246" s="11" t="str">
        <f t="shared" si="1354"/>
        <v>19,050</v>
      </c>
      <c r="AQ246" s="11">
        <f t="shared" si="1355"/>
        <v>0.12195833333333334</v>
      </c>
      <c r="AR246" s="14">
        <f t="shared" si="1356"/>
        <v>16.44004099760847</v>
      </c>
      <c r="AS246" s="39">
        <f t="shared" si="1357"/>
        <v>-100</v>
      </c>
      <c r="AT246" s="40" t="str">
        <f t="shared" si="1358"/>
        <v>NO CONFORME</v>
      </c>
      <c r="AU246" s="8" t="b">
        <f t="shared" si="1280"/>
        <v>1</v>
      </c>
      <c r="AV246" s="8" t="b">
        <f t="shared" si="1281"/>
        <v>0</v>
      </c>
      <c r="AW246" s="8" t="b">
        <f t="shared" si="1282"/>
        <v>1</v>
      </c>
      <c r="AX246" s="8" t="str">
        <f t="shared" si="1283"/>
        <v>Qcorrecto</v>
      </c>
      <c r="AY246" s="22" t="str">
        <f t="shared" si="1263"/>
        <v>aceptable</v>
      </c>
      <c r="AZ246" s="22" t="str">
        <f t="shared" si="1264"/>
        <v>aceptable</v>
      </c>
      <c r="BA246" s="22" t="str">
        <f t="shared" si="1284"/>
        <v>aceptable</v>
      </c>
      <c r="BB246" s="25" t="str">
        <f t="shared" si="1285"/>
        <v>NO CONFORME</v>
      </c>
      <c r="BC246" s="5" t="str">
        <f t="shared" si="1286"/>
        <v>NO CONFORME</v>
      </c>
      <c r="BD246" s="15">
        <f t="shared" si="1265"/>
        <v>-1</v>
      </c>
      <c r="BE246" s="15">
        <f t="shared" si="1266"/>
        <v>-1</v>
      </c>
      <c r="BF246" s="15">
        <f t="shared" si="1267"/>
        <v>-1</v>
      </c>
      <c r="BG246" s="15" t="str">
        <f t="shared" si="1268"/>
        <v>-1-1-1</v>
      </c>
      <c r="BH246" s="15" t="str">
        <f t="shared" si="1269"/>
        <v>SD</v>
      </c>
      <c r="BI246" s="15" t="str">
        <f t="shared" si="1270"/>
        <v>SI</v>
      </c>
      <c r="BJ246" s="15" t="b">
        <f t="shared" si="1271"/>
        <v>1</v>
      </c>
      <c r="BK246" s="15" t="str">
        <f t="shared" si="1272"/>
        <v>SIGIGUALES</v>
      </c>
      <c r="BL246" s="22" t="str">
        <f t="shared" si="1273"/>
        <v>NO CONFORME</v>
      </c>
    </row>
    <row r="247" spans="1:64" ht="14.4" x14ac:dyDescent="0.3">
      <c r="A247" s="91">
        <v>239</v>
      </c>
      <c r="B247" s="28">
        <f t="shared" ref="B247:E247" si="1565">B246</f>
        <v>45920</v>
      </c>
      <c r="C247" s="28">
        <f t="shared" si="1565"/>
        <v>45920</v>
      </c>
      <c r="D247" s="12">
        <f t="shared" si="1565"/>
        <v>3</v>
      </c>
      <c r="E247" s="10">
        <f t="shared" si="1565"/>
        <v>8</v>
      </c>
      <c r="F247" s="13"/>
      <c r="G247" s="157"/>
      <c r="H247" s="70">
        <f t="shared" ref="H247:L247" si="1566">H246</f>
        <v>25.6</v>
      </c>
      <c r="I247" s="36">
        <f t="shared" si="1566"/>
        <v>0</v>
      </c>
      <c r="J247" s="35">
        <f t="shared" si="1566"/>
        <v>20.9</v>
      </c>
      <c r="K247" s="122">
        <f t="shared" si="1566"/>
        <v>8.4730000000000008</v>
      </c>
      <c r="L247" s="122">
        <f t="shared" si="1566"/>
        <v>0.52100000000000002</v>
      </c>
      <c r="M247" s="41"/>
      <c r="N247" s="41"/>
      <c r="O247" s="32">
        <f t="shared" ref="O247:P247" si="1567">O246</f>
        <v>100.48</v>
      </c>
      <c r="P247" s="168" t="str">
        <f t="shared" si="1567"/>
        <v>2,29,610</v>
      </c>
      <c r="Q247" s="11" t="str">
        <f t="shared" si="1339"/>
        <v>2</v>
      </c>
      <c r="R247" s="11" t="str">
        <f t="shared" si="1340"/>
        <v>29,610</v>
      </c>
      <c r="S247" s="11">
        <f t="shared" si="1341"/>
        <v>4.1558333333333336E-2</v>
      </c>
      <c r="T247" s="14">
        <f t="shared" si="1342"/>
        <v>2417.8062963705634</v>
      </c>
      <c r="U247" s="37">
        <f t="shared" si="1343"/>
        <v>-100</v>
      </c>
      <c r="V247" s="38">
        <f t="shared" ref="V247:W247" si="1568">V246</f>
        <v>21.3</v>
      </c>
      <c r="W247" s="124">
        <f t="shared" si="1568"/>
        <v>1.0960000000000001</v>
      </c>
      <c r="X247" s="124">
        <f t="shared" si="1495"/>
        <v>1.0880000000000001</v>
      </c>
      <c r="Y247" s="41"/>
      <c r="Z247" s="41"/>
      <c r="AA247" s="90">
        <f t="shared" ref="AA247:AB247" si="1569">AA246</f>
        <v>5.01</v>
      </c>
      <c r="AB247" s="73" t="str">
        <f t="shared" si="1569"/>
        <v>11,15,880</v>
      </c>
      <c r="AC247" s="11" t="str">
        <f t="shared" si="1346"/>
        <v>11</v>
      </c>
      <c r="AD247" s="11" t="str">
        <f t="shared" si="1347"/>
        <v>15,880</v>
      </c>
      <c r="AE247" s="11">
        <f t="shared" si="1348"/>
        <v>0.18774444444444444</v>
      </c>
      <c r="AF247" s="14">
        <f t="shared" si="1349"/>
        <v>26.685210392377346</v>
      </c>
      <c r="AG247" s="39">
        <f t="shared" si="1350"/>
        <v>-100</v>
      </c>
      <c r="AH247" s="38">
        <f t="shared" si="1503"/>
        <v>18.399999999999999</v>
      </c>
      <c r="AI247" s="124">
        <f t="shared" si="1503"/>
        <v>1.0980000000000001</v>
      </c>
      <c r="AJ247" s="124">
        <f t="shared" si="1503"/>
        <v>1.087</v>
      </c>
      <c r="AK247" s="41">
        <f t="shared" si="1351"/>
        <v>0</v>
      </c>
      <c r="AL247" s="41"/>
      <c r="AM247" s="34">
        <f t="shared" ref="AM247:AN247" si="1570">AM246</f>
        <v>2.0049999999999999</v>
      </c>
      <c r="AN247" s="33" t="str">
        <f t="shared" si="1570"/>
        <v>7,19,050</v>
      </c>
      <c r="AO247" s="11" t="str">
        <f t="shared" si="1353"/>
        <v>7,</v>
      </c>
      <c r="AP247" s="11" t="str">
        <f t="shared" si="1354"/>
        <v>19,050</v>
      </c>
      <c r="AQ247" s="11">
        <f t="shared" si="1355"/>
        <v>0.12195833333333334</v>
      </c>
      <c r="AR247" s="14">
        <f t="shared" si="1356"/>
        <v>16.44004099760847</v>
      </c>
      <c r="AS247" s="39">
        <f t="shared" si="1357"/>
        <v>-100</v>
      </c>
      <c r="AT247" s="40" t="str">
        <f t="shared" si="1358"/>
        <v>NO CONFORME</v>
      </c>
      <c r="AU247" s="8" t="b">
        <f t="shared" si="1280"/>
        <v>1</v>
      </c>
      <c r="AV247" s="8" t="b">
        <f t="shared" si="1281"/>
        <v>0</v>
      </c>
      <c r="AW247" s="8" t="b">
        <f t="shared" si="1282"/>
        <v>1</v>
      </c>
      <c r="AX247" s="8" t="str">
        <f t="shared" si="1283"/>
        <v>Qcorrecto</v>
      </c>
      <c r="AY247" s="22" t="str">
        <f t="shared" si="1263"/>
        <v>aceptable</v>
      </c>
      <c r="AZ247" s="22" t="str">
        <f t="shared" si="1264"/>
        <v>aceptable</v>
      </c>
      <c r="BA247" s="22" t="str">
        <f t="shared" si="1284"/>
        <v>aceptable</v>
      </c>
      <c r="BB247" s="25" t="str">
        <f t="shared" si="1285"/>
        <v>NO CONFORME</v>
      </c>
      <c r="BC247" s="5" t="str">
        <f t="shared" si="1286"/>
        <v>NO CONFORME</v>
      </c>
      <c r="BD247" s="15">
        <f t="shared" si="1265"/>
        <v>-1</v>
      </c>
      <c r="BE247" s="15">
        <f t="shared" si="1266"/>
        <v>-1</v>
      </c>
      <c r="BF247" s="15">
        <f t="shared" si="1267"/>
        <v>-1</v>
      </c>
      <c r="BG247" s="15" t="str">
        <f t="shared" si="1268"/>
        <v>-1-1-1</v>
      </c>
      <c r="BH247" s="15" t="str">
        <f t="shared" si="1269"/>
        <v>SD</v>
      </c>
      <c r="BI247" s="15" t="str">
        <f t="shared" si="1270"/>
        <v>SI</v>
      </c>
      <c r="BJ247" s="15" t="b">
        <f t="shared" si="1271"/>
        <v>1</v>
      </c>
      <c r="BK247" s="15" t="str">
        <f t="shared" si="1272"/>
        <v>SIGIGUALES</v>
      </c>
      <c r="BL247" s="22" t="str">
        <f t="shared" si="1273"/>
        <v>NO CONFORME</v>
      </c>
    </row>
    <row r="248" spans="1:64" ht="14.4" x14ac:dyDescent="0.3">
      <c r="A248" s="91">
        <v>240</v>
      </c>
      <c r="B248" s="28">
        <f t="shared" ref="B248:E248" si="1571">B247</f>
        <v>45920</v>
      </c>
      <c r="C248" s="28">
        <f t="shared" si="1571"/>
        <v>45920</v>
      </c>
      <c r="D248" s="12">
        <f t="shared" si="1571"/>
        <v>3</v>
      </c>
      <c r="E248" s="10">
        <f t="shared" si="1571"/>
        <v>8</v>
      </c>
      <c r="F248" s="13"/>
      <c r="G248" s="157"/>
      <c r="H248" s="70">
        <f t="shared" ref="H248:L248" si="1572">H247</f>
        <v>25.6</v>
      </c>
      <c r="I248" s="36">
        <f t="shared" si="1572"/>
        <v>0</v>
      </c>
      <c r="J248" s="35">
        <f t="shared" si="1572"/>
        <v>20.9</v>
      </c>
      <c r="K248" s="122">
        <f t="shared" si="1572"/>
        <v>8.4730000000000008</v>
      </c>
      <c r="L248" s="122">
        <f t="shared" si="1572"/>
        <v>0.52100000000000002</v>
      </c>
      <c r="M248" s="41"/>
      <c r="N248" s="41"/>
      <c r="O248" s="32">
        <f t="shared" ref="O248:P248" si="1573">O247</f>
        <v>100.48</v>
      </c>
      <c r="P248" s="168" t="str">
        <f t="shared" si="1573"/>
        <v>2,29,610</v>
      </c>
      <c r="Q248" s="11" t="str">
        <f t="shared" si="1339"/>
        <v>2</v>
      </c>
      <c r="R248" s="11" t="str">
        <f t="shared" si="1340"/>
        <v>29,610</v>
      </c>
      <c r="S248" s="11">
        <f t="shared" si="1341"/>
        <v>4.1558333333333336E-2</v>
      </c>
      <c r="T248" s="14">
        <f t="shared" si="1342"/>
        <v>2417.8062963705634</v>
      </c>
      <c r="U248" s="37">
        <f t="shared" si="1343"/>
        <v>-100</v>
      </c>
      <c r="V248" s="38">
        <f t="shared" ref="V248:W248" si="1574">V247</f>
        <v>21.3</v>
      </c>
      <c r="W248" s="124">
        <f t="shared" si="1574"/>
        <v>1.0960000000000001</v>
      </c>
      <c r="X248" s="124">
        <f t="shared" si="1495"/>
        <v>1.0880000000000001</v>
      </c>
      <c r="Y248" s="41"/>
      <c r="Z248" s="41"/>
      <c r="AA248" s="90">
        <f t="shared" ref="AA248:AB248" si="1575">AA247</f>
        <v>5.01</v>
      </c>
      <c r="AB248" s="73" t="str">
        <f t="shared" si="1575"/>
        <v>11,15,880</v>
      </c>
      <c r="AC248" s="11" t="str">
        <f t="shared" si="1346"/>
        <v>11</v>
      </c>
      <c r="AD248" s="11" t="str">
        <f t="shared" si="1347"/>
        <v>15,880</v>
      </c>
      <c r="AE248" s="11">
        <f t="shared" si="1348"/>
        <v>0.18774444444444444</v>
      </c>
      <c r="AF248" s="14">
        <f t="shared" si="1349"/>
        <v>26.685210392377346</v>
      </c>
      <c r="AG248" s="39">
        <f t="shared" si="1350"/>
        <v>-100</v>
      </c>
      <c r="AH248" s="38">
        <f t="shared" si="1503"/>
        <v>18.399999999999999</v>
      </c>
      <c r="AI248" s="124">
        <f t="shared" si="1503"/>
        <v>1.0980000000000001</v>
      </c>
      <c r="AJ248" s="124">
        <f t="shared" si="1503"/>
        <v>1.087</v>
      </c>
      <c r="AK248" s="41">
        <f t="shared" si="1351"/>
        <v>0</v>
      </c>
      <c r="AL248" s="41"/>
      <c r="AM248" s="34">
        <f t="shared" ref="AM248:AN248" si="1576">AM247</f>
        <v>2.0049999999999999</v>
      </c>
      <c r="AN248" s="33" t="str">
        <f t="shared" si="1576"/>
        <v>7,19,050</v>
      </c>
      <c r="AO248" s="11" t="str">
        <f t="shared" si="1353"/>
        <v>7,</v>
      </c>
      <c r="AP248" s="11" t="str">
        <f t="shared" si="1354"/>
        <v>19,050</v>
      </c>
      <c r="AQ248" s="11">
        <f t="shared" si="1355"/>
        <v>0.12195833333333334</v>
      </c>
      <c r="AR248" s="14">
        <f t="shared" si="1356"/>
        <v>16.44004099760847</v>
      </c>
      <c r="AS248" s="39">
        <f t="shared" si="1357"/>
        <v>-100</v>
      </c>
      <c r="AT248" s="40" t="str">
        <f t="shared" si="1358"/>
        <v>NO CONFORME</v>
      </c>
      <c r="AU248" s="8" t="b">
        <f t="shared" si="1280"/>
        <v>1</v>
      </c>
      <c r="AV248" s="8" t="b">
        <f t="shared" si="1281"/>
        <v>0</v>
      </c>
      <c r="AW248" s="8" t="b">
        <f t="shared" si="1282"/>
        <v>1</v>
      </c>
      <c r="AX248" s="8" t="str">
        <f t="shared" si="1283"/>
        <v>Qcorrecto</v>
      </c>
      <c r="AY248" s="22" t="str">
        <f t="shared" si="1263"/>
        <v>aceptable</v>
      </c>
      <c r="AZ248" s="22" t="str">
        <f t="shared" si="1264"/>
        <v>aceptable</v>
      </c>
      <c r="BA248" s="22" t="str">
        <f t="shared" si="1284"/>
        <v>aceptable</v>
      </c>
      <c r="BB248" s="25" t="str">
        <f t="shared" si="1285"/>
        <v>NO CONFORME</v>
      </c>
      <c r="BC248" s="5" t="str">
        <f t="shared" si="1286"/>
        <v>NO CONFORME</v>
      </c>
      <c r="BD248" s="15">
        <f t="shared" si="1265"/>
        <v>-1</v>
      </c>
      <c r="BE248" s="15">
        <f t="shared" si="1266"/>
        <v>-1</v>
      </c>
      <c r="BF248" s="15">
        <f t="shared" si="1267"/>
        <v>-1</v>
      </c>
      <c r="BG248" s="15" t="str">
        <f t="shared" si="1268"/>
        <v>-1-1-1</v>
      </c>
      <c r="BH248" s="15" t="str">
        <f t="shared" si="1269"/>
        <v>SD</v>
      </c>
      <c r="BI248" s="15" t="str">
        <f t="shared" si="1270"/>
        <v>SI</v>
      </c>
      <c r="BJ248" s="15" t="b">
        <f t="shared" si="1271"/>
        <v>1</v>
      </c>
      <c r="BK248" s="15" t="str">
        <f t="shared" si="1272"/>
        <v>SIGIGUALES</v>
      </c>
      <c r="BL248" s="22" t="str">
        <f t="shared" si="1273"/>
        <v>NO CONFORME</v>
      </c>
    </row>
    <row r="249" spans="1:64" ht="14.4" x14ac:dyDescent="0.3">
      <c r="A249" s="91">
        <v>241</v>
      </c>
      <c r="B249" s="28">
        <f t="shared" ref="B249:E249" si="1577">B248</f>
        <v>45920</v>
      </c>
      <c r="C249" s="28">
        <f t="shared" si="1577"/>
        <v>45920</v>
      </c>
      <c r="D249" s="12">
        <f t="shared" si="1577"/>
        <v>3</v>
      </c>
      <c r="E249" s="10">
        <f t="shared" si="1577"/>
        <v>8</v>
      </c>
      <c r="F249" s="13"/>
      <c r="G249" s="157"/>
      <c r="H249" s="70">
        <f t="shared" ref="H249:L249" si="1578">H248</f>
        <v>25.6</v>
      </c>
      <c r="I249" s="36">
        <f t="shared" si="1578"/>
        <v>0</v>
      </c>
      <c r="J249" s="35">
        <f t="shared" si="1578"/>
        <v>20.9</v>
      </c>
      <c r="K249" s="122">
        <f t="shared" si="1578"/>
        <v>8.4730000000000008</v>
      </c>
      <c r="L249" s="122">
        <f t="shared" si="1578"/>
        <v>0.52100000000000002</v>
      </c>
      <c r="M249" s="41"/>
      <c r="N249" s="41"/>
      <c r="O249" s="32">
        <f t="shared" ref="O249:P249" si="1579">O248</f>
        <v>100.48</v>
      </c>
      <c r="P249" s="168" t="str">
        <f t="shared" si="1579"/>
        <v>2,29,610</v>
      </c>
      <c r="Q249" s="11" t="str">
        <f t="shared" si="1339"/>
        <v>2</v>
      </c>
      <c r="R249" s="11" t="str">
        <f t="shared" si="1340"/>
        <v>29,610</v>
      </c>
      <c r="S249" s="11">
        <f t="shared" si="1341"/>
        <v>4.1558333333333336E-2</v>
      </c>
      <c r="T249" s="14">
        <f t="shared" si="1342"/>
        <v>2417.8062963705634</v>
      </c>
      <c r="U249" s="37">
        <f t="shared" si="1343"/>
        <v>-100</v>
      </c>
      <c r="V249" s="38">
        <f t="shared" ref="V249:W249" si="1580">V248</f>
        <v>21.3</v>
      </c>
      <c r="W249" s="124">
        <f t="shared" si="1580"/>
        <v>1.0960000000000001</v>
      </c>
      <c r="X249" s="124">
        <f t="shared" si="1495"/>
        <v>1.0880000000000001</v>
      </c>
      <c r="Y249" s="41"/>
      <c r="Z249" s="41"/>
      <c r="AA249" s="90">
        <f t="shared" ref="AA249:AB249" si="1581">AA248</f>
        <v>5.01</v>
      </c>
      <c r="AB249" s="73" t="str">
        <f t="shared" si="1581"/>
        <v>11,15,880</v>
      </c>
      <c r="AC249" s="11" t="str">
        <f t="shared" si="1346"/>
        <v>11</v>
      </c>
      <c r="AD249" s="11" t="str">
        <f t="shared" si="1347"/>
        <v>15,880</v>
      </c>
      <c r="AE249" s="11">
        <f t="shared" si="1348"/>
        <v>0.18774444444444444</v>
      </c>
      <c r="AF249" s="14">
        <f t="shared" si="1349"/>
        <v>26.685210392377346</v>
      </c>
      <c r="AG249" s="39">
        <f t="shared" si="1350"/>
        <v>-100</v>
      </c>
      <c r="AH249" s="38">
        <f t="shared" si="1503"/>
        <v>18.399999999999999</v>
      </c>
      <c r="AI249" s="124">
        <f t="shared" si="1503"/>
        <v>1.0980000000000001</v>
      </c>
      <c r="AJ249" s="124">
        <f t="shared" si="1503"/>
        <v>1.087</v>
      </c>
      <c r="AK249" s="41">
        <f t="shared" si="1351"/>
        <v>0</v>
      </c>
      <c r="AL249" s="41"/>
      <c r="AM249" s="34">
        <f t="shared" ref="AM249:AN249" si="1582">AM248</f>
        <v>2.0049999999999999</v>
      </c>
      <c r="AN249" s="33" t="str">
        <f t="shared" si="1582"/>
        <v>7,19,050</v>
      </c>
      <c r="AO249" s="11" t="str">
        <f t="shared" si="1353"/>
        <v>7,</v>
      </c>
      <c r="AP249" s="11" t="str">
        <f t="shared" si="1354"/>
        <v>19,050</v>
      </c>
      <c r="AQ249" s="11">
        <f t="shared" si="1355"/>
        <v>0.12195833333333334</v>
      </c>
      <c r="AR249" s="14">
        <f t="shared" si="1356"/>
        <v>16.44004099760847</v>
      </c>
      <c r="AS249" s="39">
        <f t="shared" si="1357"/>
        <v>-100</v>
      </c>
      <c r="AT249" s="40" t="str">
        <f t="shared" si="1358"/>
        <v>NO CONFORME</v>
      </c>
      <c r="AU249" s="8" t="b">
        <f t="shared" si="1280"/>
        <v>1</v>
      </c>
      <c r="AV249" s="8" t="b">
        <f t="shared" si="1281"/>
        <v>0</v>
      </c>
      <c r="AW249" s="8" t="b">
        <f t="shared" si="1282"/>
        <v>1</v>
      </c>
      <c r="AX249" s="8" t="str">
        <f t="shared" si="1283"/>
        <v>Qcorrecto</v>
      </c>
      <c r="AY249" s="22" t="str">
        <f t="shared" si="1263"/>
        <v>aceptable</v>
      </c>
      <c r="AZ249" s="22" t="str">
        <f t="shared" si="1264"/>
        <v>aceptable</v>
      </c>
      <c r="BA249" s="22" t="str">
        <f t="shared" si="1284"/>
        <v>aceptable</v>
      </c>
      <c r="BB249" s="25" t="str">
        <f t="shared" si="1285"/>
        <v>NO CONFORME</v>
      </c>
      <c r="BC249" s="5" t="str">
        <f t="shared" si="1286"/>
        <v>NO CONFORME</v>
      </c>
      <c r="BD249" s="15">
        <f t="shared" si="1265"/>
        <v>-1</v>
      </c>
      <c r="BE249" s="15">
        <f t="shared" si="1266"/>
        <v>-1</v>
      </c>
      <c r="BF249" s="15">
        <f t="shared" si="1267"/>
        <v>-1</v>
      </c>
      <c r="BG249" s="15" t="str">
        <f t="shared" si="1268"/>
        <v>-1-1-1</v>
      </c>
      <c r="BH249" s="15" t="str">
        <f t="shared" si="1269"/>
        <v>SD</v>
      </c>
      <c r="BI249" s="15" t="str">
        <f t="shared" si="1270"/>
        <v>SI</v>
      </c>
      <c r="BJ249" s="15" t="b">
        <f t="shared" si="1271"/>
        <v>1</v>
      </c>
      <c r="BK249" s="15" t="str">
        <f t="shared" si="1272"/>
        <v>SIGIGUALES</v>
      </c>
      <c r="BL249" s="22" t="str">
        <f t="shared" si="1273"/>
        <v>NO CONFORME</v>
      </c>
    </row>
    <row r="250" spans="1:64" ht="14.4" x14ac:dyDescent="0.3">
      <c r="A250" s="91">
        <v>242</v>
      </c>
      <c r="B250" s="28">
        <f t="shared" ref="B250:E250" si="1583">B249</f>
        <v>45920</v>
      </c>
      <c r="C250" s="28">
        <f t="shared" si="1583"/>
        <v>45920</v>
      </c>
      <c r="D250" s="12">
        <f t="shared" si="1583"/>
        <v>3</v>
      </c>
      <c r="E250" s="10">
        <f t="shared" si="1583"/>
        <v>8</v>
      </c>
      <c r="F250" s="13"/>
      <c r="G250" s="157"/>
      <c r="H250" s="70">
        <f t="shared" ref="H250:L250" si="1584">H249</f>
        <v>25.6</v>
      </c>
      <c r="I250" s="36">
        <f t="shared" si="1584"/>
        <v>0</v>
      </c>
      <c r="J250" s="35">
        <f t="shared" si="1584"/>
        <v>20.9</v>
      </c>
      <c r="K250" s="122">
        <f t="shared" si="1584"/>
        <v>8.4730000000000008</v>
      </c>
      <c r="L250" s="122">
        <f t="shared" si="1584"/>
        <v>0.52100000000000002</v>
      </c>
      <c r="M250" s="41"/>
      <c r="N250" s="41"/>
      <c r="O250" s="32">
        <f t="shared" ref="O250:P250" si="1585">O249</f>
        <v>100.48</v>
      </c>
      <c r="P250" s="168" t="str">
        <f t="shared" si="1585"/>
        <v>2,29,610</v>
      </c>
      <c r="Q250" s="11" t="str">
        <f t="shared" si="1339"/>
        <v>2</v>
      </c>
      <c r="R250" s="11" t="str">
        <f t="shared" si="1340"/>
        <v>29,610</v>
      </c>
      <c r="S250" s="11">
        <f t="shared" si="1341"/>
        <v>4.1558333333333336E-2</v>
      </c>
      <c r="T250" s="14">
        <f t="shared" si="1342"/>
        <v>2417.8062963705634</v>
      </c>
      <c r="U250" s="37">
        <f t="shared" si="1343"/>
        <v>-100</v>
      </c>
      <c r="V250" s="38">
        <f t="shared" ref="V250:W250" si="1586">V249</f>
        <v>21.3</v>
      </c>
      <c r="W250" s="124">
        <f t="shared" si="1586"/>
        <v>1.0960000000000001</v>
      </c>
      <c r="X250" s="124">
        <f t="shared" si="1495"/>
        <v>1.0880000000000001</v>
      </c>
      <c r="Y250" s="41"/>
      <c r="Z250" s="41"/>
      <c r="AA250" s="90">
        <f t="shared" ref="AA250:AB250" si="1587">AA249</f>
        <v>5.01</v>
      </c>
      <c r="AB250" s="73" t="str">
        <f t="shared" si="1587"/>
        <v>11,15,880</v>
      </c>
      <c r="AC250" s="11" t="str">
        <f t="shared" si="1346"/>
        <v>11</v>
      </c>
      <c r="AD250" s="11" t="str">
        <f t="shared" si="1347"/>
        <v>15,880</v>
      </c>
      <c r="AE250" s="11">
        <f t="shared" si="1348"/>
        <v>0.18774444444444444</v>
      </c>
      <c r="AF250" s="14">
        <f t="shared" si="1349"/>
        <v>26.685210392377346</v>
      </c>
      <c r="AG250" s="39">
        <f t="shared" si="1350"/>
        <v>-100</v>
      </c>
      <c r="AH250" s="38">
        <f t="shared" si="1503"/>
        <v>18.399999999999999</v>
      </c>
      <c r="AI250" s="124">
        <f t="shared" si="1503"/>
        <v>1.0980000000000001</v>
      </c>
      <c r="AJ250" s="124">
        <f t="shared" si="1503"/>
        <v>1.087</v>
      </c>
      <c r="AK250" s="41">
        <f t="shared" si="1351"/>
        <v>0</v>
      </c>
      <c r="AL250" s="41"/>
      <c r="AM250" s="34">
        <f t="shared" ref="AM250:AN250" si="1588">AM249</f>
        <v>2.0049999999999999</v>
      </c>
      <c r="AN250" s="33" t="str">
        <f t="shared" si="1588"/>
        <v>7,19,050</v>
      </c>
      <c r="AO250" s="11" t="str">
        <f t="shared" si="1353"/>
        <v>7,</v>
      </c>
      <c r="AP250" s="11" t="str">
        <f t="shared" si="1354"/>
        <v>19,050</v>
      </c>
      <c r="AQ250" s="11">
        <f t="shared" si="1355"/>
        <v>0.12195833333333334</v>
      </c>
      <c r="AR250" s="14">
        <f t="shared" si="1356"/>
        <v>16.44004099760847</v>
      </c>
      <c r="AS250" s="39">
        <f t="shared" si="1357"/>
        <v>-100</v>
      </c>
      <c r="AT250" s="40" t="str">
        <f t="shared" si="1358"/>
        <v>NO CONFORME</v>
      </c>
      <c r="AU250" s="8" t="b">
        <f t="shared" si="1280"/>
        <v>1</v>
      </c>
      <c r="AV250" s="8" t="b">
        <f t="shared" si="1281"/>
        <v>0</v>
      </c>
      <c r="AW250" s="8" t="b">
        <f t="shared" si="1282"/>
        <v>1</v>
      </c>
      <c r="AX250" s="8" t="str">
        <f t="shared" si="1283"/>
        <v>Qcorrecto</v>
      </c>
      <c r="AY250" s="22" t="str">
        <f t="shared" si="1263"/>
        <v>aceptable</v>
      </c>
      <c r="AZ250" s="22" t="str">
        <f t="shared" si="1264"/>
        <v>aceptable</v>
      </c>
      <c r="BA250" s="22" t="str">
        <f t="shared" si="1284"/>
        <v>aceptable</v>
      </c>
      <c r="BB250" s="25" t="str">
        <f t="shared" si="1285"/>
        <v>NO CONFORME</v>
      </c>
      <c r="BC250" s="5" t="str">
        <f t="shared" si="1286"/>
        <v>NO CONFORME</v>
      </c>
      <c r="BD250" s="15">
        <f t="shared" si="1265"/>
        <v>-1</v>
      </c>
      <c r="BE250" s="15">
        <f t="shared" si="1266"/>
        <v>-1</v>
      </c>
      <c r="BF250" s="15">
        <f t="shared" si="1267"/>
        <v>-1</v>
      </c>
      <c r="BG250" s="15" t="str">
        <f t="shared" si="1268"/>
        <v>-1-1-1</v>
      </c>
      <c r="BH250" s="15" t="str">
        <f t="shared" si="1269"/>
        <v>SD</v>
      </c>
      <c r="BI250" s="15" t="str">
        <f t="shared" si="1270"/>
        <v>SI</v>
      </c>
      <c r="BJ250" s="15" t="b">
        <f t="shared" si="1271"/>
        <v>1</v>
      </c>
      <c r="BK250" s="15" t="str">
        <f t="shared" si="1272"/>
        <v>SIGIGUALES</v>
      </c>
      <c r="BL250" s="22" t="str">
        <f t="shared" si="1273"/>
        <v>NO CONFORME</v>
      </c>
    </row>
    <row r="251" spans="1:64" ht="14.4" x14ac:dyDescent="0.3">
      <c r="A251" s="91">
        <v>243</v>
      </c>
      <c r="B251" s="28">
        <f t="shared" ref="B251:E251" si="1589">B250</f>
        <v>45920</v>
      </c>
      <c r="C251" s="28">
        <f t="shared" si="1589"/>
        <v>45920</v>
      </c>
      <c r="D251" s="12">
        <f t="shared" si="1589"/>
        <v>3</v>
      </c>
      <c r="E251" s="10">
        <f t="shared" si="1589"/>
        <v>8</v>
      </c>
      <c r="F251" s="13"/>
      <c r="G251" s="157"/>
      <c r="H251" s="70">
        <f t="shared" ref="H251:L251" si="1590">H250</f>
        <v>25.6</v>
      </c>
      <c r="I251" s="36">
        <f t="shared" si="1590"/>
        <v>0</v>
      </c>
      <c r="J251" s="35">
        <f t="shared" si="1590"/>
        <v>20.9</v>
      </c>
      <c r="K251" s="122">
        <f t="shared" si="1590"/>
        <v>8.4730000000000008</v>
      </c>
      <c r="L251" s="122">
        <f t="shared" si="1590"/>
        <v>0.52100000000000002</v>
      </c>
      <c r="M251" s="41"/>
      <c r="N251" s="41"/>
      <c r="O251" s="32">
        <f t="shared" ref="O251:P251" si="1591">O250</f>
        <v>100.48</v>
      </c>
      <c r="P251" s="168" t="str">
        <f t="shared" si="1591"/>
        <v>2,29,610</v>
      </c>
      <c r="Q251" s="11" t="str">
        <f t="shared" si="1339"/>
        <v>2</v>
      </c>
      <c r="R251" s="11" t="str">
        <f t="shared" si="1340"/>
        <v>29,610</v>
      </c>
      <c r="S251" s="11">
        <f t="shared" si="1341"/>
        <v>4.1558333333333336E-2</v>
      </c>
      <c r="T251" s="14">
        <f t="shared" si="1342"/>
        <v>2417.8062963705634</v>
      </c>
      <c r="U251" s="37">
        <f t="shared" si="1343"/>
        <v>-100</v>
      </c>
      <c r="V251" s="38">
        <f t="shared" ref="V251:X266" si="1592">V250</f>
        <v>21.3</v>
      </c>
      <c r="W251" s="124">
        <f t="shared" si="1592"/>
        <v>1.0960000000000001</v>
      </c>
      <c r="X251" s="124">
        <f t="shared" si="1592"/>
        <v>1.0880000000000001</v>
      </c>
      <c r="Y251" s="41"/>
      <c r="Z251" s="41"/>
      <c r="AA251" s="90">
        <f t="shared" ref="AA251:AB251" si="1593">AA250</f>
        <v>5.01</v>
      </c>
      <c r="AB251" s="73" t="str">
        <f t="shared" si="1593"/>
        <v>11,15,880</v>
      </c>
      <c r="AC251" s="11" t="str">
        <f t="shared" si="1346"/>
        <v>11</v>
      </c>
      <c r="AD251" s="11" t="str">
        <f t="shared" si="1347"/>
        <v>15,880</v>
      </c>
      <c r="AE251" s="11">
        <f t="shared" si="1348"/>
        <v>0.18774444444444444</v>
      </c>
      <c r="AF251" s="14">
        <f t="shared" si="1349"/>
        <v>26.685210392377346</v>
      </c>
      <c r="AG251" s="39">
        <f t="shared" si="1350"/>
        <v>-100</v>
      </c>
      <c r="AH251" s="38">
        <f t="shared" si="1503"/>
        <v>18.399999999999999</v>
      </c>
      <c r="AI251" s="124">
        <f t="shared" si="1503"/>
        <v>1.0980000000000001</v>
      </c>
      <c r="AJ251" s="124">
        <f t="shared" si="1503"/>
        <v>1.087</v>
      </c>
      <c r="AK251" s="41">
        <f t="shared" si="1351"/>
        <v>0</v>
      </c>
      <c r="AL251" s="41"/>
      <c r="AM251" s="34">
        <f t="shared" ref="AM251:AN251" si="1594">AM250</f>
        <v>2.0049999999999999</v>
      </c>
      <c r="AN251" s="33" t="str">
        <f t="shared" si="1594"/>
        <v>7,19,050</v>
      </c>
      <c r="AO251" s="11" t="str">
        <f t="shared" si="1353"/>
        <v>7,</v>
      </c>
      <c r="AP251" s="11" t="str">
        <f t="shared" si="1354"/>
        <v>19,050</v>
      </c>
      <c r="AQ251" s="11">
        <f t="shared" si="1355"/>
        <v>0.12195833333333334</v>
      </c>
      <c r="AR251" s="14">
        <f t="shared" si="1356"/>
        <v>16.44004099760847</v>
      </c>
      <c r="AS251" s="39">
        <f t="shared" si="1357"/>
        <v>-100</v>
      </c>
      <c r="AT251" s="40" t="str">
        <f t="shared" si="1358"/>
        <v>NO CONFORME</v>
      </c>
      <c r="AU251" s="8" t="b">
        <f t="shared" si="1280"/>
        <v>1</v>
      </c>
      <c r="AV251" s="8" t="b">
        <f t="shared" si="1281"/>
        <v>0</v>
      </c>
      <c r="AW251" s="8" t="b">
        <f t="shared" si="1282"/>
        <v>1</v>
      </c>
      <c r="AX251" s="8" t="str">
        <f t="shared" si="1283"/>
        <v>Qcorrecto</v>
      </c>
      <c r="AY251" s="22" t="str">
        <f t="shared" si="1263"/>
        <v>aceptable</v>
      </c>
      <c r="AZ251" s="22" t="str">
        <f t="shared" si="1264"/>
        <v>aceptable</v>
      </c>
      <c r="BA251" s="22" t="str">
        <f t="shared" si="1284"/>
        <v>aceptable</v>
      </c>
      <c r="BB251" s="25" t="str">
        <f t="shared" si="1285"/>
        <v>NO CONFORME</v>
      </c>
      <c r="BC251" s="5" t="str">
        <f t="shared" si="1286"/>
        <v>NO CONFORME</v>
      </c>
      <c r="BD251" s="15">
        <f t="shared" si="1265"/>
        <v>-1</v>
      </c>
      <c r="BE251" s="15">
        <f t="shared" si="1266"/>
        <v>-1</v>
      </c>
      <c r="BF251" s="15">
        <f t="shared" si="1267"/>
        <v>-1</v>
      </c>
      <c r="BG251" s="15" t="str">
        <f t="shared" si="1268"/>
        <v>-1-1-1</v>
      </c>
      <c r="BH251" s="15" t="str">
        <f t="shared" si="1269"/>
        <v>SD</v>
      </c>
      <c r="BI251" s="15" t="str">
        <f t="shared" si="1270"/>
        <v>SI</v>
      </c>
      <c r="BJ251" s="15" t="b">
        <f t="shared" si="1271"/>
        <v>1</v>
      </c>
      <c r="BK251" s="15" t="str">
        <f t="shared" si="1272"/>
        <v>SIGIGUALES</v>
      </c>
      <c r="BL251" s="22" t="str">
        <f t="shared" si="1273"/>
        <v>NO CONFORME</v>
      </c>
    </row>
    <row r="252" spans="1:64" ht="14.4" x14ac:dyDescent="0.3">
      <c r="A252" s="91">
        <v>244</v>
      </c>
      <c r="B252" s="28">
        <f t="shared" ref="B252:E252" si="1595">B251</f>
        <v>45920</v>
      </c>
      <c r="C252" s="28">
        <f t="shared" si="1595"/>
        <v>45920</v>
      </c>
      <c r="D252" s="12">
        <f t="shared" si="1595"/>
        <v>3</v>
      </c>
      <c r="E252" s="10">
        <f t="shared" si="1595"/>
        <v>8</v>
      </c>
      <c r="F252" s="13"/>
      <c r="G252" s="157"/>
      <c r="H252" s="70">
        <f t="shared" ref="H252:L252" si="1596">H251</f>
        <v>25.6</v>
      </c>
      <c r="I252" s="36">
        <f t="shared" si="1596"/>
        <v>0</v>
      </c>
      <c r="J252" s="35">
        <f t="shared" si="1596"/>
        <v>20.9</v>
      </c>
      <c r="K252" s="122">
        <f t="shared" si="1596"/>
        <v>8.4730000000000008</v>
      </c>
      <c r="L252" s="122">
        <f t="shared" si="1596"/>
        <v>0.52100000000000002</v>
      </c>
      <c r="M252" s="41"/>
      <c r="N252" s="41"/>
      <c r="O252" s="32">
        <f t="shared" ref="O252:P252" si="1597">O251</f>
        <v>100.48</v>
      </c>
      <c r="P252" s="168" t="str">
        <f t="shared" si="1597"/>
        <v>2,29,610</v>
      </c>
      <c r="Q252" s="11" t="str">
        <f t="shared" si="1339"/>
        <v>2</v>
      </c>
      <c r="R252" s="11" t="str">
        <f t="shared" si="1340"/>
        <v>29,610</v>
      </c>
      <c r="S252" s="11">
        <f t="shared" si="1341"/>
        <v>4.1558333333333336E-2</v>
      </c>
      <c r="T252" s="14">
        <f t="shared" si="1342"/>
        <v>2417.8062963705634</v>
      </c>
      <c r="U252" s="37">
        <f t="shared" si="1343"/>
        <v>-100</v>
      </c>
      <c r="V252" s="38">
        <f t="shared" ref="V252:W252" si="1598">V251</f>
        <v>21.3</v>
      </c>
      <c r="W252" s="124">
        <f t="shared" si="1598"/>
        <v>1.0960000000000001</v>
      </c>
      <c r="X252" s="124">
        <f t="shared" si="1592"/>
        <v>1.0880000000000001</v>
      </c>
      <c r="Y252" s="41"/>
      <c r="Z252" s="41"/>
      <c r="AA252" s="90">
        <f t="shared" ref="AA252:AB252" si="1599">AA251</f>
        <v>5.01</v>
      </c>
      <c r="AB252" s="73" t="str">
        <f t="shared" si="1599"/>
        <v>11,15,880</v>
      </c>
      <c r="AC252" s="11" t="str">
        <f t="shared" si="1346"/>
        <v>11</v>
      </c>
      <c r="AD252" s="11" t="str">
        <f t="shared" si="1347"/>
        <v>15,880</v>
      </c>
      <c r="AE252" s="11">
        <f t="shared" si="1348"/>
        <v>0.18774444444444444</v>
      </c>
      <c r="AF252" s="14">
        <f t="shared" si="1349"/>
        <v>26.685210392377346</v>
      </c>
      <c r="AG252" s="39">
        <f t="shared" si="1350"/>
        <v>-100</v>
      </c>
      <c r="AH252" s="38">
        <f t="shared" ref="AH252:AJ267" si="1600">AH251</f>
        <v>18.399999999999999</v>
      </c>
      <c r="AI252" s="124">
        <f t="shared" si="1600"/>
        <v>1.0980000000000001</v>
      </c>
      <c r="AJ252" s="124">
        <f t="shared" si="1600"/>
        <v>1.087</v>
      </c>
      <c r="AK252" s="41">
        <f t="shared" si="1351"/>
        <v>0</v>
      </c>
      <c r="AL252" s="41"/>
      <c r="AM252" s="34">
        <f t="shared" ref="AM252:AN252" si="1601">AM251</f>
        <v>2.0049999999999999</v>
      </c>
      <c r="AN252" s="33" t="str">
        <f t="shared" si="1601"/>
        <v>7,19,050</v>
      </c>
      <c r="AO252" s="11" t="str">
        <f t="shared" si="1353"/>
        <v>7,</v>
      </c>
      <c r="AP252" s="11" t="str">
        <f t="shared" si="1354"/>
        <v>19,050</v>
      </c>
      <c r="AQ252" s="11">
        <f t="shared" si="1355"/>
        <v>0.12195833333333334</v>
      </c>
      <c r="AR252" s="14">
        <f t="shared" si="1356"/>
        <v>16.44004099760847</v>
      </c>
      <c r="AS252" s="39">
        <f t="shared" si="1357"/>
        <v>-100</v>
      </c>
      <c r="AT252" s="40" t="str">
        <f t="shared" si="1358"/>
        <v>NO CONFORME</v>
      </c>
      <c r="AU252" s="8" t="b">
        <f t="shared" si="1280"/>
        <v>1</v>
      </c>
      <c r="AV252" s="8" t="b">
        <f t="shared" si="1281"/>
        <v>0</v>
      </c>
      <c r="AW252" s="8" t="b">
        <f t="shared" si="1282"/>
        <v>1</v>
      </c>
      <c r="AX252" s="8" t="str">
        <f t="shared" si="1283"/>
        <v>Qcorrecto</v>
      </c>
      <c r="AY252" s="22" t="str">
        <f t="shared" si="1263"/>
        <v>aceptable</v>
      </c>
      <c r="AZ252" s="22" t="str">
        <f t="shared" si="1264"/>
        <v>aceptable</v>
      </c>
      <c r="BA252" s="22" t="str">
        <f t="shared" si="1284"/>
        <v>aceptable</v>
      </c>
      <c r="BB252" s="25" t="str">
        <f t="shared" si="1285"/>
        <v>NO CONFORME</v>
      </c>
      <c r="BC252" s="5" t="str">
        <f t="shared" si="1286"/>
        <v>NO CONFORME</v>
      </c>
      <c r="BD252" s="15">
        <f t="shared" si="1265"/>
        <v>-1</v>
      </c>
      <c r="BE252" s="15">
        <f t="shared" si="1266"/>
        <v>-1</v>
      </c>
      <c r="BF252" s="15">
        <f t="shared" si="1267"/>
        <v>-1</v>
      </c>
      <c r="BG252" s="15" t="str">
        <f t="shared" si="1268"/>
        <v>-1-1-1</v>
      </c>
      <c r="BH252" s="15" t="str">
        <f t="shared" si="1269"/>
        <v>SD</v>
      </c>
      <c r="BI252" s="15" t="str">
        <f t="shared" si="1270"/>
        <v>SI</v>
      </c>
      <c r="BJ252" s="15" t="b">
        <f t="shared" si="1271"/>
        <v>1</v>
      </c>
      <c r="BK252" s="15" t="str">
        <f t="shared" si="1272"/>
        <v>SIGIGUALES</v>
      </c>
      <c r="BL252" s="22" t="str">
        <f t="shared" si="1273"/>
        <v>NO CONFORME</v>
      </c>
    </row>
    <row r="253" spans="1:64" ht="14.4" x14ac:dyDescent="0.3">
      <c r="A253" s="91">
        <v>245</v>
      </c>
      <c r="B253" s="28">
        <f t="shared" ref="B253:E253" si="1602">B252</f>
        <v>45920</v>
      </c>
      <c r="C253" s="28">
        <f t="shared" si="1602"/>
        <v>45920</v>
      </c>
      <c r="D253" s="12">
        <f t="shared" si="1602"/>
        <v>3</v>
      </c>
      <c r="E253" s="10">
        <f t="shared" si="1602"/>
        <v>8</v>
      </c>
      <c r="F253" s="13"/>
      <c r="G253" s="157"/>
      <c r="H253" s="70">
        <f t="shared" ref="H253:L253" si="1603">H252</f>
        <v>25.6</v>
      </c>
      <c r="I253" s="36">
        <f t="shared" si="1603"/>
        <v>0</v>
      </c>
      <c r="J253" s="35">
        <f t="shared" si="1603"/>
        <v>20.9</v>
      </c>
      <c r="K253" s="122">
        <f t="shared" si="1603"/>
        <v>8.4730000000000008</v>
      </c>
      <c r="L253" s="122">
        <f t="shared" si="1603"/>
        <v>0.52100000000000002</v>
      </c>
      <c r="M253" s="41"/>
      <c r="N253" s="41"/>
      <c r="O253" s="32">
        <f t="shared" ref="O253:P253" si="1604">O252</f>
        <v>100.48</v>
      </c>
      <c r="P253" s="168" t="str">
        <f t="shared" si="1604"/>
        <v>2,29,610</v>
      </c>
      <c r="Q253" s="11" t="str">
        <f t="shared" si="1339"/>
        <v>2</v>
      </c>
      <c r="R253" s="11" t="str">
        <f t="shared" si="1340"/>
        <v>29,610</v>
      </c>
      <c r="S253" s="11">
        <f t="shared" si="1341"/>
        <v>4.1558333333333336E-2</v>
      </c>
      <c r="T253" s="14">
        <f t="shared" si="1342"/>
        <v>2417.8062963705634</v>
      </c>
      <c r="U253" s="37">
        <f t="shared" si="1343"/>
        <v>-100</v>
      </c>
      <c r="V253" s="38">
        <f t="shared" ref="V253:W253" si="1605">V252</f>
        <v>21.3</v>
      </c>
      <c r="W253" s="124">
        <f t="shared" si="1605"/>
        <v>1.0960000000000001</v>
      </c>
      <c r="X253" s="124">
        <f t="shared" si="1592"/>
        <v>1.0880000000000001</v>
      </c>
      <c r="Y253" s="41"/>
      <c r="Z253" s="41"/>
      <c r="AA253" s="90">
        <f t="shared" ref="AA253:AB253" si="1606">AA252</f>
        <v>5.01</v>
      </c>
      <c r="AB253" s="73" t="str">
        <f t="shared" si="1606"/>
        <v>11,15,880</v>
      </c>
      <c r="AC253" s="11" t="str">
        <f t="shared" si="1346"/>
        <v>11</v>
      </c>
      <c r="AD253" s="11" t="str">
        <f t="shared" si="1347"/>
        <v>15,880</v>
      </c>
      <c r="AE253" s="11">
        <f t="shared" si="1348"/>
        <v>0.18774444444444444</v>
      </c>
      <c r="AF253" s="14">
        <f t="shared" si="1349"/>
        <v>26.685210392377346</v>
      </c>
      <c r="AG253" s="39">
        <f t="shared" si="1350"/>
        <v>-100</v>
      </c>
      <c r="AH253" s="38">
        <f t="shared" si="1600"/>
        <v>18.399999999999999</v>
      </c>
      <c r="AI253" s="124">
        <f t="shared" si="1600"/>
        <v>1.0980000000000001</v>
      </c>
      <c r="AJ253" s="124">
        <f t="shared" si="1600"/>
        <v>1.087</v>
      </c>
      <c r="AK253" s="41">
        <f t="shared" si="1351"/>
        <v>0</v>
      </c>
      <c r="AL253" s="41"/>
      <c r="AM253" s="34">
        <f t="shared" ref="AM253:AN253" si="1607">AM252</f>
        <v>2.0049999999999999</v>
      </c>
      <c r="AN253" s="33" t="str">
        <f t="shared" si="1607"/>
        <v>7,19,050</v>
      </c>
      <c r="AO253" s="11" t="str">
        <f t="shared" si="1353"/>
        <v>7,</v>
      </c>
      <c r="AP253" s="11" t="str">
        <f t="shared" si="1354"/>
        <v>19,050</v>
      </c>
      <c r="AQ253" s="11">
        <f t="shared" si="1355"/>
        <v>0.12195833333333334</v>
      </c>
      <c r="AR253" s="14">
        <f t="shared" si="1356"/>
        <v>16.44004099760847</v>
      </c>
      <c r="AS253" s="39">
        <f t="shared" si="1357"/>
        <v>-100</v>
      </c>
      <c r="AT253" s="40" t="str">
        <f t="shared" si="1358"/>
        <v>NO CONFORME</v>
      </c>
      <c r="AU253" s="8" t="b">
        <f t="shared" si="1280"/>
        <v>1</v>
      </c>
      <c r="AV253" s="8" t="b">
        <f t="shared" si="1281"/>
        <v>0</v>
      </c>
      <c r="AW253" s="8" t="b">
        <f t="shared" si="1282"/>
        <v>1</v>
      </c>
      <c r="AX253" s="8" t="str">
        <f t="shared" si="1283"/>
        <v>Qcorrecto</v>
      </c>
      <c r="AY253" s="22" t="str">
        <f t="shared" si="1263"/>
        <v>aceptable</v>
      </c>
      <c r="AZ253" s="22" t="str">
        <f t="shared" si="1264"/>
        <v>aceptable</v>
      </c>
      <c r="BA253" s="22" t="str">
        <f t="shared" si="1284"/>
        <v>aceptable</v>
      </c>
      <c r="BB253" s="25" t="str">
        <f t="shared" si="1285"/>
        <v>NO CONFORME</v>
      </c>
      <c r="BC253" s="5" t="str">
        <f t="shared" si="1286"/>
        <v>NO CONFORME</v>
      </c>
      <c r="BD253" s="15">
        <f t="shared" si="1265"/>
        <v>-1</v>
      </c>
      <c r="BE253" s="15">
        <f t="shared" si="1266"/>
        <v>-1</v>
      </c>
      <c r="BF253" s="15">
        <f t="shared" si="1267"/>
        <v>-1</v>
      </c>
      <c r="BG253" s="15" t="str">
        <f t="shared" si="1268"/>
        <v>-1-1-1</v>
      </c>
      <c r="BH253" s="15" t="str">
        <f t="shared" si="1269"/>
        <v>SD</v>
      </c>
      <c r="BI253" s="15" t="str">
        <f t="shared" si="1270"/>
        <v>SI</v>
      </c>
      <c r="BJ253" s="15" t="b">
        <f t="shared" si="1271"/>
        <v>1</v>
      </c>
      <c r="BK253" s="15" t="str">
        <f t="shared" si="1272"/>
        <v>SIGIGUALES</v>
      </c>
      <c r="BL253" s="22" t="str">
        <f t="shared" si="1273"/>
        <v>NO CONFORME</v>
      </c>
    </row>
    <row r="254" spans="1:64" ht="14.4" x14ac:dyDescent="0.3">
      <c r="A254" s="91">
        <v>246</v>
      </c>
      <c r="B254" s="28">
        <f t="shared" ref="B254:E254" si="1608">B253</f>
        <v>45920</v>
      </c>
      <c r="C254" s="28">
        <f t="shared" si="1608"/>
        <v>45920</v>
      </c>
      <c r="D254" s="12">
        <f t="shared" si="1608"/>
        <v>3</v>
      </c>
      <c r="E254" s="10">
        <f t="shared" si="1608"/>
        <v>8</v>
      </c>
      <c r="F254" s="13"/>
      <c r="G254" s="157"/>
      <c r="H254" s="70">
        <f t="shared" ref="H254:L254" si="1609">H253</f>
        <v>25.6</v>
      </c>
      <c r="I254" s="36">
        <f t="shared" si="1609"/>
        <v>0</v>
      </c>
      <c r="J254" s="35">
        <f t="shared" si="1609"/>
        <v>20.9</v>
      </c>
      <c r="K254" s="122">
        <f t="shared" si="1609"/>
        <v>8.4730000000000008</v>
      </c>
      <c r="L254" s="122">
        <f t="shared" si="1609"/>
        <v>0.52100000000000002</v>
      </c>
      <c r="M254" s="41"/>
      <c r="N254" s="41"/>
      <c r="O254" s="32">
        <f t="shared" ref="O254:P254" si="1610">O253</f>
        <v>100.48</v>
      </c>
      <c r="P254" s="168" t="str">
        <f t="shared" si="1610"/>
        <v>2,29,610</v>
      </c>
      <c r="Q254" s="11" t="str">
        <f t="shared" si="1339"/>
        <v>2</v>
      </c>
      <c r="R254" s="11" t="str">
        <f t="shared" si="1340"/>
        <v>29,610</v>
      </c>
      <c r="S254" s="11">
        <f t="shared" si="1341"/>
        <v>4.1558333333333336E-2</v>
      </c>
      <c r="T254" s="14">
        <f t="shared" si="1342"/>
        <v>2417.8062963705634</v>
      </c>
      <c r="U254" s="37">
        <f t="shared" si="1343"/>
        <v>-100</v>
      </c>
      <c r="V254" s="38">
        <f t="shared" ref="V254:W254" si="1611">V253</f>
        <v>21.3</v>
      </c>
      <c r="W254" s="124">
        <f t="shared" si="1611"/>
        <v>1.0960000000000001</v>
      </c>
      <c r="X254" s="124">
        <f t="shared" si="1592"/>
        <v>1.0880000000000001</v>
      </c>
      <c r="Y254" s="41"/>
      <c r="Z254" s="41"/>
      <c r="AA254" s="90">
        <f t="shared" ref="AA254:AB254" si="1612">AA253</f>
        <v>5.01</v>
      </c>
      <c r="AB254" s="73" t="str">
        <f t="shared" si="1612"/>
        <v>11,15,880</v>
      </c>
      <c r="AC254" s="11" t="str">
        <f t="shared" si="1346"/>
        <v>11</v>
      </c>
      <c r="AD254" s="11" t="str">
        <f t="shared" si="1347"/>
        <v>15,880</v>
      </c>
      <c r="AE254" s="11">
        <f t="shared" si="1348"/>
        <v>0.18774444444444444</v>
      </c>
      <c r="AF254" s="14">
        <f t="shared" si="1349"/>
        <v>26.685210392377346</v>
      </c>
      <c r="AG254" s="39">
        <f t="shared" si="1350"/>
        <v>-100</v>
      </c>
      <c r="AH254" s="38">
        <f t="shared" si="1600"/>
        <v>18.399999999999999</v>
      </c>
      <c r="AI254" s="124">
        <f t="shared" si="1600"/>
        <v>1.0980000000000001</v>
      </c>
      <c r="AJ254" s="124">
        <f t="shared" si="1600"/>
        <v>1.087</v>
      </c>
      <c r="AK254" s="41">
        <f t="shared" si="1351"/>
        <v>0</v>
      </c>
      <c r="AL254" s="41"/>
      <c r="AM254" s="34">
        <f t="shared" ref="AM254:AN254" si="1613">AM253</f>
        <v>2.0049999999999999</v>
      </c>
      <c r="AN254" s="33" t="str">
        <f t="shared" si="1613"/>
        <v>7,19,050</v>
      </c>
      <c r="AO254" s="11" t="str">
        <f t="shared" si="1353"/>
        <v>7,</v>
      </c>
      <c r="AP254" s="11" t="str">
        <f t="shared" si="1354"/>
        <v>19,050</v>
      </c>
      <c r="AQ254" s="11">
        <f t="shared" si="1355"/>
        <v>0.12195833333333334</v>
      </c>
      <c r="AR254" s="14">
        <f t="shared" si="1356"/>
        <v>16.44004099760847</v>
      </c>
      <c r="AS254" s="39">
        <f t="shared" si="1357"/>
        <v>-100</v>
      </c>
      <c r="AT254" s="40" t="str">
        <f t="shared" si="1358"/>
        <v>NO CONFORME</v>
      </c>
      <c r="AU254" s="8" t="b">
        <f t="shared" si="1280"/>
        <v>1</v>
      </c>
      <c r="AV254" s="8" t="b">
        <f t="shared" si="1281"/>
        <v>0</v>
      </c>
      <c r="AW254" s="8" t="b">
        <f t="shared" si="1282"/>
        <v>1</v>
      </c>
      <c r="AX254" s="8" t="str">
        <f t="shared" si="1283"/>
        <v>Qcorrecto</v>
      </c>
      <c r="AY254" s="22" t="str">
        <f t="shared" si="1263"/>
        <v>aceptable</v>
      </c>
      <c r="AZ254" s="22" t="str">
        <f t="shared" si="1264"/>
        <v>aceptable</v>
      </c>
      <c r="BA254" s="22" t="str">
        <f t="shared" si="1284"/>
        <v>aceptable</v>
      </c>
      <c r="BB254" s="25" t="str">
        <f t="shared" si="1285"/>
        <v>NO CONFORME</v>
      </c>
      <c r="BC254" s="5" t="str">
        <f t="shared" si="1286"/>
        <v>NO CONFORME</v>
      </c>
      <c r="BD254" s="15">
        <f t="shared" si="1265"/>
        <v>-1</v>
      </c>
      <c r="BE254" s="15">
        <f t="shared" si="1266"/>
        <v>-1</v>
      </c>
      <c r="BF254" s="15">
        <f t="shared" si="1267"/>
        <v>-1</v>
      </c>
      <c r="BG254" s="15" t="str">
        <f t="shared" si="1268"/>
        <v>-1-1-1</v>
      </c>
      <c r="BH254" s="15" t="str">
        <f t="shared" si="1269"/>
        <v>SD</v>
      </c>
      <c r="BI254" s="15" t="str">
        <f t="shared" si="1270"/>
        <v>SI</v>
      </c>
      <c r="BJ254" s="15" t="b">
        <f t="shared" si="1271"/>
        <v>1</v>
      </c>
      <c r="BK254" s="15" t="str">
        <f t="shared" si="1272"/>
        <v>SIGIGUALES</v>
      </c>
      <c r="BL254" s="22" t="str">
        <f t="shared" si="1273"/>
        <v>NO CONFORME</v>
      </c>
    </row>
    <row r="255" spans="1:64" ht="14.4" x14ac:dyDescent="0.3">
      <c r="A255" s="91">
        <v>247</v>
      </c>
      <c r="B255" s="28">
        <f t="shared" ref="B255:E255" si="1614">B254</f>
        <v>45920</v>
      </c>
      <c r="C255" s="28">
        <f t="shared" si="1614"/>
        <v>45920</v>
      </c>
      <c r="D255" s="12">
        <f t="shared" si="1614"/>
        <v>3</v>
      </c>
      <c r="E255" s="10">
        <f t="shared" si="1614"/>
        <v>8</v>
      </c>
      <c r="F255" s="13"/>
      <c r="G255" s="157"/>
      <c r="H255" s="70">
        <f t="shared" ref="H255:L255" si="1615">H254</f>
        <v>25.6</v>
      </c>
      <c r="I255" s="36">
        <f t="shared" si="1615"/>
        <v>0</v>
      </c>
      <c r="J255" s="35">
        <f t="shared" si="1615"/>
        <v>20.9</v>
      </c>
      <c r="K255" s="122">
        <f t="shared" si="1615"/>
        <v>8.4730000000000008</v>
      </c>
      <c r="L255" s="122">
        <f t="shared" si="1615"/>
        <v>0.52100000000000002</v>
      </c>
      <c r="M255" s="41"/>
      <c r="N255" s="41"/>
      <c r="O255" s="32">
        <f t="shared" ref="O255:P255" si="1616">O254</f>
        <v>100.48</v>
      </c>
      <c r="P255" s="168" t="str">
        <f t="shared" si="1616"/>
        <v>2,29,610</v>
      </c>
      <c r="Q255" s="11" t="str">
        <f t="shared" si="1339"/>
        <v>2</v>
      </c>
      <c r="R255" s="11" t="str">
        <f t="shared" si="1340"/>
        <v>29,610</v>
      </c>
      <c r="S255" s="11">
        <f t="shared" si="1341"/>
        <v>4.1558333333333336E-2</v>
      </c>
      <c r="T255" s="14">
        <f t="shared" si="1342"/>
        <v>2417.8062963705634</v>
      </c>
      <c r="U255" s="37">
        <f t="shared" si="1343"/>
        <v>-100</v>
      </c>
      <c r="V255" s="38">
        <f t="shared" ref="V255:W255" si="1617">V254</f>
        <v>21.3</v>
      </c>
      <c r="W255" s="124">
        <f t="shared" si="1617"/>
        <v>1.0960000000000001</v>
      </c>
      <c r="X255" s="124">
        <f t="shared" si="1592"/>
        <v>1.0880000000000001</v>
      </c>
      <c r="Y255" s="41"/>
      <c r="Z255" s="41"/>
      <c r="AA255" s="90">
        <f t="shared" ref="AA255:AB255" si="1618">AA254</f>
        <v>5.01</v>
      </c>
      <c r="AB255" s="73" t="str">
        <f t="shared" si="1618"/>
        <v>11,15,880</v>
      </c>
      <c r="AC255" s="11" t="str">
        <f t="shared" si="1346"/>
        <v>11</v>
      </c>
      <c r="AD255" s="11" t="str">
        <f t="shared" si="1347"/>
        <v>15,880</v>
      </c>
      <c r="AE255" s="11">
        <f t="shared" si="1348"/>
        <v>0.18774444444444444</v>
      </c>
      <c r="AF255" s="14">
        <f t="shared" si="1349"/>
        <v>26.685210392377346</v>
      </c>
      <c r="AG255" s="39">
        <f t="shared" si="1350"/>
        <v>-100</v>
      </c>
      <c r="AH255" s="38">
        <f t="shared" si="1600"/>
        <v>18.399999999999999</v>
      </c>
      <c r="AI255" s="124">
        <f t="shared" si="1600"/>
        <v>1.0980000000000001</v>
      </c>
      <c r="AJ255" s="124">
        <f t="shared" si="1600"/>
        <v>1.087</v>
      </c>
      <c r="AK255" s="41">
        <f t="shared" si="1351"/>
        <v>0</v>
      </c>
      <c r="AL255" s="41"/>
      <c r="AM255" s="34">
        <f t="shared" ref="AM255:AN255" si="1619">AM254</f>
        <v>2.0049999999999999</v>
      </c>
      <c r="AN255" s="33" t="str">
        <f t="shared" si="1619"/>
        <v>7,19,050</v>
      </c>
      <c r="AO255" s="11" t="str">
        <f t="shared" si="1353"/>
        <v>7,</v>
      </c>
      <c r="AP255" s="11" t="str">
        <f t="shared" si="1354"/>
        <v>19,050</v>
      </c>
      <c r="AQ255" s="11">
        <f t="shared" si="1355"/>
        <v>0.12195833333333334</v>
      </c>
      <c r="AR255" s="14">
        <f t="shared" si="1356"/>
        <v>16.44004099760847</v>
      </c>
      <c r="AS255" s="39">
        <f t="shared" si="1357"/>
        <v>-100</v>
      </c>
      <c r="AT255" s="40" t="str">
        <f t="shared" si="1358"/>
        <v>NO CONFORME</v>
      </c>
      <c r="AU255" s="8" t="b">
        <f t="shared" si="1280"/>
        <v>1</v>
      </c>
      <c r="AV255" s="8" t="b">
        <f t="shared" si="1281"/>
        <v>0</v>
      </c>
      <c r="AW255" s="8" t="b">
        <f t="shared" si="1282"/>
        <v>1</v>
      </c>
      <c r="AX255" s="8" t="str">
        <f t="shared" si="1283"/>
        <v>Qcorrecto</v>
      </c>
      <c r="AY255" s="22" t="str">
        <f t="shared" si="1263"/>
        <v>aceptable</v>
      </c>
      <c r="AZ255" s="22" t="str">
        <f t="shared" si="1264"/>
        <v>aceptable</v>
      </c>
      <c r="BA255" s="22" t="str">
        <f t="shared" si="1284"/>
        <v>aceptable</v>
      </c>
      <c r="BB255" s="25" t="str">
        <f t="shared" si="1285"/>
        <v>NO CONFORME</v>
      </c>
      <c r="BC255" s="5" t="str">
        <f t="shared" si="1286"/>
        <v>NO CONFORME</v>
      </c>
      <c r="BD255" s="15">
        <f t="shared" si="1265"/>
        <v>-1</v>
      </c>
      <c r="BE255" s="15">
        <f t="shared" si="1266"/>
        <v>-1</v>
      </c>
      <c r="BF255" s="15">
        <f t="shared" si="1267"/>
        <v>-1</v>
      </c>
      <c r="BG255" s="15" t="str">
        <f t="shared" si="1268"/>
        <v>-1-1-1</v>
      </c>
      <c r="BH255" s="15" t="str">
        <f t="shared" si="1269"/>
        <v>SD</v>
      </c>
      <c r="BI255" s="15" t="str">
        <f t="shared" si="1270"/>
        <v>SI</v>
      </c>
      <c r="BJ255" s="15" t="b">
        <f t="shared" si="1271"/>
        <v>1</v>
      </c>
      <c r="BK255" s="15" t="str">
        <f t="shared" si="1272"/>
        <v>SIGIGUALES</v>
      </c>
      <c r="BL255" s="22" t="str">
        <f t="shared" si="1273"/>
        <v>NO CONFORME</v>
      </c>
    </row>
    <row r="256" spans="1:64" ht="14.4" x14ac:dyDescent="0.3">
      <c r="A256" s="91">
        <v>248</v>
      </c>
      <c r="B256" s="28">
        <f t="shared" ref="B256:E256" si="1620">B255</f>
        <v>45920</v>
      </c>
      <c r="C256" s="28">
        <f t="shared" si="1620"/>
        <v>45920</v>
      </c>
      <c r="D256" s="12">
        <f t="shared" si="1620"/>
        <v>3</v>
      </c>
      <c r="E256" s="10">
        <f t="shared" si="1620"/>
        <v>8</v>
      </c>
      <c r="F256" s="13"/>
      <c r="G256" s="157"/>
      <c r="H256" s="70">
        <f t="shared" ref="H256:L256" si="1621">H255</f>
        <v>25.6</v>
      </c>
      <c r="I256" s="36">
        <f t="shared" si="1621"/>
        <v>0</v>
      </c>
      <c r="J256" s="35">
        <f t="shared" si="1621"/>
        <v>20.9</v>
      </c>
      <c r="K256" s="122">
        <f t="shared" si="1621"/>
        <v>8.4730000000000008</v>
      </c>
      <c r="L256" s="122">
        <f t="shared" si="1621"/>
        <v>0.52100000000000002</v>
      </c>
      <c r="M256" s="41"/>
      <c r="N256" s="41"/>
      <c r="O256" s="32">
        <f t="shared" ref="O256:P256" si="1622">O255</f>
        <v>100.48</v>
      </c>
      <c r="P256" s="168" t="str">
        <f t="shared" si="1622"/>
        <v>2,29,610</v>
      </c>
      <c r="Q256" s="11" t="str">
        <f t="shared" si="1339"/>
        <v>2</v>
      </c>
      <c r="R256" s="11" t="str">
        <f t="shared" si="1340"/>
        <v>29,610</v>
      </c>
      <c r="S256" s="11">
        <f t="shared" si="1341"/>
        <v>4.1558333333333336E-2</v>
      </c>
      <c r="T256" s="14">
        <f t="shared" si="1342"/>
        <v>2417.8062963705634</v>
      </c>
      <c r="U256" s="37">
        <f t="shared" si="1343"/>
        <v>-100</v>
      </c>
      <c r="V256" s="38">
        <f t="shared" ref="V256:W256" si="1623">V255</f>
        <v>21.3</v>
      </c>
      <c r="W256" s="124">
        <f t="shared" si="1623"/>
        <v>1.0960000000000001</v>
      </c>
      <c r="X256" s="124">
        <f t="shared" si="1592"/>
        <v>1.0880000000000001</v>
      </c>
      <c r="Y256" s="41"/>
      <c r="Z256" s="41"/>
      <c r="AA256" s="90">
        <f t="shared" ref="AA256:AB256" si="1624">AA255</f>
        <v>5.01</v>
      </c>
      <c r="AB256" s="73" t="str">
        <f t="shared" si="1624"/>
        <v>11,15,880</v>
      </c>
      <c r="AC256" s="11" t="str">
        <f t="shared" si="1346"/>
        <v>11</v>
      </c>
      <c r="AD256" s="11" t="str">
        <f t="shared" si="1347"/>
        <v>15,880</v>
      </c>
      <c r="AE256" s="11">
        <f t="shared" si="1348"/>
        <v>0.18774444444444444</v>
      </c>
      <c r="AF256" s="14">
        <f t="shared" si="1349"/>
        <v>26.685210392377346</v>
      </c>
      <c r="AG256" s="39">
        <f t="shared" si="1350"/>
        <v>-100</v>
      </c>
      <c r="AH256" s="38">
        <f t="shared" si="1600"/>
        <v>18.399999999999999</v>
      </c>
      <c r="AI256" s="124">
        <f t="shared" si="1600"/>
        <v>1.0980000000000001</v>
      </c>
      <c r="AJ256" s="124">
        <f t="shared" si="1600"/>
        <v>1.087</v>
      </c>
      <c r="AK256" s="41">
        <f t="shared" si="1351"/>
        <v>0</v>
      </c>
      <c r="AL256" s="41"/>
      <c r="AM256" s="34">
        <f t="shared" ref="AM256:AN256" si="1625">AM255</f>
        <v>2.0049999999999999</v>
      </c>
      <c r="AN256" s="33" t="str">
        <f t="shared" si="1625"/>
        <v>7,19,050</v>
      </c>
      <c r="AO256" s="11" t="str">
        <f t="shared" si="1353"/>
        <v>7,</v>
      </c>
      <c r="AP256" s="11" t="str">
        <f t="shared" si="1354"/>
        <v>19,050</v>
      </c>
      <c r="AQ256" s="11">
        <f t="shared" si="1355"/>
        <v>0.12195833333333334</v>
      </c>
      <c r="AR256" s="14">
        <f t="shared" si="1356"/>
        <v>16.44004099760847</v>
      </c>
      <c r="AS256" s="39">
        <f t="shared" si="1357"/>
        <v>-100</v>
      </c>
      <c r="AT256" s="40" t="str">
        <f t="shared" si="1358"/>
        <v>NO CONFORME</v>
      </c>
      <c r="AU256" s="8" t="b">
        <f t="shared" si="1280"/>
        <v>1</v>
      </c>
      <c r="AV256" s="8" t="b">
        <f t="shared" si="1281"/>
        <v>0</v>
      </c>
      <c r="AW256" s="8" t="b">
        <f t="shared" si="1282"/>
        <v>1</v>
      </c>
      <c r="AX256" s="8" t="str">
        <f t="shared" si="1283"/>
        <v>Qcorrecto</v>
      </c>
      <c r="AY256" s="22" t="str">
        <f t="shared" si="1263"/>
        <v>aceptable</v>
      </c>
      <c r="AZ256" s="22" t="str">
        <f t="shared" si="1264"/>
        <v>aceptable</v>
      </c>
      <c r="BA256" s="22" t="str">
        <f t="shared" si="1284"/>
        <v>aceptable</v>
      </c>
      <c r="BB256" s="25" t="str">
        <f t="shared" si="1285"/>
        <v>NO CONFORME</v>
      </c>
      <c r="BC256" s="5" t="str">
        <f t="shared" si="1286"/>
        <v>NO CONFORME</v>
      </c>
      <c r="BD256" s="15">
        <f t="shared" si="1265"/>
        <v>-1</v>
      </c>
      <c r="BE256" s="15">
        <f t="shared" si="1266"/>
        <v>-1</v>
      </c>
      <c r="BF256" s="15">
        <f t="shared" si="1267"/>
        <v>-1</v>
      </c>
      <c r="BG256" s="15" t="str">
        <f t="shared" si="1268"/>
        <v>-1-1-1</v>
      </c>
      <c r="BH256" s="15" t="str">
        <f t="shared" si="1269"/>
        <v>SD</v>
      </c>
      <c r="BI256" s="15" t="str">
        <f t="shared" si="1270"/>
        <v>SI</v>
      </c>
      <c r="BJ256" s="15" t="b">
        <f t="shared" si="1271"/>
        <v>1</v>
      </c>
      <c r="BK256" s="15" t="str">
        <f t="shared" si="1272"/>
        <v>SIGIGUALES</v>
      </c>
      <c r="BL256" s="22" t="str">
        <f t="shared" si="1273"/>
        <v>NO CONFORME</v>
      </c>
    </row>
    <row r="257" spans="1:64" ht="14.4" x14ac:dyDescent="0.3">
      <c r="A257" s="91">
        <v>249</v>
      </c>
      <c r="B257" s="28">
        <f t="shared" ref="B257:E257" si="1626">B256</f>
        <v>45920</v>
      </c>
      <c r="C257" s="28">
        <f t="shared" si="1626"/>
        <v>45920</v>
      </c>
      <c r="D257" s="12">
        <f t="shared" si="1626"/>
        <v>3</v>
      </c>
      <c r="E257" s="10">
        <f t="shared" si="1626"/>
        <v>8</v>
      </c>
      <c r="F257" s="13"/>
      <c r="G257" s="157"/>
      <c r="H257" s="70">
        <f t="shared" ref="H257:L257" si="1627">H256</f>
        <v>25.6</v>
      </c>
      <c r="I257" s="36">
        <f t="shared" si="1627"/>
        <v>0</v>
      </c>
      <c r="J257" s="35">
        <f t="shared" si="1627"/>
        <v>20.9</v>
      </c>
      <c r="K257" s="122">
        <f t="shared" si="1627"/>
        <v>8.4730000000000008</v>
      </c>
      <c r="L257" s="122">
        <f t="shared" si="1627"/>
        <v>0.52100000000000002</v>
      </c>
      <c r="M257" s="41"/>
      <c r="N257" s="41"/>
      <c r="O257" s="32">
        <f t="shared" ref="O257:P257" si="1628">O256</f>
        <v>100.48</v>
      </c>
      <c r="P257" s="168" t="str">
        <f t="shared" si="1628"/>
        <v>2,29,610</v>
      </c>
      <c r="Q257" s="11" t="str">
        <f t="shared" si="1339"/>
        <v>2</v>
      </c>
      <c r="R257" s="11" t="str">
        <f t="shared" si="1340"/>
        <v>29,610</v>
      </c>
      <c r="S257" s="11">
        <f t="shared" si="1341"/>
        <v>4.1558333333333336E-2</v>
      </c>
      <c r="T257" s="14">
        <f t="shared" si="1342"/>
        <v>2417.8062963705634</v>
      </c>
      <c r="U257" s="37">
        <f t="shared" si="1343"/>
        <v>-100</v>
      </c>
      <c r="V257" s="38">
        <f t="shared" ref="V257:W257" si="1629">V256</f>
        <v>21.3</v>
      </c>
      <c r="W257" s="124">
        <f t="shared" si="1629"/>
        <v>1.0960000000000001</v>
      </c>
      <c r="X257" s="124">
        <f t="shared" si="1592"/>
        <v>1.0880000000000001</v>
      </c>
      <c r="Y257" s="41"/>
      <c r="Z257" s="41"/>
      <c r="AA257" s="90">
        <f t="shared" ref="AA257:AB257" si="1630">AA256</f>
        <v>5.01</v>
      </c>
      <c r="AB257" s="73" t="str">
        <f t="shared" si="1630"/>
        <v>11,15,880</v>
      </c>
      <c r="AC257" s="11" t="str">
        <f t="shared" si="1346"/>
        <v>11</v>
      </c>
      <c r="AD257" s="11" t="str">
        <f t="shared" si="1347"/>
        <v>15,880</v>
      </c>
      <c r="AE257" s="11">
        <f t="shared" si="1348"/>
        <v>0.18774444444444444</v>
      </c>
      <c r="AF257" s="14">
        <f t="shared" si="1349"/>
        <v>26.685210392377346</v>
      </c>
      <c r="AG257" s="39">
        <f t="shared" si="1350"/>
        <v>-100</v>
      </c>
      <c r="AH257" s="38">
        <f t="shared" si="1600"/>
        <v>18.399999999999999</v>
      </c>
      <c r="AI257" s="124">
        <f t="shared" si="1600"/>
        <v>1.0980000000000001</v>
      </c>
      <c r="AJ257" s="124">
        <f t="shared" si="1600"/>
        <v>1.087</v>
      </c>
      <c r="AK257" s="41">
        <f t="shared" si="1351"/>
        <v>0</v>
      </c>
      <c r="AL257" s="41"/>
      <c r="AM257" s="34">
        <f t="shared" ref="AM257:AN257" si="1631">AM256</f>
        <v>2.0049999999999999</v>
      </c>
      <c r="AN257" s="33" t="str">
        <f t="shared" si="1631"/>
        <v>7,19,050</v>
      </c>
      <c r="AO257" s="11" t="str">
        <f t="shared" si="1353"/>
        <v>7,</v>
      </c>
      <c r="AP257" s="11" t="str">
        <f t="shared" si="1354"/>
        <v>19,050</v>
      </c>
      <c r="AQ257" s="11">
        <f t="shared" si="1355"/>
        <v>0.12195833333333334</v>
      </c>
      <c r="AR257" s="14">
        <f t="shared" si="1356"/>
        <v>16.44004099760847</v>
      </c>
      <c r="AS257" s="39">
        <f t="shared" si="1357"/>
        <v>-100</v>
      </c>
      <c r="AT257" s="40" t="str">
        <f t="shared" si="1358"/>
        <v>NO CONFORME</v>
      </c>
      <c r="AU257" s="8" t="b">
        <f t="shared" si="1280"/>
        <v>1</v>
      </c>
      <c r="AV257" s="8" t="b">
        <f t="shared" si="1281"/>
        <v>0</v>
      </c>
      <c r="AW257" s="8" t="b">
        <f t="shared" si="1282"/>
        <v>1</v>
      </c>
      <c r="AX257" s="8" t="str">
        <f t="shared" si="1283"/>
        <v>Qcorrecto</v>
      </c>
      <c r="AY257" s="22" t="str">
        <f t="shared" si="1263"/>
        <v>aceptable</v>
      </c>
      <c r="AZ257" s="22" t="str">
        <f t="shared" si="1264"/>
        <v>aceptable</v>
      </c>
      <c r="BA257" s="22" t="str">
        <f t="shared" si="1284"/>
        <v>aceptable</v>
      </c>
      <c r="BB257" s="25" t="str">
        <f t="shared" si="1285"/>
        <v>NO CONFORME</v>
      </c>
      <c r="BC257" s="5" t="str">
        <f t="shared" si="1286"/>
        <v>NO CONFORME</v>
      </c>
      <c r="BD257" s="15">
        <f t="shared" si="1265"/>
        <v>-1</v>
      </c>
      <c r="BE257" s="15">
        <f t="shared" si="1266"/>
        <v>-1</v>
      </c>
      <c r="BF257" s="15">
        <f t="shared" si="1267"/>
        <v>-1</v>
      </c>
      <c r="BG257" s="15" t="str">
        <f t="shared" si="1268"/>
        <v>-1-1-1</v>
      </c>
      <c r="BH257" s="15" t="str">
        <f t="shared" si="1269"/>
        <v>SD</v>
      </c>
      <c r="BI257" s="15" t="str">
        <f t="shared" si="1270"/>
        <v>SI</v>
      </c>
      <c r="BJ257" s="15" t="b">
        <f t="shared" si="1271"/>
        <v>1</v>
      </c>
      <c r="BK257" s="15" t="str">
        <f t="shared" si="1272"/>
        <v>SIGIGUALES</v>
      </c>
      <c r="BL257" s="22" t="str">
        <f t="shared" si="1273"/>
        <v>NO CONFORME</v>
      </c>
    </row>
    <row r="258" spans="1:64" ht="14.4" x14ac:dyDescent="0.3">
      <c r="A258" s="91">
        <v>250</v>
      </c>
      <c r="B258" s="28">
        <f t="shared" ref="B258:E258" si="1632">B257</f>
        <v>45920</v>
      </c>
      <c r="C258" s="28">
        <f t="shared" si="1632"/>
        <v>45920</v>
      </c>
      <c r="D258" s="12">
        <f t="shared" si="1632"/>
        <v>3</v>
      </c>
      <c r="E258" s="10">
        <f t="shared" si="1632"/>
        <v>8</v>
      </c>
      <c r="F258" s="13"/>
      <c r="G258" s="157"/>
      <c r="H258" s="70">
        <f t="shared" ref="H258:L258" si="1633">H257</f>
        <v>25.6</v>
      </c>
      <c r="I258" s="36">
        <f t="shared" si="1633"/>
        <v>0</v>
      </c>
      <c r="J258" s="35">
        <f t="shared" si="1633"/>
        <v>20.9</v>
      </c>
      <c r="K258" s="122">
        <f t="shared" si="1633"/>
        <v>8.4730000000000008</v>
      </c>
      <c r="L258" s="122">
        <f t="shared" si="1633"/>
        <v>0.52100000000000002</v>
      </c>
      <c r="M258" s="41"/>
      <c r="N258" s="41"/>
      <c r="O258" s="32">
        <f t="shared" ref="O258:P258" si="1634">O257</f>
        <v>100.48</v>
      </c>
      <c r="P258" s="168" t="str">
        <f t="shared" si="1634"/>
        <v>2,29,610</v>
      </c>
      <c r="Q258" s="11" t="str">
        <f t="shared" si="1339"/>
        <v>2</v>
      </c>
      <c r="R258" s="11" t="str">
        <f t="shared" si="1340"/>
        <v>29,610</v>
      </c>
      <c r="S258" s="11">
        <f t="shared" si="1341"/>
        <v>4.1558333333333336E-2</v>
      </c>
      <c r="T258" s="14">
        <f t="shared" si="1342"/>
        <v>2417.8062963705634</v>
      </c>
      <c r="U258" s="37">
        <f t="shared" si="1343"/>
        <v>-100</v>
      </c>
      <c r="V258" s="38">
        <f t="shared" ref="V258:W258" si="1635">V257</f>
        <v>21.3</v>
      </c>
      <c r="W258" s="124">
        <f t="shared" si="1635"/>
        <v>1.0960000000000001</v>
      </c>
      <c r="X258" s="124">
        <f t="shared" si="1592"/>
        <v>1.0880000000000001</v>
      </c>
      <c r="Y258" s="41"/>
      <c r="Z258" s="41"/>
      <c r="AA258" s="90">
        <f t="shared" ref="AA258:AB258" si="1636">AA257</f>
        <v>5.01</v>
      </c>
      <c r="AB258" s="73" t="str">
        <f t="shared" si="1636"/>
        <v>11,15,880</v>
      </c>
      <c r="AC258" s="11" t="str">
        <f t="shared" si="1346"/>
        <v>11</v>
      </c>
      <c r="AD258" s="11" t="str">
        <f t="shared" si="1347"/>
        <v>15,880</v>
      </c>
      <c r="AE258" s="11">
        <f t="shared" si="1348"/>
        <v>0.18774444444444444</v>
      </c>
      <c r="AF258" s="14">
        <f t="shared" si="1349"/>
        <v>26.685210392377346</v>
      </c>
      <c r="AG258" s="39">
        <f t="shared" si="1350"/>
        <v>-100</v>
      </c>
      <c r="AH258" s="38">
        <f t="shared" si="1600"/>
        <v>18.399999999999999</v>
      </c>
      <c r="AI258" s="124">
        <f t="shared" si="1600"/>
        <v>1.0980000000000001</v>
      </c>
      <c r="AJ258" s="124">
        <f t="shared" si="1600"/>
        <v>1.087</v>
      </c>
      <c r="AK258" s="41">
        <f t="shared" si="1351"/>
        <v>0</v>
      </c>
      <c r="AL258" s="41"/>
      <c r="AM258" s="34">
        <f t="shared" ref="AM258:AN258" si="1637">AM257</f>
        <v>2.0049999999999999</v>
      </c>
      <c r="AN258" s="33" t="str">
        <f t="shared" si="1637"/>
        <v>7,19,050</v>
      </c>
      <c r="AO258" s="11" t="str">
        <f t="shared" si="1353"/>
        <v>7,</v>
      </c>
      <c r="AP258" s="11" t="str">
        <f t="shared" si="1354"/>
        <v>19,050</v>
      </c>
      <c r="AQ258" s="11">
        <f t="shared" si="1355"/>
        <v>0.12195833333333334</v>
      </c>
      <c r="AR258" s="14">
        <f t="shared" si="1356"/>
        <v>16.44004099760847</v>
      </c>
      <c r="AS258" s="39">
        <f t="shared" si="1357"/>
        <v>-100</v>
      </c>
      <c r="AT258" s="40" t="str">
        <f t="shared" si="1358"/>
        <v>NO CONFORME</v>
      </c>
      <c r="AU258" s="8" t="b">
        <f t="shared" si="1280"/>
        <v>1</v>
      </c>
      <c r="AV258" s="8" t="b">
        <f t="shared" si="1281"/>
        <v>0</v>
      </c>
      <c r="AW258" s="8" t="b">
        <f t="shared" si="1282"/>
        <v>1</v>
      </c>
      <c r="AX258" s="8" t="str">
        <f t="shared" si="1283"/>
        <v>Qcorrecto</v>
      </c>
      <c r="AY258" s="22" t="str">
        <f t="shared" si="1263"/>
        <v>aceptable</v>
      </c>
      <c r="AZ258" s="22" t="str">
        <f t="shared" si="1264"/>
        <v>aceptable</v>
      </c>
      <c r="BA258" s="22" t="str">
        <f t="shared" si="1284"/>
        <v>aceptable</v>
      </c>
      <c r="BB258" s="25" t="str">
        <f t="shared" si="1285"/>
        <v>NO CONFORME</v>
      </c>
      <c r="BC258" s="5" t="str">
        <f t="shared" si="1286"/>
        <v>NO CONFORME</v>
      </c>
      <c r="BD258" s="15">
        <f t="shared" si="1265"/>
        <v>-1</v>
      </c>
      <c r="BE258" s="15">
        <f t="shared" si="1266"/>
        <v>-1</v>
      </c>
      <c r="BF258" s="15">
        <f t="shared" si="1267"/>
        <v>-1</v>
      </c>
      <c r="BG258" s="15" t="str">
        <f t="shared" si="1268"/>
        <v>-1-1-1</v>
      </c>
      <c r="BH258" s="15" t="str">
        <f t="shared" si="1269"/>
        <v>SD</v>
      </c>
      <c r="BI258" s="15" t="str">
        <f t="shared" si="1270"/>
        <v>SI</v>
      </c>
      <c r="BJ258" s="15" t="b">
        <f t="shared" si="1271"/>
        <v>1</v>
      </c>
      <c r="BK258" s="15" t="str">
        <f t="shared" si="1272"/>
        <v>SIGIGUALES</v>
      </c>
      <c r="BL258" s="22" t="str">
        <f t="shared" si="1273"/>
        <v>NO CONFORME</v>
      </c>
    </row>
    <row r="259" spans="1:64" ht="14.4" x14ac:dyDescent="0.3">
      <c r="A259" s="91">
        <v>251</v>
      </c>
      <c r="B259" s="28">
        <f t="shared" ref="B259:E259" si="1638">B258</f>
        <v>45920</v>
      </c>
      <c r="C259" s="28">
        <f t="shared" si="1638"/>
        <v>45920</v>
      </c>
      <c r="D259" s="12">
        <f t="shared" si="1638"/>
        <v>3</v>
      </c>
      <c r="E259" s="10">
        <f t="shared" si="1638"/>
        <v>8</v>
      </c>
      <c r="F259" s="13"/>
      <c r="G259" s="157"/>
      <c r="H259" s="70">
        <f t="shared" ref="H259:L259" si="1639">H258</f>
        <v>25.6</v>
      </c>
      <c r="I259" s="36">
        <f t="shared" si="1639"/>
        <v>0</v>
      </c>
      <c r="J259" s="35">
        <f t="shared" si="1639"/>
        <v>20.9</v>
      </c>
      <c r="K259" s="122">
        <f t="shared" si="1639"/>
        <v>8.4730000000000008</v>
      </c>
      <c r="L259" s="122">
        <f t="shared" si="1639"/>
        <v>0.52100000000000002</v>
      </c>
      <c r="M259" s="41"/>
      <c r="N259" s="41"/>
      <c r="O259" s="32">
        <f t="shared" ref="O259:P259" si="1640">O258</f>
        <v>100.48</v>
      </c>
      <c r="P259" s="168" t="str">
        <f t="shared" si="1640"/>
        <v>2,29,610</v>
      </c>
      <c r="Q259" s="11" t="str">
        <f t="shared" si="1339"/>
        <v>2</v>
      </c>
      <c r="R259" s="11" t="str">
        <f t="shared" si="1340"/>
        <v>29,610</v>
      </c>
      <c r="S259" s="11">
        <f t="shared" si="1341"/>
        <v>4.1558333333333336E-2</v>
      </c>
      <c r="T259" s="14">
        <f t="shared" si="1342"/>
        <v>2417.8062963705634</v>
      </c>
      <c r="U259" s="37">
        <f t="shared" si="1343"/>
        <v>-100</v>
      </c>
      <c r="V259" s="38">
        <f t="shared" ref="V259:W259" si="1641">V258</f>
        <v>21.3</v>
      </c>
      <c r="W259" s="124">
        <f t="shared" si="1641"/>
        <v>1.0960000000000001</v>
      </c>
      <c r="X259" s="124">
        <f t="shared" si="1592"/>
        <v>1.0880000000000001</v>
      </c>
      <c r="Y259" s="41"/>
      <c r="Z259" s="41"/>
      <c r="AA259" s="90">
        <f t="shared" ref="AA259:AB259" si="1642">AA258</f>
        <v>5.01</v>
      </c>
      <c r="AB259" s="73" t="str">
        <f t="shared" si="1642"/>
        <v>11,15,880</v>
      </c>
      <c r="AC259" s="11" t="str">
        <f t="shared" si="1346"/>
        <v>11</v>
      </c>
      <c r="AD259" s="11" t="str">
        <f t="shared" si="1347"/>
        <v>15,880</v>
      </c>
      <c r="AE259" s="11">
        <f t="shared" si="1348"/>
        <v>0.18774444444444444</v>
      </c>
      <c r="AF259" s="14">
        <f t="shared" si="1349"/>
        <v>26.685210392377346</v>
      </c>
      <c r="AG259" s="39">
        <f t="shared" si="1350"/>
        <v>-100</v>
      </c>
      <c r="AH259" s="38">
        <f t="shared" si="1600"/>
        <v>18.399999999999999</v>
      </c>
      <c r="AI259" s="124">
        <f t="shared" si="1600"/>
        <v>1.0980000000000001</v>
      </c>
      <c r="AJ259" s="124">
        <f t="shared" si="1600"/>
        <v>1.087</v>
      </c>
      <c r="AK259" s="41">
        <f t="shared" si="1351"/>
        <v>0</v>
      </c>
      <c r="AL259" s="41"/>
      <c r="AM259" s="34">
        <f t="shared" ref="AM259:AN259" si="1643">AM258</f>
        <v>2.0049999999999999</v>
      </c>
      <c r="AN259" s="33" t="str">
        <f t="shared" si="1643"/>
        <v>7,19,050</v>
      </c>
      <c r="AO259" s="11" t="str">
        <f t="shared" si="1353"/>
        <v>7,</v>
      </c>
      <c r="AP259" s="11" t="str">
        <f t="shared" si="1354"/>
        <v>19,050</v>
      </c>
      <c r="AQ259" s="11">
        <f t="shared" si="1355"/>
        <v>0.12195833333333334</v>
      </c>
      <c r="AR259" s="14">
        <f t="shared" si="1356"/>
        <v>16.44004099760847</v>
      </c>
      <c r="AS259" s="39">
        <f t="shared" si="1357"/>
        <v>-100</v>
      </c>
      <c r="AT259" s="40" t="str">
        <f t="shared" si="1358"/>
        <v>NO CONFORME</v>
      </c>
      <c r="AU259" s="8" t="b">
        <f t="shared" si="1280"/>
        <v>1</v>
      </c>
      <c r="AV259" s="8" t="b">
        <f t="shared" si="1281"/>
        <v>0</v>
      </c>
      <c r="AW259" s="8" t="b">
        <f t="shared" si="1282"/>
        <v>1</v>
      </c>
      <c r="AX259" s="8" t="str">
        <f t="shared" si="1283"/>
        <v>Qcorrecto</v>
      </c>
      <c r="AY259" s="22" t="str">
        <f t="shared" si="1263"/>
        <v>aceptable</v>
      </c>
      <c r="AZ259" s="22" t="str">
        <f t="shared" si="1264"/>
        <v>aceptable</v>
      </c>
      <c r="BA259" s="22" t="str">
        <f t="shared" si="1284"/>
        <v>aceptable</v>
      </c>
      <c r="BB259" s="25" t="str">
        <f t="shared" si="1285"/>
        <v>NO CONFORME</v>
      </c>
      <c r="BC259" s="5" t="str">
        <f t="shared" si="1286"/>
        <v>NO CONFORME</v>
      </c>
      <c r="BD259" s="15">
        <f t="shared" si="1265"/>
        <v>-1</v>
      </c>
      <c r="BE259" s="15">
        <f t="shared" si="1266"/>
        <v>-1</v>
      </c>
      <c r="BF259" s="15">
        <f t="shared" si="1267"/>
        <v>-1</v>
      </c>
      <c r="BG259" s="15" t="str">
        <f t="shared" si="1268"/>
        <v>-1-1-1</v>
      </c>
      <c r="BH259" s="15" t="str">
        <f t="shared" si="1269"/>
        <v>SD</v>
      </c>
      <c r="BI259" s="15" t="str">
        <f t="shared" si="1270"/>
        <v>SI</v>
      </c>
      <c r="BJ259" s="15" t="b">
        <f t="shared" si="1271"/>
        <v>1</v>
      </c>
      <c r="BK259" s="15" t="str">
        <f t="shared" si="1272"/>
        <v>SIGIGUALES</v>
      </c>
      <c r="BL259" s="22" t="str">
        <f t="shared" si="1273"/>
        <v>NO CONFORME</v>
      </c>
    </row>
    <row r="260" spans="1:64" ht="14.4" x14ac:dyDescent="0.3">
      <c r="A260" s="91">
        <v>252</v>
      </c>
      <c r="B260" s="28">
        <f t="shared" ref="B260:E260" si="1644">B259</f>
        <v>45920</v>
      </c>
      <c r="C260" s="28">
        <f t="shared" si="1644"/>
        <v>45920</v>
      </c>
      <c r="D260" s="12">
        <f t="shared" si="1644"/>
        <v>3</v>
      </c>
      <c r="E260" s="10">
        <f t="shared" si="1644"/>
        <v>8</v>
      </c>
      <c r="F260" s="13"/>
      <c r="G260" s="157"/>
      <c r="H260" s="70">
        <f t="shared" ref="H260:L260" si="1645">H259</f>
        <v>25.6</v>
      </c>
      <c r="I260" s="36">
        <f t="shared" si="1645"/>
        <v>0</v>
      </c>
      <c r="J260" s="35">
        <f t="shared" si="1645"/>
        <v>20.9</v>
      </c>
      <c r="K260" s="122">
        <f t="shared" si="1645"/>
        <v>8.4730000000000008</v>
      </c>
      <c r="L260" s="122">
        <f t="shared" si="1645"/>
        <v>0.52100000000000002</v>
      </c>
      <c r="M260" s="41"/>
      <c r="N260" s="41"/>
      <c r="O260" s="32">
        <f t="shared" ref="O260:P260" si="1646">O259</f>
        <v>100.48</v>
      </c>
      <c r="P260" s="168" t="str">
        <f t="shared" si="1646"/>
        <v>2,29,610</v>
      </c>
      <c r="Q260" s="11" t="str">
        <f t="shared" si="1339"/>
        <v>2</v>
      </c>
      <c r="R260" s="11" t="str">
        <f t="shared" si="1340"/>
        <v>29,610</v>
      </c>
      <c r="S260" s="11">
        <f t="shared" si="1341"/>
        <v>4.1558333333333336E-2</v>
      </c>
      <c r="T260" s="14">
        <f t="shared" si="1342"/>
        <v>2417.8062963705634</v>
      </c>
      <c r="U260" s="37">
        <f t="shared" si="1343"/>
        <v>-100</v>
      </c>
      <c r="V260" s="38">
        <f t="shared" ref="V260:W260" si="1647">V259</f>
        <v>21.3</v>
      </c>
      <c r="W260" s="124">
        <f t="shared" si="1647"/>
        <v>1.0960000000000001</v>
      </c>
      <c r="X260" s="124">
        <f t="shared" si="1592"/>
        <v>1.0880000000000001</v>
      </c>
      <c r="Y260" s="41"/>
      <c r="Z260" s="41"/>
      <c r="AA260" s="90">
        <f t="shared" ref="AA260:AB260" si="1648">AA259</f>
        <v>5.01</v>
      </c>
      <c r="AB260" s="73" t="str">
        <f t="shared" si="1648"/>
        <v>11,15,880</v>
      </c>
      <c r="AC260" s="11" t="str">
        <f t="shared" si="1346"/>
        <v>11</v>
      </c>
      <c r="AD260" s="11" t="str">
        <f t="shared" si="1347"/>
        <v>15,880</v>
      </c>
      <c r="AE260" s="11">
        <f t="shared" si="1348"/>
        <v>0.18774444444444444</v>
      </c>
      <c r="AF260" s="14">
        <f t="shared" si="1349"/>
        <v>26.685210392377346</v>
      </c>
      <c r="AG260" s="39">
        <f t="shared" si="1350"/>
        <v>-100</v>
      </c>
      <c r="AH260" s="38">
        <f t="shared" si="1600"/>
        <v>18.399999999999999</v>
      </c>
      <c r="AI260" s="124">
        <f t="shared" si="1600"/>
        <v>1.0980000000000001</v>
      </c>
      <c r="AJ260" s="124">
        <f t="shared" si="1600"/>
        <v>1.087</v>
      </c>
      <c r="AK260" s="41">
        <f t="shared" si="1351"/>
        <v>0</v>
      </c>
      <c r="AL260" s="41"/>
      <c r="AM260" s="34">
        <f t="shared" ref="AM260:AN260" si="1649">AM259</f>
        <v>2.0049999999999999</v>
      </c>
      <c r="AN260" s="33" t="str">
        <f t="shared" si="1649"/>
        <v>7,19,050</v>
      </c>
      <c r="AO260" s="11" t="str">
        <f t="shared" si="1353"/>
        <v>7,</v>
      </c>
      <c r="AP260" s="11" t="str">
        <f t="shared" si="1354"/>
        <v>19,050</v>
      </c>
      <c r="AQ260" s="11">
        <f t="shared" si="1355"/>
        <v>0.12195833333333334</v>
      </c>
      <c r="AR260" s="14">
        <f t="shared" si="1356"/>
        <v>16.44004099760847</v>
      </c>
      <c r="AS260" s="39">
        <f t="shared" si="1357"/>
        <v>-100</v>
      </c>
      <c r="AT260" s="40" t="str">
        <f t="shared" si="1358"/>
        <v>NO CONFORME</v>
      </c>
      <c r="AU260" s="8" t="b">
        <f t="shared" si="1280"/>
        <v>1</v>
      </c>
      <c r="AV260" s="8" t="b">
        <f t="shared" si="1281"/>
        <v>0</v>
      </c>
      <c r="AW260" s="8" t="b">
        <f t="shared" si="1282"/>
        <v>1</v>
      </c>
      <c r="AX260" s="8" t="str">
        <f t="shared" si="1283"/>
        <v>Qcorrecto</v>
      </c>
      <c r="AY260" s="22" t="str">
        <f t="shared" si="1263"/>
        <v>aceptable</v>
      </c>
      <c r="AZ260" s="22" t="str">
        <f t="shared" si="1264"/>
        <v>aceptable</v>
      </c>
      <c r="BA260" s="22" t="str">
        <f t="shared" si="1284"/>
        <v>aceptable</v>
      </c>
      <c r="BB260" s="25" t="str">
        <f t="shared" si="1285"/>
        <v>NO CONFORME</v>
      </c>
      <c r="BC260" s="5" t="str">
        <f t="shared" si="1286"/>
        <v>NO CONFORME</v>
      </c>
      <c r="BD260" s="15">
        <f t="shared" si="1265"/>
        <v>-1</v>
      </c>
      <c r="BE260" s="15">
        <f t="shared" si="1266"/>
        <v>-1</v>
      </c>
      <c r="BF260" s="15">
        <f t="shared" si="1267"/>
        <v>-1</v>
      </c>
      <c r="BG260" s="15" t="str">
        <f t="shared" si="1268"/>
        <v>-1-1-1</v>
      </c>
      <c r="BH260" s="15" t="str">
        <f t="shared" si="1269"/>
        <v>SD</v>
      </c>
      <c r="BI260" s="15" t="str">
        <f t="shared" si="1270"/>
        <v>SI</v>
      </c>
      <c r="BJ260" s="15" t="b">
        <f t="shared" si="1271"/>
        <v>1</v>
      </c>
      <c r="BK260" s="15" t="str">
        <f t="shared" si="1272"/>
        <v>SIGIGUALES</v>
      </c>
      <c r="BL260" s="22" t="str">
        <f t="shared" si="1273"/>
        <v>NO CONFORME</v>
      </c>
    </row>
    <row r="261" spans="1:64" ht="14.4" x14ac:dyDescent="0.3">
      <c r="A261" s="91">
        <v>253</v>
      </c>
      <c r="B261" s="28">
        <f t="shared" ref="B261:E261" si="1650">B260</f>
        <v>45920</v>
      </c>
      <c r="C261" s="28">
        <f t="shared" si="1650"/>
        <v>45920</v>
      </c>
      <c r="D261" s="12">
        <f t="shared" si="1650"/>
        <v>3</v>
      </c>
      <c r="E261" s="10">
        <f t="shared" si="1650"/>
        <v>8</v>
      </c>
      <c r="F261" s="13"/>
      <c r="G261" s="157"/>
      <c r="H261" s="70">
        <f t="shared" ref="H261:L261" si="1651">H260</f>
        <v>25.6</v>
      </c>
      <c r="I261" s="36">
        <f t="shared" si="1651"/>
        <v>0</v>
      </c>
      <c r="J261" s="35">
        <f t="shared" si="1651"/>
        <v>20.9</v>
      </c>
      <c r="K261" s="122">
        <f t="shared" si="1651"/>
        <v>8.4730000000000008</v>
      </c>
      <c r="L261" s="122">
        <f t="shared" si="1651"/>
        <v>0.52100000000000002</v>
      </c>
      <c r="M261" s="41"/>
      <c r="N261" s="41"/>
      <c r="O261" s="32">
        <f t="shared" ref="O261:P261" si="1652">O260</f>
        <v>100.48</v>
      </c>
      <c r="P261" s="168" t="str">
        <f t="shared" si="1652"/>
        <v>2,29,610</v>
      </c>
      <c r="Q261" s="11" t="str">
        <f t="shared" si="1339"/>
        <v>2</v>
      </c>
      <c r="R261" s="11" t="str">
        <f t="shared" si="1340"/>
        <v>29,610</v>
      </c>
      <c r="S261" s="11">
        <f t="shared" si="1341"/>
        <v>4.1558333333333336E-2</v>
      </c>
      <c r="T261" s="14">
        <f t="shared" si="1342"/>
        <v>2417.8062963705634</v>
      </c>
      <c r="U261" s="37">
        <f t="shared" si="1343"/>
        <v>-100</v>
      </c>
      <c r="V261" s="38">
        <f t="shared" ref="V261:W261" si="1653">V260</f>
        <v>21.3</v>
      </c>
      <c r="W261" s="124">
        <f t="shared" si="1653"/>
        <v>1.0960000000000001</v>
      </c>
      <c r="X261" s="124">
        <f t="shared" si="1592"/>
        <v>1.0880000000000001</v>
      </c>
      <c r="Y261" s="41"/>
      <c r="Z261" s="41"/>
      <c r="AA261" s="90">
        <f t="shared" ref="AA261:AB261" si="1654">AA260</f>
        <v>5.01</v>
      </c>
      <c r="AB261" s="73" t="str">
        <f t="shared" si="1654"/>
        <v>11,15,880</v>
      </c>
      <c r="AC261" s="11" t="str">
        <f t="shared" si="1346"/>
        <v>11</v>
      </c>
      <c r="AD261" s="11" t="str">
        <f t="shared" si="1347"/>
        <v>15,880</v>
      </c>
      <c r="AE261" s="11">
        <f t="shared" si="1348"/>
        <v>0.18774444444444444</v>
      </c>
      <c r="AF261" s="14">
        <f t="shared" si="1349"/>
        <v>26.685210392377346</v>
      </c>
      <c r="AG261" s="39">
        <f t="shared" si="1350"/>
        <v>-100</v>
      </c>
      <c r="AH261" s="38">
        <f t="shared" si="1600"/>
        <v>18.399999999999999</v>
      </c>
      <c r="AI261" s="124">
        <f t="shared" si="1600"/>
        <v>1.0980000000000001</v>
      </c>
      <c r="AJ261" s="124">
        <f t="shared" si="1600"/>
        <v>1.087</v>
      </c>
      <c r="AK261" s="41">
        <f t="shared" si="1351"/>
        <v>0</v>
      </c>
      <c r="AL261" s="41"/>
      <c r="AM261" s="34">
        <f t="shared" ref="AM261:AN261" si="1655">AM260</f>
        <v>2.0049999999999999</v>
      </c>
      <c r="AN261" s="33" t="str">
        <f t="shared" si="1655"/>
        <v>7,19,050</v>
      </c>
      <c r="AO261" s="11" t="str">
        <f t="shared" si="1353"/>
        <v>7,</v>
      </c>
      <c r="AP261" s="11" t="str">
        <f t="shared" si="1354"/>
        <v>19,050</v>
      </c>
      <c r="AQ261" s="11">
        <f t="shared" si="1355"/>
        <v>0.12195833333333334</v>
      </c>
      <c r="AR261" s="14">
        <f t="shared" si="1356"/>
        <v>16.44004099760847</v>
      </c>
      <c r="AS261" s="39">
        <f t="shared" si="1357"/>
        <v>-100</v>
      </c>
      <c r="AT261" s="40" t="str">
        <f t="shared" si="1358"/>
        <v>NO CONFORME</v>
      </c>
      <c r="AU261" s="8" t="b">
        <f t="shared" si="1280"/>
        <v>1</v>
      </c>
      <c r="AV261" s="8" t="b">
        <f t="shared" si="1281"/>
        <v>0</v>
      </c>
      <c r="AW261" s="8" t="b">
        <f t="shared" si="1282"/>
        <v>1</v>
      </c>
      <c r="AX261" s="8" t="str">
        <f t="shared" si="1283"/>
        <v>Qcorrecto</v>
      </c>
      <c r="AY261" s="22" t="str">
        <f t="shared" si="1263"/>
        <v>aceptable</v>
      </c>
      <c r="AZ261" s="22" t="str">
        <f t="shared" si="1264"/>
        <v>aceptable</v>
      </c>
      <c r="BA261" s="22" t="str">
        <f t="shared" si="1284"/>
        <v>aceptable</v>
      </c>
      <c r="BB261" s="25" t="str">
        <f t="shared" si="1285"/>
        <v>NO CONFORME</v>
      </c>
      <c r="BC261" s="5" t="str">
        <f t="shared" si="1286"/>
        <v>NO CONFORME</v>
      </c>
      <c r="BD261" s="15">
        <f t="shared" si="1265"/>
        <v>-1</v>
      </c>
      <c r="BE261" s="15">
        <f t="shared" si="1266"/>
        <v>-1</v>
      </c>
      <c r="BF261" s="15">
        <f t="shared" si="1267"/>
        <v>-1</v>
      </c>
      <c r="BG261" s="15" t="str">
        <f t="shared" si="1268"/>
        <v>-1-1-1</v>
      </c>
      <c r="BH261" s="15" t="str">
        <f t="shared" si="1269"/>
        <v>SD</v>
      </c>
      <c r="BI261" s="15" t="str">
        <f t="shared" si="1270"/>
        <v>SI</v>
      </c>
      <c r="BJ261" s="15" t="b">
        <f t="shared" si="1271"/>
        <v>1</v>
      </c>
      <c r="BK261" s="15" t="str">
        <f t="shared" si="1272"/>
        <v>SIGIGUALES</v>
      </c>
      <c r="BL261" s="22" t="str">
        <f t="shared" si="1273"/>
        <v>NO CONFORME</v>
      </c>
    </row>
    <row r="262" spans="1:64" ht="14.4" x14ac:dyDescent="0.3">
      <c r="A262" s="91">
        <v>254</v>
      </c>
      <c r="B262" s="28">
        <f t="shared" ref="B262:E262" si="1656">B261</f>
        <v>45920</v>
      </c>
      <c r="C262" s="28">
        <f t="shared" si="1656"/>
        <v>45920</v>
      </c>
      <c r="D262" s="12">
        <f t="shared" si="1656"/>
        <v>3</v>
      </c>
      <c r="E262" s="10">
        <f t="shared" si="1656"/>
        <v>8</v>
      </c>
      <c r="F262" s="13"/>
      <c r="G262" s="157"/>
      <c r="H262" s="70">
        <f t="shared" ref="H262:L262" si="1657">H261</f>
        <v>25.6</v>
      </c>
      <c r="I262" s="36">
        <f t="shared" si="1657"/>
        <v>0</v>
      </c>
      <c r="J262" s="35">
        <f t="shared" si="1657"/>
        <v>20.9</v>
      </c>
      <c r="K262" s="122">
        <f t="shared" si="1657"/>
        <v>8.4730000000000008</v>
      </c>
      <c r="L262" s="122">
        <f t="shared" si="1657"/>
        <v>0.52100000000000002</v>
      </c>
      <c r="M262" s="41"/>
      <c r="N262" s="41"/>
      <c r="O262" s="32">
        <f t="shared" ref="O262:P262" si="1658">O261</f>
        <v>100.48</v>
      </c>
      <c r="P262" s="168" t="str">
        <f t="shared" si="1658"/>
        <v>2,29,610</v>
      </c>
      <c r="Q262" s="11" t="str">
        <f t="shared" si="1339"/>
        <v>2</v>
      </c>
      <c r="R262" s="11" t="str">
        <f t="shared" si="1340"/>
        <v>29,610</v>
      </c>
      <c r="S262" s="11">
        <f t="shared" si="1341"/>
        <v>4.1558333333333336E-2</v>
      </c>
      <c r="T262" s="14">
        <f t="shared" si="1342"/>
        <v>2417.8062963705634</v>
      </c>
      <c r="U262" s="37">
        <f t="shared" si="1343"/>
        <v>-100</v>
      </c>
      <c r="V262" s="38">
        <f t="shared" ref="V262:W262" si="1659">V261</f>
        <v>21.3</v>
      </c>
      <c r="W262" s="124">
        <f t="shared" si="1659"/>
        <v>1.0960000000000001</v>
      </c>
      <c r="X262" s="124">
        <f t="shared" si="1592"/>
        <v>1.0880000000000001</v>
      </c>
      <c r="Y262" s="41"/>
      <c r="Z262" s="41"/>
      <c r="AA262" s="90">
        <f t="shared" ref="AA262:AB262" si="1660">AA261</f>
        <v>5.01</v>
      </c>
      <c r="AB262" s="73" t="str">
        <f t="shared" si="1660"/>
        <v>11,15,880</v>
      </c>
      <c r="AC262" s="11" t="str">
        <f t="shared" si="1346"/>
        <v>11</v>
      </c>
      <c r="AD262" s="11" t="str">
        <f t="shared" si="1347"/>
        <v>15,880</v>
      </c>
      <c r="AE262" s="11">
        <f t="shared" si="1348"/>
        <v>0.18774444444444444</v>
      </c>
      <c r="AF262" s="14">
        <f t="shared" si="1349"/>
        <v>26.685210392377346</v>
      </c>
      <c r="AG262" s="39">
        <f t="shared" si="1350"/>
        <v>-100</v>
      </c>
      <c r="AH262" s="38">
        <f t="shared" si="1600"/>
        <v>18.399999999999999</v>
      </c>
      <c r="AI262" s="124">
        <f t="shared" si="1600"/>
        <v>1.0980000000000001</v>
      </c>
      <c r="AJ262" s="124">
        <f t="shared" si="1600"/>
        <v>1.087</v>
      </c>
      <c r="AK262" s="41">
        <f t="shared" si="1351"/>
        <v>0</v>
      </c>
      <c r="AL262" s="41"/>
      <c r="AM262" s="34">
        <f t="shared" ref="AM262:AN262" si="1661">AM261</f>
        <v>2.0049999999999999</v>
      </c>
      <c r="AN262" s="33" t="str">
        <f t="shared" si="1661"/>
        <v>7,19,050</v>
      </c>
      <c r="AO262" s="11" t="str">
        <f t="shared" si="1353"/>
        <v>7,</v>
      </c>
      <c r="AP262" s="11" t="str">
        <f t="shared" si="1354"/>
        <v>19,050</v>
      </c>
      <c r="AQ262" s="11">
        <f t="shared" si="1355"/>
        <v>0.12195833333333334</v>
      </c>
      <c r="AR262" s="14">
        <f t="shared" si="1356"/>
        <v>16.44004099760847</v>
      </c>
      <c r="AS262" s="39">
        <f t="shared" si="1357"/>
        <v>-100</v>
      </c>
      <c r="AT262" s="40" t="str">
        <f t="shared" si="1358"/>
        <v>NO CONFORME</v>
      </c>
      <c r="AU262" s="8" t="b">
        <f t="shared" si="1280"/>
        <v>1</v>
      </c>
      <c r="AV262" s="8" t="b">
        <f t="shared" si="1281"/>
        <v>0</v>
      </c>
      <c r="AW262" s="8" t="b">
        <f t="shared" si="1282"/>
        <v>1</v>
      </c>
      <c r="AX262" s="8" t="str">
        <f t="shared" si="1283"/>
        <v>Qcorrecto</v>
      </c>
      <c r="AY262" s="22" t="str">
        <f t="shared" si="1263"/>
        <v>aceptable</v>
      </c>
      <c r="AZ262" s="22" t="str">
        <f t="shared" si="1264"/>
        <v>aceptable</v>
      </c>
      <c r="BA262" s="22" t="str">
        <f t="shared" si="1284"/>
        <v>aceptable</v>
      </c>
      <c r="BB262" s="25" t="str">
        <f t="shared" si="1285"/>
        <v>NO CONFORME</v>
      </c>
      <c r="BC262" s="5" t="str">
        <f t="shared" si="1286"/>
        <v>NO CONFORME</v>
      </c>
      <c r="BD262" s="15">
        <f t="shared" si="1265"/>
        <v>-1</v>
      </c>
      <c r="BE262" s="15">
        <f t="shared" si="1266"/>
        <v>-1</v>
      </c>
      <c r="BF262" s="15">
        <f t="shared" si="1267"/>
        <v>-1</v>
      </c>
      <c r="BG262" s="15" t="str">
        <f t="shared" si="1268"/>
        <v>-1-1-1</v>
      </c>
      <c r="BH262" s="15" t="str">
        <f t="shared" si="1269"/>
        <v>SD</v>
      </c>
      <c r="BI262" s="15" t="str">
        <f t="shared" si="1270"/>
        <v>SI</v>
      </c>
      <c r="BJ262" s="15" t="b">
        <f t="shared" si="1271"/>
        <v>1</v>
      </c>
      <c r="BK262" s="15" t="str">
        <f t="shared" si="1272"/>
        <v>SIGIGUALES</v>
      </c>
      <c r="BL262" s="22" t="str">
        <f t="shared" si="1273"/>
        <v>NO CONFORME</v>
      </c>
    </row>
    <row r="263" spans="1:64" ht="14.4" x14ac:dyDescent="0.3">
      <c r="A263" s="91">
        <v>255</v>
      </c>
      <c r="B263" s="28">
        <f t="shared" ref="B263:E263" si="1662">B262</f>
        <v>45920</v>
      </c>
      <c r="C263" s="28">
        <f t="shared" si="1662"/>
        <v>45920</v>
      </c>
      <c r="D263" s="12">
        <f t="shared" si="1662"/>
        <v>3</v>
      </c>
      <c r="E263" s="10">
        <f t="shared" si="1662"/>
        <v>8</v>
      </c>
      <c r="F263" s="13"/>
      <c r="G263" s="157"/>
      <c r="H263" s="70">
        <f t="shared" ref="H263:L263" si="1663">H262</f>
        <v>25.6</v>
      </c>
      <c r="I263" s="36">
        <f t="shared" si="1663"/>
        <v>0</v>
      </c>
      <c r="J263" s="35">
        <f t="shared" si="1663"/>
        <v>20.9</v>
      </c>
      <c r="K263" s="122">
        <f t="shared" si="1663"/>
        <v>8.4730000000000008</v>
      </c>
      <c r="L263" s="122">
        <f t="shared" si="1663"/>
        <v>0.52100000000000002</v>
      </c>
      <c r="M263" s="41"/>
      <c r="N263" s="41"/>
      <c r="O263" s="32">
        <f t="shared" ref="O263:P263" si="1664">O262</f>
        <v>100.48</v>
      </c>
      <c r="P263" s="168" t="str">
        <f t="shared" si="1664"/>
        <v>2,29,610</v>
      </c>
      <c r="Q263" s="11" t="str">
        <f t="shared" si="1339"/>
        <v>2</v>
      </c>
      <c r="R263" s="11" t="str">
        <f t="shared" si="1340"/>
        <v>29,610</v>
      </c>
      <c r="S263" s="11">
        <f t="shared" si="1341"/>
        <v>4.1558333333333336E-2</v>
      </c>
      <c r="T263" s="14">
        <f t="shared" si="1342"/>
        <v>2417.8062963705634</v>
      </c>
      <c r="U263" s="37">
        <f t="shared" si="1343"/>
        <v>-100</v>
      </c>
      <c r="V263" s="38">
        <f t="shared" ref="V263:W263" si="1665">V262</f>
        <v>21.3</v>
      </c>
      <c r="W263" s="124">
        <f t="shared" si="1665"/>
        <v>1.0960000000000001</v>
      </c>
      <c r="X263" s="124">
        <f t="shared" si="1592"/>
        <v>1.0880000000000001</v>
      </c>
      <c r="Y263" s="41"/>
      <c r="Z263" s="41"/>
      <c r="AA263" s="90">
        <f t="shared" ref="AA263:AB263" si="1666">AA262</f>
        <v>5.01</v>
      </c>
      <c r="AB263" s="73" t="str">
        <f t="shared" si="1666"/>
        <v>11,15,880</v>
      </c>
      <c r="AC263" s="11" t="str">
        <f t="shared" si="1346"/>
        <v>11</v>
      </c>
      <c r="AD263" s="11" t="str">
        <f t="shared" si="1347"/>
        <v>15,880</v>
      </c>
      <c r="AE263" s="11">
        <f t="shared" si="1348"/>
        <v>0.18774444444444444</v>
      </c>
      <c r="AF263" s="14">
        <f t="shared" si="1349"/>
        <v>26.685210392377346</v>
      </c>
      <c r="AG263" s="39">
        <f t="shared" si="1350"/>
        <v>-100</v>
      </c>
      <c r="AH263" s="38">
        <f t="shared" si="1600"/>
        <v>18.399999999999999</v>
      </c>
      <c r="AI263" s="124">
        <f t="shared" si="1600"/>
        <v>1.0980000000000001</v>
      </c>
      <c r="AJ263" s="124">
        <f t="shared" si="1600"/>
        <v>1.087</v>
      </c>
      <c r="AK263" s="41">
        <f t="shared" si="1351"/>
        <v>0</v>
      </c>
      <c r="AL263" s="41"/>
      <c r="AM263" s="34">
        <f t="shared" ref="AM263:AN263" si="1667">AM262</f>
        <v>2.0049999999999999</v>
      </c>
      <c r="AN263" s="33" t="str">
        <f t="shared" si="1667"/>
        <v>7,19,050</v>
      </c>
      <c r="AO263" s="11" t="str">
        <f t="shared" si="1353"/>
        <v>7,</v>
      </c>
      <c r="AP263" s="11" t="str">
        <f t="shared" si="1354"/>
        <v>19,050</v>
      </c>
      <c r="AQ263" s="11">
        <f t="shared" si="1355"/>
        <v>0.12195833333333334</v>
      </c>
      <c r="AR263" s="14">
        <f t="shared" si="1356"/>
        <v>16.44004099760847</v>
      </c>
      <c r="AS263" s="39">
        <f t="shared" si="1357"/>
        <v>-100</v>
      </c>
      <c r="AT263" s="40" t="str">
        <f t="shared" si="1358"/>
        <v>NO CONFORME</v>
      </c>
      <c r="AU263" s="8" t="b">
        <f t="shared" si="1280"/>
        <v>1</v>
      </c>
      <c r="AV263" s="8" t="b">
        <f t="shared" si="1281"/>
        <v>0</v>
      </c>
      <c r="AW263" s="8" t="b">
        <f t="shared" si="1282"/>
        <v>1</v>
      </c>
      <c r="AX263" s="8" t="str">
        <f t="shared" si="1283"/>
        <v>Qcorrecto</v>
      </c>
      <c r="AY263" s="22" t="str">
        <f t="shared" si="1263"/>
        <v>aceptable</v>
      </c>
      <c r="AZ263" s="22" t="str">
        <f t="shared" si="1264"/>
        <v>aceptable</v>
      </c>
      <c r="BA263" s="22" t="str">
        <f t="shared" si="1284"/>
        <v>aceptable</v>
      </c>
      <c r="BB263" s="25" t="str">
        <f t="shared" si="1285"/>
        <v>NO CONFORME</v>
      </c>
      <c r="BC263" s="5" t="str">
        <f t="shared" si="1286"/>
        <v>NO CONFORME</v>
      </c>
      <c r="BD263" s="15">
        <f t="shared" si="1265"/>
        <v>-1</v>
      </c>
      <c r="BE263" s="15">
        <f t="shared" si="1266"/>
        <v>-1</v>
      </c>
      <c r="BF263" s="15">
        <f t="shared" si="1267"/>
        <v>-1</v>
      </c>
      <c r="BG263" s="15" t="str">
        <f t="shared" si="1268"/>
        <v>-1-1-1</v>
      </c>
      <c r="BH263" s="15" t="str">
        <f t="shared" si="1269"/>
        <v>SD</v>
      </c>
      <c r="BI263" s="15" t="str">
        <f t="shared" si="1270"/>
        <v>SI</v>
      </c>
      <c r="BJ263" s="15" t="b">
        <f t="shared" si="1271"/>
        <v>1</v>
      </c>
      <c r="BK263" s="15" t="str">
        <f t="shared" si="1272"/>
        <v>SIGIGUALES</v>
      </c>
      <c r="BL263" s="22" t="str">
        <f t="shared" si="1273"/>
        <v>NO CONFORME</v>
      </c>
    </row>
    <row r="264" spans="1:64" ht="14.4" x14ac:dyDescent="0.3">
      <c r="A264" s="91">
        <v>256</v>
      </c>
      <c r="B264" s="28">
        <f t="shared" ref="B264:E264" si="1668">B263</f>
        <v>45920</v>
      </c>
      <c r="C264" s="28">
        <f t="shared" si="1668"/>
        <v>45920</v>
      </c>
      <c r="D264" s="12">
        <f t="shared" si="1668"/>
        <v>3</v>
      </c>
      <c r="E264" s="10">
        <f t="shared" si="1668"/>
        <v>8</v>
      </c>
      <c r="F264" s="13"/>
      <c r="G264" s="157"/>
      <c r="H264" s="70">
        <f t="shared" ref="H264:L264" si="1669">H263</f>
        <v>25.6</v>
      </c>
      <c r="I264" s="36">
        <f t="shared" si="1669"/>
        <v>0</v>
      </c>
      <c r="J264" s="35">
        <f t="shared" si="1669"/>
        <v>20.9</v>
      </c>
      <c r="K264" s="122">
        <f t="shared" si="1669"/>
        <v>8.4730000000000008</v>
      </c>
      <c r="L264" s="122">
        <f t="shared" si="1669"/>
        <v>0.52100000000000002</v>
      </c>
      <c r="M264" s="41"/>
      <c r="N264" s="41"/>
      <c r="O264" s="32">
        <f t="shared" ref="O264:P264" si="1670">O263</f>
        <v>100.48</v>
      </c>
      <c r="P264" s="168" t="str">
        <f t="shared" si="1670"/>
        <v>2,29,610</v>
      </c>
      <c r="Q264" s="11" t="str">
        <f t="shared" si="1339"/>
        <v>2</v>
      </c>
      <c r="R264" s="11" t="str">
        <f t="shared" si="1340"/>
        <v>29,610</v>
      </c>
      <c r="S264" s="11">
        <f t="shared" si="1341"/>
        <v>4.1558333333333336E-2</v>
      </c>
      <c r="T264" s="14">
        <f t="shared" si="1342"/>
        <v>2417.8062963705634</v>
      </c>
      <c r="U264" s="37">
        <f t="shared" si="1343"/>
        <v>-100</v>
      </c>
      <c r="V264" s="38">
        <f t="shared" ref="V264:W264" si="1671">V263</f>
        <v>21.3</v>
      </c>
      <c r="W264" s="124">
        <f t="shared" si="1671"/>
        <v>1.0960000000000001</v>
      </c>
      <c r="X264" s="124">
        <f t="shared" si="1592"/>
        <v>1.0880000000000001</v>
      </c>
      <c r="Y264" s="41"/>
      <c r="Z264" s="41"/>
      <c r="AA264" s="90">
        <f t="shared" ref="AA264:AB264" si="1672">AA263</f>
        <v>5.01</v>
      </c>
      <c r="AB264" s="73" t="str">
        <f t="shared" si="1672"/>
        <v>11,15,880</v>
      </c>
      <c r="AC264" s="11" t="str">
        <f t="shared" si="1346"/>
        <v>11</v>
      </c>
      <c r="AD264" s="11" t="str">
        <f t="shared" si="1347"/>
        <v>15,880</v>
      </c>
      <c r="AE264" s="11">
        <f t="shared" si="1348"/>
        <v>0.18774444444444444</v>
      </c>
      <c r="AF264" s="14">
        <f t="shared" si="1349"/>
        <v>26.685210392377346</v>
      </c>
      <c r="AG264" s="39">
        <f t="shared" si="1350"/>
        <v>-100</v>
      </c>
      <c r="AH264" s="38">
        <f t="shared" si="1600"/>
        <v>18.399999999999999</v>
      </c>
      <c r="AI264" s="124">
        <f t="shared" si="1600"/>
        <v>1.0980000000000001</v>
      </c>
      <c r="AJ264" s="124">
        <f t="shared" si="1600"/>
        <v>1.087</v>
      </c>
      <c r="AK264" s="41">
        <f t="shared" si="1351"/>
        <v>0</v>
      </c>
      <c r="AL264" s="41"/>
      <c r="AM264" s="34">
        <f t="shared" ref="AM264:AN264" si="1673">AM263</f>
        <v>2.0049999999999999</v>
      </c>
      <c r="AN264" s="33" t="str">
        <f t="shared" si="1673"/>
        <v>7,19,050</v>
      </c>
      <c r="AO264" s="11" t="str">
        <f t="shared" si="1353"/>
        <v>7,</v>
      </c>
      <c r="AP264" s="11" t="str">
        <f t="shared" si="1354"/>
        <v>19,050</v>
      </c>
      <c r="AQ264" s="11">
        <f t="shared" si="1355"/>
        <v>0.12195833333333334</v>
      </c>
      <c r="AR264" s="14">
        <f t="shared" si="1356"/>
        <v>16.44004099760847</v>
      </c>
      <c r="AS264" s="39">
        <f t="shared" si="1357"/>
        <v>-100</v>
      </c>
      <c r="AT264" s="40" t="str">
        <f t="shared" si="1358"/>
        <v>NO CONFORME</v>
      </c>
      <c r="AU264" s="8" t="b">
        <f t="shared" si="1280"/>
        <v>1</v>
      </c>
      <c r="AV264" s="8" t="b">
        <f t="shared" si="1281"/>
        <v>0</v>
      </c>
      <c r="AW264" s="8" t="b">
        <f t="shared" si="1282"/>
        <v>1</v>
      </c>
      <c r="AX264" s="8" t="str">
        <f t="shared" si="1283"/>
        <v>Qcorrecto</v>
      </c>
      <c r="AY264" s="22" t="str">
        <f t="shared" si="1263"/>
        <v>aceptable</v>
      </c>
      <c r="AZ264" s="22" t="str">
        <f t="shared" si="1264"/>
        <v>aceptable</v>
      </c>
      <c r="BA264" s="22" t="str">
        <f t="shared" si="1284"/>
        <v>aceptable</v>
      </c>
      <c r="BB264" s="25" t="str">
        <f t="shared" si="1285"/>
        <v>NO CONFORME</v>
      </c>
      <c r="BC264" s="5" t="str">
        <f t="shared" si="1286"/>
        <v>NO CONFORME</v>
      </c>
      <c r="BD264" s="15">
        <f t="shared" si="1265"/>
        <v>-1</v>
      </c>
      <c r="BE264" s="15">
        <f t="shared" si="1266"/>
        <v>-1</v>
      </c>
      <c r="BF264" s="15">
        <f t="shared" si="1267"/>
        <v>-1</v>
      </c>
      <c r="BG264" s="15" t="str">
        <f t="shared" si="1268"/>
        <v>-1-1-1</v>
      </c>
      <c r="BH264" s="15" t="str">
        <f t="shared" si="1269"/>
        <v>SD</v>
      </c>
      <c r="BI264" s="15" t="str">
        <f t="shared" si="1270"/>
        <v>SI</v>
      </c>
      <c r="BJ264" s="15" t="b">
        <f t="shared" si="1271"/>
        <v>1</v>
      </c>
      <c r="BK264" s="15" t="str">
        <f t="shared" si="1272"/>
        <v>SIGIGUALES</v>
      </c>
      <c r="BL264" s="22" t="str">
        <f t="shared" si="1273"/>
        <v>NO CONFORME</v>
      </c>
    </row>
    <row r="265" spans="1:64" ht="14.4" x14ac:dyDescent="0.3">
      <c r="A265" s="91">
        <v>257</v>
      </c>
      <c r="B265" s="28">
        <f t="shared" ref="B265:E265" si="1674">B264</f>
        <v>45920</v>
      </c>
      <c r="C265" s="28">
        <f t="shared" si="1674"/>
        <v>45920</v>
      </c>
      <c r="D265" s="12">
        <f t="shared" si="1674"/>
        <v>3</v>
      </c>
      <c r="E265" s="10">
        <f t="shared" si="1674"/>
        <v>8</v>
      </c>
      <c r="F265" s="13"/>
      <c r="G265" s="157"/>
      <c r="H265" s="70">
        <f t="shared" ref="H265:L265" si="1675">H264</f>
        <v>25.6</v>
      </c>
      <c r="I265" s="36">
        <f t="shared" si="1675"/>
        <v>0</v>
      </c>
      <c r="J265" s="35">
        <f t="shared" si="1675"/>
        <v>20.9</v>
      </c>
      <c r="K265" s="122">
        <f t="shared" si="1675"/>
        <v>8.4730000000000008</v>
      </c>
      <c r="L265" s="122">
        <f t="shared" si="1675"/>
        <v>0.52100000000000002</v>
      </c>
      <c r="M265" s="41"/>
      <c r="N265" s="41"/>
      <c r="O265" s="32">
        <f t="shared" ref="O265:P265" si="1676">O264</f>
        <v>100.48</v>
      </c>
      <c r="P265" s="168" t="str">
        <f t="shared" si="1676"/>
        <v>2,29,610</v>
      </c>
      <c r="Q265" s="11" t="str">
        <f t="shared" si="1339"/>
        <v>2</v>
      </c>
      <c r="R265" s="11" t="str">
        <f t="shared" si="1340"/>
        <v>29,610</v>
      </c>
      <c r="S265" s="11">
        <f t="shared" si="1341"/>
        <v>4.1558333333333336E-2</v>
      </c>
      <c r="T265" s="14">
        <f t="shared" si="1342"/>
        <v>2417.8062963705634</v>
      </c>
      <c r="U265" s="37">
        <f t="shared" si="1343"/>
        <v>-100</v>
      </c>
      <c r="V265" s="38">
        <f t="shared" ref="V265:W265" si="1677">V264</f>
        <v>21.3</v>
      </c>
      <c r="W265" s="124">
        <f t="shared" si="1677"/>
        <v>1.0960000000000001</v>
      </c>
      <c r="X265" s="124">
        <f t="shared" si="1592"/>
        <v>1.0880000000000001</v>
      </c>
      <c r="Y265" s="41"/>
      <c r="Z265" s="41"/>
      <c r="AA265" s="90">
        <f t="shared" ref="AA265:AB265" si="1678">AA264</f>
        <v>5.01</v>
      </c>
      <c r="AB265" s="73" t="str">
        <f t="shared" si="1678"/>
        <v>11,15,880</v>
      </c>
      <c r="AC265" s="11" t="str">
        <f t="shared" si="1346"/>
        <v>11</v>
      </c>
      <c r="AD265" s="11" t="str">
        <f t="shared" si="1347"/>
        <v>15,880</v>
      </c>
      <c r="AE265" s="11">
        <f t="shared" si="1348"/>
        <v>0.18774444444444444</v>
      </c>
      <c r="AF265" s="14">
        <f t="shared" si="1349"/>
        <v>26.685210392377346</v>
      </c>
      <c r="AG265" s="39">
        <f t="shared" si="1350"/>
        <v>-100</v>
      </c>
      <c r="AH265" s="38">
        <f t="shared" si="1600"/>
        <v>18.399999999999999</v>
      </c>
      <c r="AI265" s="124">
        <f t="shared" si="1600"/>
        <v>1.0980000000000001</v>
      </c>
      <c r="AJ265" s="124">
        <f t="shared" si="1600"/>
        <v>1.087</v>
      </c>
      <c r="AK265" s="41">
        <f t="shared" si="1351"/>
        <v>0</v>
      </c>
      <c r="AL265" s="41"/>
      <c r="AM265" s="34">
        <f t="shared" ref="AM265:AN265" si="1679">AM264</f>
        <v>2.0049999999999999</v>
      </c>
      <c r="AN265" s="33" t="str">
        <f t="shared" si="1679"/>
        <v>7,19,050</v>
      </c>
      <c r="AO265" s="11" t="str">
        <f t="shared" si="1353"/>
        <v>7,</v>
      </c>
      <c r="AP265" s="11" t="str">
        <f t="shared" si="1354"/>
        <v>19,050</v>
      </c>
      <c r="AQ265" s="11">
        <f t="shared" si="1355"/>
        <v>0.12195833333333334</v>
      </c>
      <c r="AR265" s="14">
        <f t="shared" si="1356"/>
        <v>16.44004099760847</v>
      </c>
      <c r="AS265" s="39">
        <f t="shared" si="1357"/>
        <v>-100</v>
      </c>
      <c r="AT265" s="40" t="str">
        <f t="shared" si="1358"/>
        <v>NO CONFORME</v>
      </c>
      <c r="AU265" s="8" t="b">
        <f t="shared" si="1280"/>
        <v>1</v>
      </c>
      <c r="AV265" s="8" t="b">
        <f t="shared" si="1281"/>
        <v>0</v>
      </c>
      <c r="AW265" s="8" t="b">
        <f t="shared" si="1282"/>
        <v>1</v>
      </c>
      <c r="AX265" s="8" t="str">
        <f t="shared" si="1283"/>
        <v>Qcorrecto</v>
      </c>
      <c r="AY265" s="22" t="str">
        <f t="shared" si="1263"/>
        <v>aceptable</v>
      </c>
      <c r="AZ265" s="22" t="str">
        <f t="shared" si="1264"/>
        <v>aceptable</v>
      </c>
      <c r="BA265" s="22" t="str">
        <f t="shared" si="1284"/>
        <v>aceptable</v>
      </c>
      <c r="BB265" s="25" t="str">
        <f t="shared" si="1285"/>
        <v>NO CONFORME</v>
      </c>
      <c r="BC265" s="5" t="str">
        <f t="shared" si="1286"/>
        <v>NO CONFORME</v>
      </c>
      <c r="BD265" s="15">
        <f t="shared" si="1265"/>
        <v>-1</v>
      </c>
      <c r="BE265" s="15">
        <f t="shared" si="1266"/>
        <v>-1</v>
      </c>
      <c r="BF265" s="15">
        <f t="shared" si="1267"/>
        <v>-1</v>
      </c>
      <c r="BG265" s="15" t="str">
        <f t="shared" si="1268"/>
        <v>-1-1-1</v>
      </c>
      <c r="BH265" s="15" t="str">
        <f t="shared" si="1269"/>
        <v>SD</v>
      </c>
      <c r="BI265" s="15" t="str">
        <f t="shared" si="1270"/>
        <v>SI</v>
      </c>
      <c r="BJ265" s="15" t="b">
        <f t="shared" si="1271"/>
        <v>1</v>
      </c>
      <c r="BK265" s="15" t="str">
        <f t="shared" si="1272"/>
        <v>SIGIGUALES</v>
      </c>
      <c r="BL265" s="22" t="str">
        <f t="shared" si="1273"/>
        <v>NO CONFORME</v>
      </c>
    </row>
    <row r="266" spans="1:64" ht="14.4" x14ac:dyDescent="0.3">
      <c r="A266" s="91">
        <v>258</v>
      </c>
      <c r="B266" s="28">
        <f t="shared" ref="B266:E266" si="1680">B265</f>
        <v>45920</v>
      </c>
      <c r="C266" s="28">
        <f t="shared" si="1680"/>
        <v>45920</v>
      </c>
      <c r="D266" s="12">
        <f t="shared" si="1680"/>
        <v>3</v>
      </c>
      <c r="E266" s="10">
        <f t="shared" si="1680"/>
        <v>8</v>
      </c>
      <c r="F266" s="13"/>
      <c r="G266" s="157"/>
      <c r="H266" s="70">
        <f t="shared" ref="H266:L266" si="1681">H265</f>
        <v>25.6</v>
      </c>
      <c r="I266" s="36">
        <f t="shared" si="1681"/>
        <v>0</v>
      </c>
      <c r="J266" s="35">
        <f t="shared" si="1681"/>
        <v>20.9</v>
      </c>
      <c r="K266" s="122">
        <f t="shared" si="1681"/>
        <v>8.4730000000000008</v>
      </c>
      <c r="L266" s="122">
        <f t="shared" si="1681"/>
        <v>0.52100000000000002</v>
      </c>
      <c r="M266" s="41"/>
      <c r="N266" s="41"/>
      <c r="O266" s="32">
        <f t="shared" ref="O266:P266" si="1682">O265</f>
        <v>100.48</v>
      </c>
      <c r="P266" s="168" t="str">
        <f t="shared" si="1682"/>
        <v>2,29,610</v>
      </c>
      <c r="Q266" s="11" t="str">
        <f t="shared" si="1339"/>
        <v>2</v>
      </c>
      <c r="R266" s="11" t="str">
        <f t="shared" si="1340"/>
        <v>29,610</v>
      </c>
      <c r="S266" s="11">
        <f t="shared" si="1341"/>
        <v>4.1558333333333336E-2</v>
      </c>
      <c r="T266" s="14">
        <f t="shared" si="1342"/>
        <v>2417.8062963705634</v>
      </c>
      <c r="U266" s="37">
        <f t="shared" si="1343"/>
        <v>-100</v>
      </c>
      <c r="V266" s="38">
        <f t="shared" ref="V266:W266" si="1683">V265</f>
        <v>21.3</v>
      </c>
      <c r="W266" s="124">
        <f t="shared" si="1683"/>
        <v>1.0960000000000001</v>
      </c>
      <c r="X266" s="124">
        <f t="shared" si="1592"/>
        <v>1.0880000000000001</v>
      </c>
      <c r="Y266" s="41"/>
      <c r="Z266" s="41"/>
      <c r="AA266" s="90">
        <f t="shared" ref="AA266:AB266" si="1684">AA265</f>
        <v>5.01</v>
      </c>
      <c r="AB266" s="73" t="str">
        <f t="shared" si="1684"/>
        <v>11,15,880</v>
      </c>
      <c r="AC266" s="11" t="str">
        <f t="shared" si="1346"/>
        <v>11</v>
      </c>
      <c r="AD266" s="11" t="str">
        <f t="shared" si="1347"/>
        <v>15,880</v>
      </c>
      <c r="AE266" s="11">
        <f t="shared" si="1348"/>
        <v>0.18774444444444444</v>
      </c>
      <c r="AF266" s="14">
        <f t="shared" si="1349"/>
        <v>26.685210392377346</v>
      </c>
      <c r="AG266" s="39">
        <f t="shared" si="1350"/>
        <v>-100</v>
      </c>
      <c r="AH266" s="38">
        <f t="shared" si="1600"/>
        <v>18.399999999999999</v>
      </c>
      <c r="AI266" s="124">
        <f t="shared" si="1600"/>
        <v>1.0980000000000001</v>
      </c>
      <c r="AJ266" s="124">
        <f t="shared" si="1600"/>
        <v>1.087</v>
      </c>
      <c r="AK266" s="41">
        <f t="shared" si="1351"/>
        <v>0</v>
      </c>
      <c r="AL266" s="41"/>
      <c r="AM266" s="34">
        <f t="shared" ref="AM266:AN266" si="1685">AM265</f>
        <v>2.0049999999999999</v>
      </c>
      <c r="AN266" s="33" t="str">
        <f t="shared" si="1685"/>
        <v>7,19,050</v>
      </c>
      <c r="AO266" s="11" t="str">
        <f t="shared" si="1353"/>
        <v>7,</v>
      </c>
      <c r="AP266" s="11" t="str">
        <f t="shared" si="1354"/>
        <v>19,050</v>
      </c>
      <c r="AQ266" s="11">
        <f t="shared" si="1355"/>
        <v>0.12195833333333334</v>
      </c>
      <c r="AR266" s="14">
        <f t="shared" si="1356"/>
        <v>16.44004099760847</v>
      </c>
      <c r="AS266" s="39">
        <f t="shared" si="1357"/>
        <v>-100</v>
      </c>
      <c r="AT266" s="40" t="str">
        <f t="shared" si="1358"/>
        <v>NO CONFORME</v>
      </c>
      <c r="AU266" s="8" t="b">
        <f t="shared" si="1280"/>
        <v>1</v>
      </c>
      <c r="AV266" s="8" t="b">
        <f t="shared" si="1281"/>
        <v>0</v>
      </c>
      <c r="AW266" s="8" t="b">
        <f t="shared" si="1282"/>
        <v>1</v>
      </c>
      <c r="AX266" s="8" t="str">
        <f t="shared" si="1283"/>
        <v>Qcorrecto</v>
      </c>
      <c r="AY266" s="22" t="str">
        <f t="shared" ref="AY266:AY309" si="1686">IF(AR266&lt;$AH$6,"error",IF(AR266&gt;$AH$6*1.1,"error","aceptable"))</f>
        <v>aceptable</v>
      </c>
      <c r="AZ266" s="22" t="str">
        <f t="shared" ref="AZ266:AZ309" si="1687">IF(AF266&lt;$V$6,"error",IF(AF266&gt;$V$6*1.1,"error","aceptable"))</f>
        <v>aceptable</v>
      </c>
      <c r="BA266" s="22" t="str">
        <f t="shared" si="1284"/>
        <v>aceptable</v>
      </c>
      <c r="BB266" s="25" t="str">
        <f t="shared" si="1285"/>
        <v>NO CONFORME</v>
      </c>
      <c r="BC266" s="5" t="str">
        <f t="shared" si="1286"/>
        <v>NO CONFORME</v>
      </c>
      <c r="BD266" s="15">
        <f t="shared" ref="BD266:BD309" si="1688">SIGN(U266)</f>
        <v>-1</v>
      </c>
      <c r="BE266" s="15">
        <f t="shared" ref="BE266:BE309" si="1689">SIGN(AG266)</f>
        <v>-1</v>
      </c>
      <c r="BF266" s="15">
        <f t="shared" ref="BF266:BF309" si="1690">SIGN(AS266)</f>
        <v>-1</v>
      </c>
      <c r="BG266" s="15" t="str">
        <f t="shared" ref="BG266:BG309" si="1691">CONCATENATE(BD266,BE266,BF266)</f>
        <v>-1-1-1</v>
      </c>
      <c r="BH266" s="15" t="str">
        <f t="shared" ref="BH266:BH309" si="1692">IF(BG266="111","SI","SD")</f>
        <v>SD</v>
      </c>
      <c r="BI266" s="15" t="str">
        <f t="shared" ref="BI266:BI309" si="1693">IF(BG266="-1-1-1","SI","SD")</f>
        <v>SI</v>
      </c>
      <c r="BJ266" s="15" t="b">
        <f t="shared" ref="BJ266:BJ309" si="1694">OR(BH266="SI",BI266="SI")</f>
        <v>1</v>
      </c>
      <c r="BK266" s="15" t="str">
        <f t="shared" ref="BK266:BK309" si="1695">IF(BJ266=FALSE,"SIGDIFERENTES","SIGIGUALES")</f>
        <v>SIGIGUALES</v>
      </c>
      <c r="BL266" s="22" t="str">
        <f t="shared" ref="BL266:BL309" si="1696">IF(BC266="NO CONFORME","NO CONFORME",IF(BB266="CONFORME","CONFORME","NO CONFORME"))</f>
        <v>NO CONFORME</v>
      </c>
    </row>
    <row r="267" spans="1:64" ht="14.4" x14ac:dyDescent="0.3">
      <c r="A267" s="91">
        <v>259</v>
      </c>
      <c r="B267" s="28">
        <f t="shared" ref="B267:E267" si="1697">B266</f>
        <v>45920</v>
      </c>
      <c r="C267" s="28">
        <f t="shared" si="1697"/>
        <v>45920</v>
      </c>
      <c r="D267" s="12">
        <f t="shared" si="1697"/>
        <v>3</v>
      </c>
      <c r="E267" s="10">
        <f t="shared" si="1697"/>
        <v>8</v>
      </c>
      <c r="F267" s="13"/>
      <c r="G267" s="157"/>
      <c r="H267" s="70">
        <f t="shared" ref="H267:L267" si="1698">H266</f>
        <v>25.6</v>
      </c>
      <c r="I267" s="36">
        <f t="shared" si="1698"/>
        <v>0</v>
      </c>
      <c r="J267" s="35">
        <f t="shared" si="1698"/>
        <v>20.9</v>
      </c>
      <c r="K267" s="122">
        <f t="shared" si="1698"/>
        <v>8.4730000000000008</v>
      </c>
      <c r="L267" s="122">
        <f t="shared" si="1698"/>
        <v>0.52100000000000002</v>
      </c>
      <c r="M267" s="41"/>
      <c r="N267" s="41"/>
      <c r="O267" s="32">
        <f t="shared" ref="O267:P267" si="1699">O266</f>
        <v>100.48</v>
      </c>
      <c r="P267" s="168" t="str">
        <f t="shared" si="1699"/>
        <v>2,29,610</v>
      </c>
      <c r="Q267" s="11" t="str">
        <f t="shared" si="1339"/>
        <v>2</v>
      </c>
      <c r="R267" s="11" t="str">
        <f t="shared" si="1340"/>
        <v>29,610</v>
      </c>
      <c r="S267" s="11">
        <f t="shared" si="1341"/>
        <v>4.1558333333333336E-2</v>
      </c>
      <c r="T267" s="14">
        <f t="shared" si="1342"/>
        <v>2417.8062963705634</v>
      </c>
      <c r="U267" s="37">
        <f t="shared" si="1343"/>
        <v>-100</v>
      </c>
      <c r="V267" s="38">
        <f t="shared" ref="V267:X282" si="1700">V266</f>
        <v>21.3</v>
      </c>
      <c r="W267" s="124">
        <f t="shared" si="1700"/>
        <v>1.0960000000000001</v>
      </c>
      <c r="X267" s="124">
        <f t="shared" si="1700"/>
        <v>1.0880000000000001</v>
      </c>
      <c r="Y267" s="41"/>
      <c r="Z267" s="41"/>
      <c r="AA267" s="90">
        <f t="shared" ref="AA267:AB267" si="1701">AA266</f>
        <v>5.01</v>
      </c>
      <c r="AB267" s="73" t="str">
        <f t="shared" si="1701"/>
        <v>11,15,880</v>
      </c>
      <c r="AC267" s="11" t="str">
        <f t="shared" si="1346"/>
        <v>11</v>
      </c>
      <c r="AD267" s="11" t="str">
        <f t="shared" si="1347"/>
        <v>15,880</v>
      </c>
      <c r="AE267" s="11">
        <f t="shared" si="1348"/>
        <v>0.18774444444444444</v>
      </c>
      <c r="AF267" s="14">
        <f t="shared" si="1349"/>
        <v>26.685210392377346</v>
      </c>
      <c r="AG267" s="39">
        <f t="shared" si="1350"/>
        <v>-100</v>
      </c>
      <c r="AH267" s="38">
        <f t="shared" si="1600"/>
        <v>18.399999999999999</v>
      </c>
      <c r="AI267" s="124">
        <f t="shared" si="1600"/>
        <v>1.0980000000000001</v>
      </c>
      <c r="AJ267" s="124">
        <f t="shared" si="1600"/>
        <v>1.087</v>
      </c>
      <c r="AK267" s="41">
        <f t="shared" si="1351"/>
        <v>0</v>
      </c>
      <c r="AL267" s="41"/>
      <c r="AM267" s="34">
        <f t="shared" ref="AM267:AN267" si="1702">AM266</f>
        <v>2.0049999999999999</v>
      </c>
      <c r="AN267" s="33" t="str">
        <f t="shared" si="1702"/>
        <v>7,19,050</v>
      </c>
      <c r="AO267" s="11" t="str">
        <f t="shared" si="1353"/>
        <v>7,</v>
      </c>
      <c r="AP267" s="11" t="str">
        <f t="shared" si="1354"/>
        <v>19,050</v>
      </c>
      <c r="AQ267" s="11">
        <f t="shared" si="1355"/>
        <v>0.12195833333333334</v>
      </c>
      <c r="AR267" s="14">
        <f t="shared" si="1356"/>
        <v>16.44004099760847</v>
      </c>
      <c r="AS267" s="39">
        <f t="shared" si="1357"/>
        <v>-100</v>
      </c>
      <c r="AT267" s="40" t="str">
        <f t="shared" si="1358"/>
        <v>NO CONFORME</v>
      </c>
      <c r="AU267" s="8" t="b">
        <f t="shared" ref="AU267:AU309" si="1703">B267&lt;=C267</f>
        <v>1</v>
      </c>
      <c r="AV267" s="8" t="b">
        <f t="shared" ref="AV267:AV309" si="1704">N267&lt;Y267</f>
        <v>0</v>
      </c>
      <c r="AW267" s="8" t="b">
        <f t="shared" ref="AW267:AW309" si="1705">Z267&lt;=AK267</f>
        <v>1</v>
      </c>
      <c r="AX267" s="8" t="str">
        <f t="shared" ref="AX267:AX309" si="1706">IF(I267&gt;=1,"Qcorrecto",IF(AND(AY267="aceptable",AZ267="aceptable",BA267="aceptable"),"Qcorrecto","Qincorrecto"))</f>
        <v>Qcorrecto</v>
      </c>
      <c r="AY267" s="22" t="str">
        <f t="shared" si="1686"/>
        <v>aceptable</v>
      </c>
      <c r="AZ267" s="22" t="str">
        <f t="shared" si="1687"/>
        <v>aceptable</v>
      </c>
      <c r="BA267" s="22" t="str">
        <f t="shared" ref="BA267:BA309" si="1707">IF(T267&lt;$J$6*0.9,"error",IF(T267&gt;$J$6,"error","aceptable"))</f>
        <v>aceptable</v>
      </c>
      <c r="BB267" s="25" t="str">
        <f t="shared" ref="BB267:BB309" si="1708">(IF(ABS(U267)&lt;1.05,"CONFORME",IF(ABS(AG267)&lt;1.05,"CONFORME",IF(ABS(AS267)&lt;2.55,"CONFORME","NO CONFORME"))))</f>
        <v>NO CONFORME</v>
      </c>
      <c r="BC267" s="5" t="str">
        <f t="shared" ref="BC267:BC309" si="1709">(IF(ABS(U267)&gt;2.05,"NO CONFORME",IF(ABS(AG267)&gt;2.05,"NO CONFORME",IF(ABS(AS267)&gt;5.05,"NO CONFORME","CONFORME"))))</f>
        <v>NO CONFORME</v>
      </c>
      <c r="BD267" s="15">
        <f t="shared" si="1688"/>
        <v>-1</v>
      </c>
      <c r="BE267" s="15">
        <f t="shared" si="1689"/>
        <v>-1</v>
      </c>
      <c r="BF267" s="15">
        <f t="shared" si="1690"/>
        <v>-1</v>
      </c>
      <c r="BG267" s="15" t="str">
        <f t="shared" si="1691"/>
        <v>-1-1-1</v>
      </c>
      <c r="BH267" s="15" t="str">
        <f t="shared" si="1692"/>
        <v>SD</v>
      </c>
      <c r="BI267" s="15" t="str">
        <f t="shared" si="1693"/>
        <v>SI</v>
      </c>
      <c r="BJ267" s="15" t="b">
        <f t="shared" si="1694"/>
        <v>1</v>
      </c>
      <c r="BK267" s="15" t="str">
        <f t="shared" si="1695"/>
        <v>SIGIGUALES</v>
      </c>
      <c r="BL267" s="22" t="str">
        <f t="shared" si="1696"/>
        <v>NO CONFORME</v>
      </c>
    </row>
    <row r="268" spans="1:64" ht="14.4" x14ac:dyDescent="0.3">
      <c r="A268" s="91">
        <v>260</v>
      </c>
      <c r="B268" s="28">
        <f t="shared" ref="B268:E268" si="1710">B267</f>
        <v>45920</v>
      </c>
      <c r="C268" s="28">
        <f t="shared" si="1710"/>
        <v>45920</v>
      </c>
      <c r="D268" s="12">
        <f t="shared" si="1710"/>
        <v>3</v>
      </c>
      <c r="E268" s="10">
        <f t="shared" si="1710"/>
        <v>8</v>
      </c>
      <c r="F268" s="13"/>
      <c r="G268" s="157"/>
      <c r="H268" s="70">
        <f t="shared" ref="H268:L268" si="1711">H267</f>
        <v>25.6</v>
      </c>
      <c r="I268" s="36">
        <f t="shared" si="1711"/>
        <v>0</v>
      </c>
      <c r="J268" s="35">
        <f t="shared" si="1711"/>
        <v>20.9</v>
      </c>
      <c r="K268" s="122">
        <f t="shared" si="1711"/>
        <v>8.4730000000000008</v>
      </c>
      <c r="L268" s="122">
        <f t="shared" si="1711"/>
        <v>0.52100000000000002</v>
      </c>
      <c r="M268" s="41"/>
      <c r="N268" s="41"/>
      <c r="O268" s="32">
        <f t="shared" ref="O268:P268" si="1712">O267</f>
        <v>100.48</v>
      </c>
      <c r="P268" s="168" t="str">
        <f t="shared" si="1712"/>
        <v>2,29,610</v>
      </c>
      <c r="Q268" s="11" t="str">
        <f t="shared" si="1339"/>
        <v>2</v>
      </c>
      <c r="R268" s="11" t="str">
        <f t="shared" si="1340"/>
        <v>29,610</v>
      </c>
      <c r="S268" s="11">
        <f t="shared" si="1341"/>
        <v>4.1558333333333336E-2</v>
      </c>
      <c r="T268" s="14">
        <f t="shared" si="1342"/>
        <v>2417.8062963705634</v>
      </c>
      <c r="U268" s="37">
        <f t="shared" si="1343"/>
        <v>-100</v>
      </c>
      <c r="V268" s="38">
        <f t="shared" ref="V268:W268" si="1713">V267</f>
        <v>21.3</v>
      </c>
      <c r="W268" s="124">
        <f t="shared" si="1713"/>
        <v>1.0960000000000001</v>
      </c>
      <c r="X268" s="124">
        <f t="shared" si="1700"/>
        <v>1.0880000000000001</v>
      </c>
      <c r="Y268" s="41"/>
      <c r="Z268" s="41"/>
      <c r="AA268" s="90">
        <f t="shared" ref="AA268:AB268" si="1714">AA267</f>
        <v>5.01</v>
      </c>
      <c r="AB268" s="73" t="str">
        <f t="shared" si="1714"/>
        <v>11,15,880</v>
      </c>
      <c r="AC268" s="11" t="str">
        <f t="shared" si="1346"/>
        <v>11</v>
      </c>
      <c r="AD268" s="11" t="str">
        <f t="shared" si="1347"/>
        <v>15,880</v>
      </c>
      <c r="AE268" s="11">
        <f t="shared" si="1348"/>
        <v>0.18774444444444444</v>
      </c>
      <c r="AF268" s="14">
        <f t="shared" si="1349"/>
        <v>26.685210392377346</v>
      </c>
      <c r="AG268" s="39">
        <f t="shared" si="1350"/>
        <v>-100</v>
      </c>
      <c r="AH268" s="38">
        <f t="shared" ref="AH268:AJ283" si="1715">AH267</f>
        <v>18.399999999999999</v>
      </c>
      <c r="AI268" s="124">
        <f t="shared" si="1715"/>
        <v>1.0980000000000001</v>
      </c>
      <c r="AJ268" s="124">
        <f t="shared" si="1715"/>
        <v>1.087</v>
      </c>
      <c r="AK268" s="41">
        <f t="shared" si="1351"/>
        <v>0</v>
      </c>
      <c r="AL268" s="41"/>
      <c r="AM268" s="34">
        <f t="shared" ref="AM268:AN268" si="1716">AM267</f>
        <v>2.0049999999999999</v>
      </c>
      <c r="AN268" s="33" t="str">
        <f t="shared" si="1716"/>
        <v>7,19,050</v>
      </c>
      <c r="AO268" s="11" t="str">
        <f t="shared" si="1353"/>
        <v>7,</v>
      </c>
      <c r="AP268" s="11" t="str">
        <f t="shared" si="1354"/>
        <v>19,050</v>
      </c>
      <c r="AQ268" s="11">
        <f t="shared" si="1355"/>
        <v>0.12195833333333334</v>
      </c>
      <c r="AR268" s="14">
        <f t="shared" si="1356"/>
        <v>16.44004099760847</v>
      </c>
      <c r="AS268" s="39">
        <f t="shared" si="1357"/>
        <v>-100</v>
      </c>
      <c r="AT268" s="40" t="str">
        <f t="shared" si="1358"/>
        <v>NO CONFORME</v>
      </c>
      <c r="AU268" s="8" t="b">
        <f t="shared" si="1703"/>
        <v>1</v>
      </c>
      <c r="AV268" s="8" t="b">
        <f t="shared" si="1704"/>
        <v>0</v>
      </c>
      <c r="AW268" s="8" t="b">
        <f t="shared" si="1705"/>
        <v>1</v>
      </c>
      <c r="AX268" s="8" t="str">
        <f t="shared" si="1706"/>
        <v>Qcorrecto</v>
      </c>
      <c r="AY268" s="22" t="str">
        <f t="shared" si="1686"/>
        <v>aceptable</v>
      </c>
      <c r="AZ268" s="22" t="str">
        <f t="shared" si="1687"/>
        <v>aceptable</v>
      </c>
      <c r="BA268" s="22" t="str">
        <f t="shared" si="1707"/>
        <v>aceptable</v>
      </c>
      <c r="BB268" s="25" t="str">
        <f t="shared" si="1708"/>
        <v>NO CONFORME</v>
      </c>
      <c r="BC268" s="5" t="str">
        <f t="shared" si="1709"/>
        <v>NO CONFORME</v>
      </c>
      <c r="BD268" s="15">
        <f t="shared" si="1688"/>
        <v>-1</v>
      </c>
      <c r="BE268" s="15">
        <f t="shared" si="1689"/>
        <v>-1</v>
      </c>
      <c r="BF268" s="15">
        <f t="shared" si="1690"/>
        <v>-1</v>
      </c>
      <c r="BG268" s="15" t="str">
        <f t="shared" si="1691"/>
        <v>-1-1-1</v>
      </c>
      <c r="BH268" s="15" t="str">
        <f t="shared" si="1692"/>
        <v>SD</v>
      </c>
      <c r="BI268" s="15" t="str">
        <f t="shared" si="1693"/>
        <v>SI</v>
      </c>
      <c r="BJ268" s="15" t="b">
        <f t="shared" si="1694"/>
        <v>1</v>
      </c>
      <c r="BK268" s="15" t="str">
        <f t="shared" si="1695"/>
        <v>SIGIGUALES</v>
      </c>
      <c r="BL268" s="22" t="str">
        <f t="shared" si="1696"/>
        <v>NO CONFORME</v>
      </c>
    </row>
    <row r="269" spans="1:64" ht="14.4" x14ac:dyDescent="0.3">
      <c r="A269" s="91">
        <v>261</v>
      </c>
      <c r="B269" s="28">
        <f t="shared" ref="B269:E269" si="1717">B268</f>
        <v>45920</v>
      </c>
      <c r="C269" s="28">
        <f t="shared" si="1717"/>
        <v>45920</v>
      </c>
      <c r="D269" s="12">
        <f t="shared" si="1717"/>
        <v>3</v>
      </c>
      <c r="E269" s="10">
        <f t="shared" si="1717"/>
        <v>8</v>
      </c>
      <c r="F269" s="13"/>
      <c r="G269" s="157"/>
      <c r="H269" s="70">
        <f t="shared" ref="H269:L269" si="1718">H268</f>
        <v>25.6</v>
      </c>
      <c r="I269" s="36">
        <f t="shared" si="1718"/>
        <v>0</v>
      </c>
      <c r="J269" s="35">
        <f t="shared" si="1718"/>
        <v>20.9</v>
      </c>
      <c r="K269" s="122">
        <f t="shared" si="1718"/>
        <v>8.4730000000000008</v>
      </c>
      <c r="L269" s="122">
        <f t="shared" si="1718"/>
        <v>0.52100000000000002</v>
      </c>
      <c r="M269" s="41"/>
      <c r="N269" s="41"/>
      <c r="O269" s="32">
        <f t="shared" ref="O269:P269" si="1719">O268</f>
        <v>100.48</v>
      </c>
      <c r="P269" s="168" t="str">
        <f t="shared" si="1719"/>
        <v>2,29,610</v>
      </c>
      <c r="Q269" s="11" t="str">
        <f t="shared" si="1339"/>
        <v>2</v>
      </c>
      <c r="R269" s="11" t="str">
        <f t="shared" si="1340"/>
        <v>29,610</v>
      </c>
      <c r="S269" s="11">
        <f t="shared" si="1341"/>
        <v>4.1558333333333336E-2</v>
      </c>
      <c r="T269" s="14">
        <f t="shared" si="1342"/>
        <v>2417.8062963705634</v>
      </c>
      <c r="U269" s="37">
        <f t="shared" si="1343"/>
        <v>-100</v>
      </c>
      <c r="V269" s="38">
        <f t="shared" ref="V269:W269" si="1720">V268</f>
        <v>21.3</v>
      </c>
      <c r="W269" s="124">
        <f t="shared" si="1720"/>
        <v>1.0960000000000001</v>
      </c>
      <c r="X269" s="124">
        <f t="shared" si="1700"/>
        <v>1.0880000000000001</v>
      </c>
      <c r="Y269" s="41"/>
      <c r="Z269" s="41"/>
      <c r="AA269" s="90">
        <f t="shared" ref="AA269:AB269" si="1721">AA268</f>
        <v>5.01</v>
      </c>
      <c r="AB269" s="73" t="str">
        <f t="shared" si="1721"/>
        <v>11,15,880</v>
      </c>
      <c r="AC269" s="11" t="str">
        <f t="shared" si="1346"/>
        <v>11</v>
      </c>
      <c r="AD269" s="11" t="str">
        <f t="shared" si="1347"/>
        <v>15,880</v>
      </c>
      <c r="AE269" s="11">
        <f t="shared" si="1348"/>
        <v>0.18774444444444444</v>
      </c>
      <c r="AF269" s="14">
        <f t="shared" si="1349"/>
        <v>26.685210392377346</v>
      </c>
      <c r="AG269" s="39">
        <f t="shared" si="1350"/>
        <v>-100</v>
      </c>
      <c r="AH269" s="38">
        <f t="shared" si="1715"/>
        <v>18.399999999999999</v>
      </c>
      <c r="AI269" s="124">
        <f t="shared" si="1715"/>
        <v>1.0980000000000001</v>
      </c>
      <c r="AJ269" s="124">
        <f t="shared" si="1715"/>
        <v>1.087</v>
      </c>
      <c r="AK269" s="41">
        <f t="shared" si="1351"/>
        <v>0</v>
      </c>
      <c r="AL269" s="41"/>
      <c r="AM269" s="34">
        <f t="shared" ref="AM269:AN269" si="1722">AM268</f>
        <v>2.0049999999999999</v>
      </c>
      <c r="AN269" s="33" t="str">
        <f t="shared" si="1722"/>
        <v>7,19,050</v>
      </c>
      <c r="AO269" s="11" t="str">
        <f t="shared" si="1353"/>
        <v>7,</v>
      </c>
      <c r="AP269" s="11" t="str">
        <f t="shared" si="1354"/>
        <v>19,050</v>
      </c>
      <c r="AQ269" s="11">
        <f t="shared" si="1355"/>
        <v>0.12195833333333334</v>
      </c>
      <c r="AR269" s="14">
        <f t="shared" si="1356"/>
        <v>16.44004099760847</v>
      </c>
      <c r="AS269" s="39">
        <f t="shared" si="1357"/>
        <v>-100</v>
      </c>
      <c r="AT269" s="40" t="str">
        <f t="shared" si="1358"/>
        <v>NO CONFORME</v>
      </c>
      <c r="AU269" s="8" t="b">
        <f t="shared" si="1703"/>
        <v>1</v>
      </c>
      <c r="AV269" s="8" t="b">
        <f t="shared" si="1704"/>
        <v>0</v>
      </c>
      <c r="AW269" s="8" t="b">
        <f t="shared" si="1705"/>
        <v>1</v>
      </c>
      <c r="AX269" s="8" t="str">
        <f t="shared" si="1706"/>
        <v>Qcorrecto</v>
      </c>
      <c r="AY269" s="22" t="str">
        <f t="shared" si="1686"/>
        <v>aceptable</v>
      </c>
      <c r="AZ269" s="22" t="str">
        <f t="shared" si="1687"/>
        <v>aceptable</v>
      </c>
      <c r="BA269" s="22" t="str">
        <f t="shared" si="1707"/>
        <v>aceptable</v>
      </c>
      <c r="BB269" s="25" t="str">
        <f t="shared" si="1708"/>
        <v>NO CONFORME</v>
      </c>
      <c r="BC269" s="5" t="str">
        <f t="shared" si="1709"/>
        <v>NO CONFORME</v>
      </c>
      <c r="BD269" s="15">
        <f t="shared" si="1688"/>
        <v>-1</v>
      </c>
      <c r="BE269" s="15">
        <f t="shared" si="1689"/>
        <v>-1</v>
      </c>
      <c r="BF269" s="15">
        <f t="shared" si="1690"/>
        <v>-1</v>
      </c>
      <c r="BG269" s="15" t="str">
        <f t="shared" si="1691"/>
        <v>-1-1-1</v>
      </c>
      <c r="BH269" s="15" t="str">
        <f t="shared" si="1692"/>
        <v>SD</v>
      </c>
      <c r="BI269" s="15" t="str">
        <f t="shared" si="1693"/>
        <v>SI</v>
      </c>
      <c r="BJ269" s="15" t="b">
        <f t="shared" si="1694"/>
        <v>1</v>
      </c>
      <c r="BK269" s="15" t="str">
        <f t="shared" si="1695"/>
        <v>SIGIGUALES</v>
      </c>
      <c r="BL269" s="22" t="str">
        <f t="shared" si="1696"/>
        <v>NO CONFORME</v>
      </c>
    </row>
    <row r="270" spans="1:64" ht="14.4" x14ac:dyDescent="0.3">
      <c r="A270" s="91">
        <v>262</v>
      </c>
      <c r="B270" s="28">
        <f t="shared" ref="B270:E270" si="1723">B269</f>
        <v>45920</v>
      </c>
      <c r="C270" s="28">
        <f t="shared" si="1723"/>
        <v>45920</v>
      </c>
      <c r="D270" s="12">
        <f t="shared" si="1723"/>
        <v>3</v>
      </c>
      <c r="E270" s="10">
        <f t="shared" si="1723"/>
        <v>8</v>
      </c>
      <c r="F270" s="13"/>
      <c r="G270" s="157"/>
      <c r="H270" s="70">
        <f t="shared" ref="H270:L270" si="1724">H269</f>
        <v>25.6</v>
      </c>
      <c r="I270" s="36">
        <f t="shared" si="1724"/>
        <v>0</v>
      </c>
      <c r="J270" s="35">
        <f t="shared" si="1724"/>
        <v>20.9</v>
      </c>
      <c r="K270" s="122">
        <f t="shared" si="1724"/>
        <v>8.4730000000000008</v>
      </c>
      <c r="L270" s="122">
        <f t="shared" si="1724"/>
        <v>0.52100000000000002</v>
      </c>
      <c r="M270" s="41"/>
      <c r="N270" s="41"/>
      <c r="O270" s="32">
        <f t="shared" ref="O270:P270" si="1725">O269</f>
        <v>100.48</v>
      </c>
      <c r="P270" s="168" t="str">
        <f t="shared" si="1725"/>
        <v>2,29,610</v>
      </c>
      <c r="Q270" s="11" t="str">
        <f t="shared" si="1339"/>
        <v>2</v>
      </c>
      <c r="R270" s="11" t="str">
        <f t="shared" si="1340"/>
        <v>29,610</v>
      </c>
      <c r="S270" s="11">
        <f t="shared" si="1341"/>
        <v>4.1558333333333336E-2</v>
      </c>
      <c r="T270" s="14">
        <f t="shared" si="1342"/>
        <v>2417.8062963705634</v>
      </c>
      <c r="U270" s="37">
        <f t="shared" si="1343"/>
        <v>-100</v>
      </c>
      <c r="V270" s="38">
        <f t="shared" ref="V270:W270" si="1726">V269</f>
        <v>21.3</v>
      </c>
      <c r="W270" s="124">
        <f t="shared" si="1726"/>
        <v>1.0960000000000001</v>
      </c>
      <c r="X270" s="124">
        <f t="shared" si="1700"/>
        <v>1.0880000000000001</v>
      </c>
      <c r="Y270" s="41"/>
      <c r="Z270" s="41"/>
      <c r="AA270" s="90">
        <f t="shared" ref="AA270:AB270" si="1727">AA269</f>
        <v>5.01</v>
      </c>
      <c r="AB270" s="73" t="str">
        <f t="shared" si="1727"/>
        <v>11,15,880</v>
      </c>
      <c r="AC270" s="11" t="str">
        <f t="shared" si="1346"/>
        <v>11</v>
      </c>
      <c r="AD270" s="11" t="str">
        <f t="shared" si="1347"/>
        <v>15,880</v>
      </c>
      <c r="AE270" s="11">
        <f t="shared" si="1348"/>
        <v>0.18774444444444444</v>
      </c>
      <c r="AF270" s="14">
        <f t="shared" si="1349"/>
        <v>26.685210392377346</v>
      </c>
      <c r="AG270" s="39">
        <f t="shared" si="1350"/>
        <v>-100</v>
      </c>
      <c r="AH270" s="38">
        <f t="shared" si="1715"/>
        <v>18.399999999999999</v>
      </c>
      <c r="AI270" s="124">
        <f t="shared" si="1715"/>
        <v>1.0980000000000001</v>
      </c>
      <c r="AJ270" s="124">
        <f t="shared" si="1715"/>
        <v>1.087</v>
      </c>
      <c r="AK270" s="41">
        <f t="shared" si="1351"/>
        <v>0</v>
      </c>
      <c r="AL270" s="41"/>
      <c r="AM270" s="34">
        <f t="shared" ref="AM270:AN270" si="1728">AM269</f>
        <v>2.0049999999999999</v>
      </c>
      <c r="AN270" s="33" t="str">
        <f t="shared" si="1728"/>
        <v>7,19,050</v>
      </c>
      <c r="AO270" s="11" t="str">
        <f t="shared" si="1353"/>
        <v>7,</v>
      </c>
      <c r="AP270" s="11" t="str">
        <f t="shared" si="1354"/>
        <v>19,050</v>
      </c>
      <c r="AQ270" s="11">
        <f t="shared" si="1355"/>
        <v>0.12195833333333334</v>
      </c>
      <c r="AR270" s="14">
        <f t="shared" si="1356"/>
        <v>16.44004099760847</v>
      </c>
      <c r="AS270" s="39">
        <f t="shared" si="1357"/>
        <v>-100</v>
      </c>
      <c r="AT270" s="40" t="str">
        <f t="shared" si="1358"/>
        <v>NO CONFORME</v>
      </c>
      <c r="AU270" s="8" t="b">
        <f t="shared" si="1703"/>
        <v>1</v>
      </c>
      <c r="AV270" s="8" t="b">
        <f t="shared" si="1704"/>
        <v>0</v>
      </c>
      <c r="AW270" s="8" t="b">
        <f t="shared" si="1705"/>
        <v>1</v>
      </c>
      <c r="AX270" s="8" t="str">
        <f t="shared" si="1706"/>
        <v>Qcorrecto</v>
      </c>
      <c r="AY270" s="22" t="str">
        <f t="shared" si="1686"/>
        <v>aceptable</v>
      </c>
      <c r="AZ270" s="22" t="str">
        <f t="shared" si="1687"/>
        <v>aceptable</v>
      </c>
      <c r="BA270" s="22" t="str">
        <f t="shared" si="1707"/>
        <v>aceptable</v>
      </c>
      <c r="BB270" s="25" t="str">
        <f t="shared" si="1708"/>
        <v>NO CONFORME</v>
      </c>
      <c r="BC270" s="5" t="str">
        <f t="shared" si="1709"/>
        <v>NO CONFORME</v>
      </c>
      <c r="BD270" s="15">
        <f t="shared" si="1688"/>
        <v>-1</v>
      </c>
      <c r="BE270" s="15">
        <f t="shared" si="1689"/>
        <v>-1</v>
      </c>
      <c r="BF270" s="15">
        <f t="shared" si="1690"/>
        <v>-1</v>
      </c>
      <c r="BG270" s="15" t="str">
        <f t="shared" si="1691"/>
        <v>-1-1-1</v>
      </c>
      <c r="BH270" s="15" t="str">
        <f t="shared" si="1692"/>
        <v>SD</v>
      </c>
      <c r="BI270" s="15" t="str">
        <f t="shared" si="1693"/>
        <v>SI</v>
      </c>
      <c r="BJ270" s="15" t="b">
        <f t="shared" si="1694"/>
        <v>1</v>
      </c>
      <c r="BK270" s="15" t="str">
        <f t="shared" si="1695"/>
        <v>SIGIGUALES</v>
      </c>
      <c r="BL270" s="22" t="str">
        <f t="shared" si="1696"/>
        <v>NO CONFORME</v>
      </c>
    </row>
    <row r="271" spans="1:64" ht="14.4" x14ac:dyDescent="0.3">
      <c r="A271" s="91">
        <v>263</v>
      </c>
      <c r="B271" s="28">
        <f t="shared" ref="B271:E271" si="1729">B270</f>
        <v>45920</v>
      </c>
      <c r="C271" s="28">
        <f t="shared" si="1729"/>
        <v>45920</v>
      </c>
      <c r="D271" s="12">
        <f t="shared" si="1729"/>
        <v>3</v>
      </c>
      <c r="E271" s="10">
        <f t="shared" si="1729"/>
        <v>8</v>
      </c>
      <c r="F271" s="13"/>
      <c r="G271" s="157"/>
      <c r="H271" s="70">
        <f t="shared" ref="H271:L271" si="1730">H270</f>
        <v>25.6</v>
      </c>
      <c r="I271" s="36">
        <f t="shared" si="1730"/>
        <v>0</v>
      </c>
      <c r="J271" s="35">
        <f t="shared" si="1730"/>
        <v>20.9</v>
      </c>
      <c r="K271" s="122">
        <f t="shared" si="1730"/>
        <v>8.4730000000000008</v>
      </c>
      <c r="L271" s="122">
        <f t="shared" si="1730"/>
        <v>0.52100000000000002</v>
      </c>
      <c r="M271" s="41"/>
      <c r="N271" s="41"/>
      <c r="O271" s="32">
        <f t="shared" ref="O271:P271" si="1731">O270</f>
        <v>100.48</v>
      </c>
      <c r="P271" s="168" t="str">
        <f t="shared" si="1731"/>
        <v>2,29,610</v>
      </c>
      <c r="Q271" s="11" t="str">
        <f t="shared" si="1339"/>
        <v>2</v>
      </c>
      <c r="R271" s="11" t="str">
        <f t="shared" si="1340"/>
        <v>29,610</v>
      </c>
      <c r="S271" s="11">
        <f t="shared" si="1341"/>
        <v>4.1558333333333336E-2</v>
      </c>
      <c r="T271" s="14">
        <f t="shared" si="1342"/>
        <v>2417.8062963705634</v>
      </c>
      <c r="U271" s="37">
        <f t="shared" si="1343"/>
        <v>-100</v>
      </c>
      <c r="V271" s="38">
        <f t="shared" ref="V271:W271" si="1732">V270</f>
        <v>21.3</v>
      </c>
      <c r="W271" s="124">
        <f t="shared" si="1732"/>
        <v>1.0960000000000001</v>
      </c>
      <c r="X271" s="124">
        <f t="shared" si="1700"/>
        <v>1.0880000000000001</v>
      </c>
      <c r="Y271" s="41"/>
      <c r="Z271" s="41"/>
      <c r="AA271" s="90">
        <f t="shared" ref="AA271:AB271" si="1733">AA270</f>
        <v>5.01</v>
      </c>
      <c r="AB271" s="73" t="str">
        <f t="shared" si="1733"/>
        <v>11,15,880</v>
      </c>
      <c r="AC271" s="11" t="str">
        <f t="shared" si="1346"/>
        <v>11</v>
      </c>
      <c r="AD271" s="11" t="str">
        <f t="shared" si="1347"/>
        <v>15,880</v>
      </c>
      <c r="AE271" s="11">
        <f t="shared" si="1348"/>
        <v>0.18774444444444444</v>
      </c>
      <c r="AF271" s="14">
        <f t="shared" si="1349"/>
        <v>26.685210392377346</v>
      </c>
      <c r="AG271" s="39">
        <f t="shared" si="1350"/>
        <v>-100</v>
      </c>
      <c r="AH271" s="38">
        <f t="shared" si="1715"/>
        <v>18.399999999999999</v>
      </c>
      <c r="AI271" s="124">
        <f t="shared" si="1715"/>
        <v>1.0980000000000001</v>
      </c>
      <c r="AJ271" s="124">
        <f t="shared" si="1715"/>
        <v>1.087</v>
      </c>
      <c r="AK271" s="41">
        <f t="shared" si="1351"/>
        <v>0</v>
      </c>
      <c r="AL271" s="41"/>
      <c r="AM271" s="34">
        <f t="shared" ref="AM271:AN271" si="1734">AM270</f>
        <v>2.0049999999999999</v>
      </c>
      <c r="AN271" s="33" t="str">
        <f t="shared" si="1734"/>
        <v>7,19,050</v>
      </c>
      <c r="AO271" s="11" t="str">
        <f t="shared" si="1353"/>
        <v>7,</v>
      </c>
      <c r="AP271" s="11" t="str">
        <f t="shared" si="1354"/>
        <v>19,050</v>
      </c>
      <c r="AQ271" s="11">
        <f t="shared" si="1355"/>
        <v>0.12195833333333334</v>
      </c>
      <c r="AR271" s="14">
        <f t="shared" si="1356"/>
        <v>16.44004099760847</v>
      </c>
      <c r="AS271" s="39">
        <f t="shared" si="1357"/>
        <v>-100</v>
      </c>
      <c r="AT271" s="40" t="str">
        <f t="shared" si="1358"/>
        <v>NO CONFORME</v>
      </c>
      <c r="AU271" s="8" t="b">
        <f t="shared" si="1703"/>
        <v>1</v>
      </c>
      <c r="AV271" s="8" t="b">
        <f t="shared" si="1704"/>
        <v>0</v>
      </c>
      <c r="AW271" s="8" t="b">
        <f t="shared" si="1705"/>
        <v>1</v>
      </c>
      <c r="AX271" s="8" t="str">
        <f t="shared" si="1706"/>
        <v>Qcorrecto</v>
      </c>
      <c r="AY271" s="22" t="str">
        <f t="shared" si="1686"/>
        <v>aceptable</v>
      </c>
      <c r="AZ271" s="22" t="str">
        <f t="shared" si="1687"/>
        <v>aceptable</v>
      </c>
      <c r="BA271" s="22" t="str">
        <f t="shared" si="1707"/>
        <v>aceptable</v>
      </c>
      <c r="BB271" s="25" t="str">
        <f t="shared" si="1708"/>
        <v>NO CONFORME</v>
      </c>
      <c r="BC271" s="5" t="str">
        <f t="shared" si="1709"/>
        <v>NO CONFORME</v>
      </c>
      <c r="BD271" s="15">
        <f t="shared" si="1688"/>
        <v>-1</v>
      </c>
      <c r="BE271" s="15">
        <f t="shared" si="1689"/>
        <v>-1</v>
      </c>
      <c r="BF271" s="15">
        <f t="shared" si="1690"/>
        <v>-1</v>
      </c>
      <c r="BG271" s="15" t="str">
        <f t="shared" si="1691"/>
        <v>-1-1-1</v>
      </c>
      <c r="BH271" s="15" t="str">
        <f t="shared" si="1692"/>
        <v>SD</v>
      </c>
      <c r="BI271" s="15" t="str">
        <f t="shared" si="1693"/>
        <v>SI</v>
      </c>
      <c r="BJ271" s="15" t="b">
        <f t="shared" si="1694"/>
        <v>1</v>
      </c>
      <c r="BK271" s="15" t="str">
        <f t="shared" si="1695"/>
        <v>SIGIGUALES</v>
      </c>
      <c r="BL271" s="22" t="str">
        <f t="shared" si="1696"/>
        <v>NO CONFORME</v>
      </c>
    </row>
    <row r="272" spans="1:64" ht="14.4" x14ac:dyDescent="0.3">
      <c r="A272" s="91">
        <v>264</v>
      </c>
      <c r="B272" s="28">
        <f t="shared" ref="B272:E272" si="1735">B271</f>
        <v>45920</v>
      </c>
      <c r="C272" s="28">
        <f t="shared" si="1735"/>
        <v>45920</v>
      </c>
      <c r="D272" s="12">
        <f t="shared" si="1735"/>
        <v>3</v>
      </c>
      <c r="E272" s="10">
        <f t="shared" si="1735"/>
        <v>8</v>
      </c>
      <c r="F272" s="13"/>
      <c r="G272" s="157"/>
      <c r="H272" s="70">
        <f t="shared" ref="H272:L272" si="1736">H271</f>
        <v>25.6</v>
      </c>
      <c r="I272" s="36">
        <f t="shared" si="1736"/>
        <v>0</v>
      </c>
      <c r="J272" s="35">
        <f t="shared" si="1736"/>
        <v>20.9</v>
      </c>
      <c r="K272" s="122">
        <f t="shared" si="1736"/>
        <v>8.4730000000000008</v>
      </c>
      <c r="L272" s="122">
        <f t="shared" si="1736"/>
        <v>0.52100000000000002</v>
      </c>
      <c r="M272" s="41"/>
      <c r="N272" s="41"/>
      <c r="O272" s="32">
        <f t="shared" ref="O272:P272" si="1737">O271</f>
        <v>100.48</v>
      </c>
      <c r="P272" s="168" t="str">
        <f t="shared" si="1737"/>
        <v>2,29,610</v>
      </c>
      <c r="Q272" s="11" t="str">
        <f t="shared" si="1339"/>
        <v>2</v>
      </c>
      <c r="R272" s="11" t="str">
        <f t="shared" si="1340"/>
        <v>29,610</v>
      </c>
      <c r="S272" s="11">
        <f t="shared" si="1341"/>
        <v>4.1558333333333336E-2</v>
      </c>
      <c r="T272" s="14">
        <f t="shared" si="1342"/>
        <v>2417.8062963705634</v>
      </c>
      <c r="U272" s="37">
        <f t="shared" si="1343"/>
        <v>-100</v>
      </c>
      <c r="V272" s="38">
        <f t="shared" ref="V272:W272" si="1738">V271</f>
        <v>21.3</v>
      </c>
      <c r="W272" s="124">
        <f t="shared" si="1738"/>
        <v>1.0960000000000001</v>
      </c>
      <c r="X272" s="124">
        <f t="shared" si="1700"/>
        <v>1.0880000000000001</v>
      </c>
      <c r="Y272" s="41"/>
      <c r="Z272" s="41"/>
      <c r="AA272" s="90">
        <f t="shared" ref="AA272:AB272" si="1739">AA271</f>
        <v>5.01</v>
      </c>
      <c r="AB272" s="73" t="str">
        <f t="shared" si="1739"/>
        <v>11,15,880</v>
      </c>
      <c r="AC272" s="11" t="str">
        <f t="shared" si="1346"/>
        <v>11</v>
      </c>
      <c r="AD272" s="11" t="str">
        <f t="shared" si="1347"/>
        <v>15,880</v>
      </c>
      <c r="AE272" s="11">
        <f t="shared" si="1348"/>
        <v>0.18774444444444444</v>
      </c>
      <c r="AF272" s="14">
        <f t="shared" si="1349"/>
        <v>26.685210392377346</v>
      </c>
      <c r="AG272" s="39">
        <f t="shared" si="1350"/>
        <v>-100</v>
      </c>
      <c r="AH272" s="38">
        <f t="shared" si="1715"/>
        <v>18.399999999999999</v>
      </c>
      <c r="AI272" s="124">
        <f t="shared" si="1715"/>
        <v>1.0980000000000001</v>
      </c>
      <c r="AJ272" s="124">
        <f t="shared" si="1715"/>
        <v>1.087</v>
      </c>
      <c r="AK272" s="41">
        <f t="shared" si="1351"/>
        <v>0</v>
      </c>
      <c r="AL272" s="41"/>
      <c r="AM272" s="34">
        <f t="shared" ref="AM272:AN272" si="1740">AM271</f>
        <v>2.0049999999999999</v>
      </c>
      <c r="AN272" s="33" t="str">
        <f t="shared" si="1740"/>
        <v>7,19,050</v>
      </c>
      <c r="AO272" s="11" t="str">
        <f t="shared" si="1353"/>
        <v>7,</v>
      </c>
      <c r="AP272" s="11" t="str">
        <f t="shared" si="1354"/>
        <v>19,050</v>
      </c>
      <c r="AQ272" s="11">
        <f t="shared" si="1355"/>
        <v>0.12195833333333334</v>
      </c>
      <c r="AR272" s="14">
        <f t="shared" si="1356"/>
        <v>16.44004099760847</v>
      </c>
      <c r="AS272" s="39">
        <f t="shared" si="1357"/>
        <v>-100</v>
      </c>
      <c r="AT272" s="40" t="str">
        <f t="shared" si="1358"/>
        <v>NO CONFORME</v>
      </c>
      <c r="AU272" s="8" t="b">
        <f t="shared" si="1703"/>
        <v>1</v>
      </c>
      <c r="AV272" s="8" t="b">
        <f t="shared" si="1704"/>
        <v>0</v>
      </c>
      <c r="AW272" s="8" t="b">
        <f t="shared" si="1705"/>
        <v>1</v>
      </c>
      <c r="AX272" s="8" t="str">
        <f t="shared" si="1706"/>
        <v>Qcorrecto</v>
      </c>
      <c r="AY272" s="22" t="str">
        <f t="shared" si="1686"/>
        <v>aceptable</v>
      </c>
      <c r="AZ272" s="22" t="str">
        <f t="shared" si="1687"/>
        <v>aceptable</v>
      </c>
      <c r="BA272" s="22" t="str">
        <f t="shared" si="1707"/>
        <v>aceptable</v>
      </c>
      <c r="BB272" s="25" t="str">
        <f t="shared" si="1708"/>
        <v>NO CONFORME</v>
      </c>
      <c r="BC272" s="5" t="str">
        <f t="shared" si="1709"/>
        <v>NO CONFORME</v>
      </c>
      <c r="BD272" s="15">
        <f t="shared" si="1688"/>
        <v>-1</v>
      </c>
      <c r="BE272" s="15">
        <f t="shared" si="1689"/>
        <v>-1</v>
      </c>
      <c r="BF272" s="15">
        <f t="shared" si="1690"/>
        <v>-1</v>
      </c>
      <c r="BG272" s="15" t="str">
        <f t="shared" si="1691"/>
        <v>-1-1-1</v>
      </c>
      <c r="BH272" s="15" t="str">
        <f t="shared" si="1692"/>
        <v>SD</v>
      </c>
      <c r="BI272" s="15" t="str">
        <f t="shared" si="1693"/>
        <v>SI</v>
      </c>
      <c r="BJ272" s="15" t="b">
        <f t="shared" si="1694"/>
        <v>1</v>
      </c>
      <c r="BK272" s="15" t="str">
        <f t="shared" si="1695"/>
        <v>SIGIGUALES</v>
      </c>
      <c r="BL272" s="22" t="str">
        <f t="shared" si="1696"/>
        <v>NO CONFORME</v>
      </c>
    </row>
    <row r="273" spans="1:64" ht="14.4" x14ac:dyDescent="0.3">
      <c r="A273" s="91">
        <v>265</v>
      </c>
      <c r="B273" s="28">
        <f t="shared" ref="B273:E273" si="1741">B272</f>
        <v>45920</v>
      </c>
      <c r="C273" s="28">
        <f t="shared" si="1741"/>
        <v>45920</v>
      </c>
      <c r="D273" s="12">
        <f t="shared" si="1741"/>
        <v>3</v>
      </c>
      <c r="E273" s="10">
        <f t="shared" si="1741"/>
        <v>8</v>
      </c>
      <c r="F273" s="13"/>
      <c r="G273" s="157"/>
      <c r="H273" s="70">
        <f t="shared" ref="H273:L273" si="1742">H272</f>
        <v>25.6</v>
      </c>
      <c r="I273" s="36">
        <f t="shared" si="1742"/>
        <v>0</v>
      </c>
      <c r="J273" s="35">
        <f t="shared" si="1742"/>
        <v>20.9</v>
      </c>
      <c r="K273" s="122">
        <f t="shared" si="1742"/>
        <v>8.4730000000000008</v>
      </c>
      <c r="L273" s="122">
        <f t="shared" si="1742"/>
        <v>0.52100000000000002</v>
      </c>
      <c r="M273" s="41"/>
      <c r="N273" s="41"/>
      <c r="O273" s="32">
        <f t="shared" ref="O273:P273" si="1743">O272</f>
        <v>100.48</v>
      </c>
      <c r="P273" s="168" t="str">
        <f t="shared" si="1743"/>
        <v>2,29,610</v>
      </c>
      <c r="Q273" s="11" t="str">
        <f t="shared" si="1339"/>
        <v>2</v>
      </c>
      <c r="R273" s="11" t="str">
        <f t="shared" si="1340"/>
        <v>29,610</v>
      </c>
      <c r="S273" s="11">
        <f t="shared" si="1341"/>
        <v>4.1558333333333336E-2</v>
      </c>
      <c r="T273" s="14">
        <f t="shared" si="1342"/>
        <v>2417.8062963705634</v>
      </c>
      <c r="U273" s="37">
        <f t="shared" si="1343"/>
        <v>-100</v>
      </c>
      <c r="V273" s="38">
        <f t="shared" ref="V273:W273" si="1744">V272</f>
        <v>21.3</v>
      </c>
      <c r="W273" s="124">
        <f t="shared" si="1744"/>
        <v>1.0960000000000001</v>
      </c>
      <c r="X273" s="124">
        <f t="shared" si="1700"/>
        <v>1.0880000000000001</v>
      </c>
      <c r="Y273" s="41"/>
      <c r="Z273" s="41"/>
      <c r="AA273" s="90">
        <f t="shared" ref="AA273:AB273" si="1745">AA272</f>
        <v>5.01</v>
      </c>
      <c r="AB273" s="73" t="str">
        <f t="shared" si="1745"/>
        <v>11,15,880</v>
      </c>
      <c r="AC273" s="11" t="str">
        <f t="shared" si="1346"/>
        <v>11</v>
      </c>
      <c r="AD273" s="11" t="str">
        <f t="shared" si="1347"/>
        <v>15,880</v>
      </c>
      <c r="AE273" s="11">
        <f t="shared" si="1348"/>
        <v>0.18774444444444444</v>
      </c>
      <c r="AF273" s="14">
        <f t="shared" si="1349"/>
        <v>26.685210392377346</v>
      </c>
      <c r="AG273" s="39">
        <f t="shared" si="1350"/>
        <v>-100</v>
      </c>
      <c r="AH273" s="38">
        <f t="shared" si="1715"/>
        <v>18.399999999999999</v>
      </c>
      <c r="AI273" s="124">
        <f t="shared" si="1715"/>
        <v>1.0980000000000001</v>
      </c>
      <c r="AJ273" s="124">
        <f t="shared" si="1715"/>
        <v>1.087</v>
      </c>
      <c r="AK273" s="41">
        <f t="shared" si="1351"/>
        <v>0</v>
      </c>
      <c r="AL273" s="41"/>
      <c r="AM273" s="34">
        <f t="shared" ref="AM273:AN273" si="1746">AM272</f>
        <v>2.0049999999999999</v>
      </c>
      <c r="AN273" s="33" t="str">
        <f t="shared" si="1746"/>
        <v>7,19,050</v>
      </c>
      <c r="AO273" s="11" t="str">
        <f t="shared" si="1353"/>
        <v>7,</v>
      </c>
      <c r="AP273" s="11" t="str">
        <f t="shared" si="1354"/>
        <v>19,050</v>
      </c>
      <c r="AQ273" s="11">
        <f t="shared" si="1355"/>
        <v>0.12195833333333334</v>
      </c>
      <c r="AR273" s="14">
        <f t="shared" si="1356"/>
        <v>16.44004099760847</v>
      </c>
      <c r="AS273" s="39">
        <f t="shared" si="1357"/>
        <v>-100</v>
      </c>
      <c r="AT273" s="40" t="str">
        <f t="shared" si="1358"/>
        <v>NO CONFORME</v>
      </c>
      <c r="AU273" s="8" t="b">
        <f t="shared" si="1703"/>
        <v>1</v>
      </c>
      <c r="AV273" s="8" t="b">
        <f t="shared" si="1704"/>
        <v>0</v>
      </c>
      <c r="AW273" s="8" t="b">
        <f t="shared" si="1705"/>
        <v>1</v>
      </c>
      <c r="AX273" s="8" t="str">
        <f t="shared" si="1706"/>
        <v>Qcorrecto</v>
      </c>
      <c r="AY273" s="22" t="str">
        <f t="shared" si="1686"/>
        <v>aceptable</v>
      </c>
      <c r="AZ273" s="22" t="str">
        <f t="shared" si="1687"/>
        <v>aceptable</v>
      </c>
      <c r="BA273" s="22" t="str">
        <f t="shared" si="1707"/>
        <v>aceptable</v>
      </c>
      <c r="BB273" s="25" t="str">
        <f t="shared" si="1708"/>
        <v>NO CONFORME</v>
      </c>
      <c r="BC273" s="5" t="str">
        <f t="shared" si="1709"/>
        <v>NO CONFORME</v>
      </c>
      <c r="BD273" s="15">
        <f t="shared" si="1688"/>
        <v>-1</v>
      </c>
      <c r="BE273" s="15">
        <f t="shared" si="1689"/>
        <v>-1</v>
      </c>
      <c r="BF273" s="15">
        <f t="shared" si="1690"/>
        <v>-1</v>
      </c>
      <c r="BG273" s="15" t="str">
        <f t="shared" si="1691"/>
        <v>-1-1-1</v>
      </c>
      <c r="BH273" s="15" t="str">
        <f t="shared" si="1692"/>
        <v>SD</v>
      </c>
      <c r="BI273" s="15" t="str">
        <f t="shared" si="1693"/>
        <v>SI</v>
      </c>
      <c r="BJ273" s="15" t="b">
        <f t="shared" si="1694"/>
        <v>1</v>
      </c>
      <c r="BK273" s="15" t="str">
        <f t="shared" si="1695"/>
        <v>SIGIGUALES</v>
      </c>
      <c r="BL273" s="22" t="str">
        <f t="shared" si="1696"/>
        <v>NO CONFORME</v>
      </c>
    </row>
    <row r="274" spans="1:64" ht="14.4" x14ac:dyDescent="0.3">
      <c r="A274" s="91">
        <v>266</v>
      </c>
      <c r="B274" s="28">
        <f t="shared" ref="B274:E274" si="1747">B273</f>
        <v>45920</v>
      </c>
      <c r="C274" s="28">
        <f t="shared" si="1747"/>
        <v>45920</v>
      </c>
      <c r="D274" s="12">
        <f t="shared" si="1747"/>
        <v>3</v>
      </c>
      <c r="E274" s="10">
        <f t="shared" si="1747"/>
        <v>8</v>
      </c>
      <c r="F274" s="13"/>
      <c r="G274" s="157"/>
      <c r="H274" s="70">
        <f t="shared" ref="H274:L274" si="1748">H273</f>
        <v>25.6</v>
      </c>
      <c r="I274" s="36">
        <f t="shared" si="1748"/>
        <v>0</v>
      </c>
      <c r="J274" s="35">
        <f t="shared" si="1748"/>
        <v>20.9</v>
      </c>
      <c r="K274" s="122">
        <f t="shared" si="1748"/>
        <v>8.4730000000000008</v>
      </c>
      <c r="L274" s="122">
        <f t="shared" si="1748"/>
        <v>0.52100000000000002</v>
      </c>
      <c r="M274" s="41"/>
      <c r="N274" s="41"/>
      <c r="O274" s="32">
        <f t="shared" ref="O274:P274" si="1749">O273</f>
        <v>100.48</v>
      </c>
      <c r="P274" s="168" t="str">
        <f t="shared" si="1749"/>
        <v>2,29,610</v>
      </c>
      <c r="Q274" s="11" t="str">
        <f t="shared" si="1339"/>
        <v>2</v>
      </c>
      <c r="R274" s="11" t="str">
        <f t="shared" si="1340"/>
        <v>29,610</v>
      </c>
      <c r="S274" s="11">
        <f t="shared" si="1341"/>
        <v>4.1558333333333336E-2</v>
      </c>
      <c r="T274" s="14">
        <f t="shared" si="1342"/>
        <v>2417.8062963705634</v>
      </c>
      <c r="U274" s="37">
        <f t="shared" si="1343"/>
        <v>-100</v>
      </c>
      <c r="V274" s="38">
        <f t="shared" ref="V274:W274" si="1750">V273</f>
        <v>21.3</v>
      </c>
      <c r="W274" s="124">
        <f t="shared" si="1750"/>
        <v>1.0960000000000001</v>
      </c>
      <c r="X274" s="124">
        <f t="shared" si="1700"/>
        <v>1.0880000000000001</v>
      </c>
      <c r="Y274" s="41"/>
      <c r="Z274" s="41"/>
      <c r="AA274" s="90">
        <f t="shared" ref="AA274:AB274" si="1751">AA273</f>
        <v>5.01</v>
      </c>
      <c r="AB274" s="73" t="str">
        <f t="shared" si="1751"/>
        <v>11,15,880</v>
      </c>
      <c r="AC274" s="11" t="str">
        <f t="shared" si="1346"/>
        <v>11</v>
      </c>
      <c r="AD274" s="11" t="str">
        <f t="shared" si="1347"/>
        <v>15,880</v>
      </c>
      <c r="AE274" s="11">
        <f t="shared" si="1348"/>
        <v>0.18774444444444444</v>
      </c>
      <c r="AF274" s="14">
        <f t="shared" si="1349"/>
        <v>26.685210392377346</v>
      </c>
      <c r="AG274" s="39">
        <f t="shared" si="1350"/>
        <v>-100</v>
      </c>
      <c r="AH274" s="38">
        <f t="shared" si="1715"/>
        <v>18.399999999999999</v>
      </c>
      <c r="AI274" s="124">
        <f t="shared" si="1715"/>
        <v>1.0980000000000001</v>
      </c>
      <c r="AJ274" s="124">
        <f t="shared" si="1715"/>
        <v>1.087</v>
      </c>
      <c r="AK274" s="41">
        <f t="shared" si="1351"/>
        <v>0</v>
      </c>
      <c r="AL274" s="41"/>
      <c r="AM274" s="34">
        <f t="shared" ref="AM274:AN274" si="1752">AM273</f>
        <v>2.0049999999999999</v>
      </c>
      <c r="AN274" s="33" t="str">
        <f t="shared" si="1752"/>
        <v>7,19,050</v>
      </c>
      <c r="AO274" s="11" t="str">
        <f t="shared" si="1353"/>
        <v>7,</v>
      </c>
      <c r="AP274" s="11" t="str">
        <f t="shared" si="1354"/>
        <v>19,050</v>
      </c>
      <c r="AQ274" s="11">
        <f t="shared" si="1355"/>
        <v>0.12195833333333334</v>
      </c>
      <c r="AR274" s="14">
        <f t="shared" si="1356"/>
        <v>16.44004099760847</v>
      </c>
      <c r="AS274" s="39">
        <f t="shared" si="1357"/>
        <v>-100</v>
      </c>
      <c r="AT274" s="40" t="str">
        <f t="shared" si="1358"/>
        <v>NO CONFORME</v>
      </c>
      <c r="AU274" s="8" t="b">
        <f t="shared" si="1703"/>
        <v>1</v>
      </c>
      <c r="AV274" s="8" t="b">
        <f t="shared" si="1704"/>
        <v>0</v>
      </c>
      <c r="AW274" s="8" t="b">
        <f t="shared" si="1705"/>
        <v>1</v>
      </c>
      <c r="AX274" s="8" t="str">
        <f t="shared" si="1706"/>
        <v>Qcorrecto</v>
      </c>
      <c r="AY274" s="22" t="str">
        <f t="shared" si="1686"/>
        <v>aceptable</v>
      </c>
      <c r="AZ274" s="22" t="str">
        <f t="shared" si="1687"/>
        <v>aceptable</v>
      </c>
      <c r="BA274" s="22" t="str">
        <f t="shared" si="1707"/>
        <v>aceptable</v>
      </c>
      <c r="BB274" s="25" t="str">
        <f t="shared" si="1708"/>
        <v>NO CONFORME</v>
      </c>
      <c r="BC274" s="5" t="str">
        <f t="shared" si="1709"/>
        <v>NO CONFORME</v>
      </c>
      <c r="BD274" s="15">
        <f t="shared" si="1688"/>
        <v>-1</v>
      </c>
      <c r="BE274" s="15">
        <f t="shared" si="1689"/>
        <v>-1</v>
      </c>
      <c r="BF274" s="15">
        <f t="shared" si="1690"/>
        <v>-1</v>
      </c>
      <c r="BG274" s="15" t="str">
        <f t="shared" si="1691"/>
        <v>-1-1-1</v>
      </c>
      <c r="BH274" s="15" t="str">
        <f t="shared" si="1692"/>
        <v>SD</v>
      </c>
      <c r="BI274" s="15" t="str">
        <f t="shared" si="1693"/>
        <v>SI</v>
      </c>
      <c r="BJ274" s="15" t="b">
        <f t="shared" si="1694"/>
        <v>1</v>
      </c>
      <c r="BK274" s="15" t="str">
        <f t="shared" si="1695"/>
        <v>SIGIGUALES</v>
      </c>
      <c r="BL274" s="22" t="str">
        <f t="shared" si="1696"/>
        <v>NO CONFORME</v>
      </c>
    </row>
    <row r="275" spans="1:64" ht="14.4" x14ac:dyDescent="0.3">
      <c r="A275" s="91">
        <v>267</v>
      </c>
      <c r="B275" s="28">
        <f t="shared" ref="B275:E275" si="1753">B274</f>
        <v>45920</v>
      </c>
      <c r="C275" s="28">
        <f t="shared" si="1753"/>
        <v>45920</v>
      </c>
      <c r="D275" s="12">
        <f t="shared" si="1753"/>
        <v>3</v>
      </c>
      <c r="E275" s="10">
        <f t="shared" si="1753"/>
        <v>8</v>
      </c>
      <c r="F275" s="13"/>
      <c r="G275" s="157"/>
      <c r="H275" s="70">
        <f t="shared" ref="H275:L275" si="1754">H274</f>
        <v>25.6</v>
      </c>
      <c r="I275" s="36">
        <f t="shared" si="1754"/>
        <v>0</v>
      </c>
      <c r="J275" s="35">
        <f t="shared" si="1754"/>
        <v>20.9</v>
      </c>
      <c r="K275" s="122">
        <f t="shared" si="1754"/>
        <v>8.4730000000000008</v>
      </c>
      <c r="L275" s="122">
        <f t="shared" si="1754"/>
        <v>0.52100000000000002</v>
      </c>
      <c r="M275" s="41"/>
      <c r="N275" s="41"/>
      <c r="O275" s="32">
        <f t="shared" ref="O275:P275" si="1755">O274</f>
        <v>100.48</v>
      </c>
      <c r="P275" s="168" t="str">
        <f t="shared" si="1755"/>
        <v>2,29,610</v>
      </c>
      <c r="Q275" s="11" t="str">
        <f t="shared" si="1339"/>
        <v>2</v>
      </c>
      <c r="R275" s="11" t="str">
        <f t="shared" si="1340"/>
        <v>29,610</v>
      </c>
      <c r="S275" s="11">
        <f t="shared" si="1341"/>
        <v>4.1558333333333336E-2</v>
      </c>
      <c r="T275" s="14">
        <f t="shared" si="1342"/>
        <v>2417.8062963705634</v>
      </c>
      <c r="U275" s="37">
        <f t="shared" si="1343"/>
        <v>-100</v>
      </c>
      <c r="V275" s="38">
        <f t="shared" ref="V275:W275" si="1756">V274</f>
        <v>21.3</v>
      </c>
      <c r="W275" s="124">
        <f t="shared" si="1756"/>
        <v>1.0960000000000001</v>
      </c>
      <c r="X275" s="124">
        <f t="shared" si="1700"/>
        <v>1.0880000000000001</v>
      </c>
      <c r="Y275" s="41"/>
      <c r="Z275" s="41"/>
      <c r="AA275" s="90">
        <f t="shared" ref="AA275:AB275" si="1757">AA274</f>
        <v>5.01</v>
      </c>
      <c r="AB275" s="73" t="str">
        <f t="shared" si="1757"/>
        <v>11,15,880</v>
      </c>
      <c r="AC275" s="11" t="str">
        <f t="shared" si="1346"/>
        <v>11</v>
      </c>
      <c r="AD275" s="11" t="str">
        <f t="shared" si="1347"/>
        <v>15,880</v>
      </c>
      <c r="AE275" s="11">
        <f t="shared" si="1348"/>
        <v>0.18774444444444444</v>
      </c>
      <c r="AF275" s="14">
        <f t="shared" si="1349"/>
        <v>26.685210392377346</v>
      </c>
      <c r="AG275" s="39">
        <f t="shared" si="1350"/>
        <v>-100</v>
      </c>
      <c r="AH275" s="38">
        <f t="shared" si="1715"/>
        <v>18.399999999999999</v>
      </c>
      <c r="AI275" s="124">
        <f t="shared" si="1715"/>
        <v>1.0980000000000001</v>
      </c>
      <c r="AJ275" s="124">
        <f t="shared" si="1715"/>
        <v>1.087</v>
      </c>
      <c r="AK275" s="41">
        <f t="shared" si="1351"/>
        <v>0</v>
      </c>
      <c r="AL275" s="41"/>
      <c r="AM275" s="34">
        <f t="shared" ref="AM275:AN275" si="1758">AM274</f>
        <v>2.0049999999999999</v>
      </c>
      <c r="AN275" s="33" t="str">
        <f t="shared" si="1758"/>
        <v>7,19,050</v>
      </c>
      <c r="AO275" s="11" t="str">
        <f t="shared" si="1353"/>
        <v>7,</v>
      </c>
      <c r="AP275" s="11" t="str">
        <f t="shared" si="1354"/>
        <v>19,050</v>
      </c>
      <c r="AQ275" s="11">
        <f t="shared" si="1355"/>
        <v>0.12195833333333334</v>
      </c>
      <c r="AR275" s="14">
        <f t="shared" si="1356"/>
        <v>16.44004099760847</v>
      </c>
      <c r="AS275" s="39">
        <f t="shared" si="1357"/>
        <v>-100</v>
      </c>
      <c r="AT275" s="40" t="str">
        <f t="shared" si="1358"/>
        <v>NO CONFORME</v>
      </c>
      <c r="AU275" s="8" t="b">
        <f t="shared" si="1703"/>
        <v>1</v>
      </c>
      <c r="AV275" s="8" t="b">
        <f t="shared" si="1704"/>
        <v>0</v>
      </c>
      <c r="AW275" s="8" t="b">
        <f t="shared" si="1705"/>
        <v>1</v>
      </c>
      <c r="AX275" s="8" t="str">
        <f t="shared" si="1706"/>
        <v>Qcorrecto</v>
      </c>
      <c r="AY275" s="22" t="str">
        <f t="shared" si="1686"/>
        <v>aceptable</v>
      </c>
      <c r="AZ275" s="22" t="str">
        <f t="shared" si="1687"/>
        <v>aceptable</v>
      </c>
      <c r="BA275" s="22" t="str">
        <f t="shared" si="1707"/>
        <v>aceptable</v>
      </c>
      <c r="BB275" s="25" t="str">
        <f t="shared" si="1708"/>
        <v>NO CONFORME</v>
      </c>
      <c r="BC275" s="5" t="str">
        <f t="shared" si="1709"/>
        <v>NO CONFORME</v>
      </c>
      <c r="BD275" s="15">
        <f t="shared" si="1688"/>
        <v>-1</v>
      </c>
      <c r="BE275" s="15">
        <f t="shared" si="1689"/>
        <v>-1</v>
      </c>
      <c r="BF275" s="15">
        <f t="shared" si="1690"/>
        <v>-1</v>
      </c>
      <c r="BG275" s="15" t="str">
        <f t="shared" si="1691"/>
        <v>-1-1-1</v>
      </c>
      <c r="BH275" s="15" t="str">
        <f t="shared" si="1692"/>
        <v>SD</v>
      </c>
      <c r="BI275" s="15" t="str">
        <f t="shared" si="1693"/>
        <v>SI</v>
      </c>
      <c r="BJ275" s="15" t="b">
        <f t="shared" si="1694"/>
        <v>1</v>
      </c>
      <c r="BK275" s="15" t="str">
        <f t="shared" si="1695"/>
        <v>SIGIGUALES</v>
      </c>
      <c r="BL275" s="22" t="str">
        <f t="shared" si="1696"/>
        <v>NO CONFORME</v>
      </c>
    </row>
    <row r="276" spans="1:64" ht="14.4" x14ac:dyDescent="0.3">
      <c r="A276" s="91">
        <v>268</v>
      </c>
      <c r="B276" s="28">
        <f t="shared" ref="B276:E276" si="1759">B275</f>
        <v>45920</v>
      </c>
      <c r="C276" s="28">
        <f t="shared" si="1759"/>
        <v>45920</v>
      </c>
      <c r="D276" s="12">
        <f t="shared" si="1759"/>
        <v>3</v>
      </c>
      <c r="E276" s="10">
        <f t="shared" si="1759"/>
        <v>8</v>
      </c>
      <c r="F276" s="13"/>
      <c r="G276" s="157"/>
      <c r="H276" s="70">
        <f t="shared" ref="H276:L276" si="1760">H275</f>
        <v>25.6</v>
      </c>
      <c r="I276" s="36">
        <f t="shared" si="1760"/>
        <v>0</v>
      </c>
      <c r="J276" s="35">
        <f t="shared" si="1760"/>
        <v>20.9</v>
      </c>
      <c r="K276" s="122">
        <f t="shared" si="1760"/>
        <v>8.4730000000000008</v>
      </c>
      <c r="L276" s="122">
        <f t="shared" si="1760"/>
        <v>0.52100000000000002</v>
      </c>
      <c r="M276" s="41"/>
      <c r="N276" s="41"/>
      <c r="O276" s="32">
        <f t="shared" ref="O276:P276" si="1761">O275</f>
        <v>100.48</v>
      </c>
      <c r="P276" s="168" t="str">
        <f t="shared" si="1761"/>
        <v>2,29,610</v>
      </c>
      <c r="Q276" s="11" t="str">
        <f t="shared" ref="Q276:Q309" si="1762">LEFT(P276,1)</f>
        <v>2</v>
      </c>
      <c r="R276" s="11" t="str">
        <f t="shared" ref="R276:R309" si="1763">RIGHT(P276,6)</f>
        <v>29,610</v>
      </c>
      <c r="S276" s="11">
        <f t="shared" ref="S276:S309" si="1764">+(Q276*60+R276)/(60*60)</f>
        <v>4.1558333333333336E-2</v>
      </c>
      <c r="T276" s="14">
        <f t="shared" ref="T276:T309" si="1765">+O276/S276</f>
        <v>2417.8062963705634</v>
      </c>
      <c r="U276" s="37">
        <f t="shared" ref="U276:U309" si="1766">+(((N276-M276-O276)/O276)*100)</f>
        <v>-100</v>
      </c>
      <c r="V276" s="38">
        <f t="shared" ref="V276:W276" si="1767">V275</f>
        <v>21.3</v>
      </c>
      <c r="W276" s="124">
        <f t="shared" si="1767"/>
        <v>1.0960000000000001</v>
      </c>
      <c r="X276" s="124">
        <f t="shared" si="1700"/>
        <v>1.0880000000000001</v>
      </c>
      <c r="Y276" s="41"/>
      <c r="Z276" s="41"/>
      <c r="AA276" s="90">
        <f t="shared" ref="AA276:AB276" si="1768">AA275</f>
        <v>5.01</v>
      </c>
      <c r="AB276" s="73" t="str">
        <f t="shared" si="1768"/>
        <v>11,15,880</v>
      </c>
      <c r="AC276" s="11" t="str">
        <f t="shared" ref="AC276:AC309" si="1769">LEFT(AB276,2)</f>
        <v>11</v>
      </c>
      <c r="AD276" s="11" t="str">
        <f t="shared" ref="AD276:AD309" si="1770">RIGHT(AB276,6)</f>
        <v>15,880</v>
      </c>
      <c r="AE276" s="11">
        <f t="shared" ref="AE276:AE309" si="1771">+(AC276*60+AD276)/(60*60)</f>
        <v>0.18774444444444444</v>
      </c>
      <c r="AF276" s="14">
        <f t="shared" ref="AF276:AF309" si="1772">+AA276/AE276</f>
        <v>26.685210392377346</v>
      </c>
      <c r="AG276" s="39">
        <f t="shared" ref="AG276:AG309" si="1773">+(((Z276-Y276-AA276)/AA276)*100)</f>
        <v>-100</v>
      </c>
      <c r="AH276" s="38">
        <f t="shared" si="1715"/>
        <v>18.399999999999999</v>
      </c>
      <c r="AI276" s="124">
        <f t="shared" si="1715"/>
        <v>1.0980000000000001</v>
      </c>
      <c r="AJ276" s="124">
        <f t="shared" si="1715"/>
        <v>1.087</v>
      </c>
      <c r="AK276" s="41">
        <f t="shared" ref="AK276:AK309" si="1774">Z276</f>
        <v>0</v>
      </c>
      <c r="AL276" s="41"/>
      <c r="AM276" s="34">
        <f t="shared" ref="AM276:AN276" si="1775">AM275</f>
        <v>2.0049999999999999</v>
      </c>
      <c r="AN276" s="33" t="str">
        <f t="shared" si="1775"/>
        <v>7,19,050</v>
      </c>
      <c r="AO276" s="11" t="str">
        <f t="shared" ref="AO276:AO309" si="1776">LEFT(AN276,2)</f>
        <v>7,</v>
      </c>
      <c r="AP276" s="11" t="str">
        <f t="shared" ref="AP276:AP309" si="1777">RIGHT(AN276,6)</f>
        <v>19,050</v>
      </c>
      <c r="AQ276" s="11">
        <f t="shared" ref="AQ276:AQ309" si="1778">+(AO276*60+AP276)/(60*60)</f>
        <v>0.12195833333333334</v>
      </c>
      <c r="AR276" s="14">
        <f t="shared" ref="AR276:AR309" si="1779">+AM276/AQ276</f>
        <v>16.44004099760847</v>
      </c>
      <c r="AS276" s="39">
        <f t="shared" ref="AS276:AS309" si="1780">+(((AL276-AK276-AM276)/AM276)*100)</f>
        <v>-100</v>
      </c>
      <c r="AT276" s="40" t="str">
        <f t="shared" ref="AT276:AT309" si="1781">IF(I276&gt;=1,"NO CONFORME",IF(BK276="SIGDIFERENTES",BC276,BL276))</f>
        <v>NO CONFORME</v>
      </c>
      <c r="AU276" s="8" t="b">
        <f t="shared" si="1703"/>
        <v>1</v>
      </c>
      <c r="AV276" s="8" t="b">
        <f t="shared" si="1704"/>
        <v>0</v>
      </c>
      <c r="AW276" s="8" t="b">
        <f t="shared" si="1705"/>
        <v>1</v>
      </c>
      <c r="AX276" s="8" t="str">
        <f t="shared" si="1706"/>
        <v>Qcorrecto</v>
      </c>
      <c r="AY276" s="22" t="str">
        <f t="shared" si="1686"/>
        <v>aceptable</v>
      </c>
      <c r="AZ276" s="22" t="str">
        <f t="shared" si="1687"/>
        <v>aceptable</v>
      </c>
      <c r="BA276" s="22" t="str">
        <f t="shared" si="1707"/>
        <v>aceptable</v>
      </c>
      <c r="BB276" s="25" t="str">
        <f t="shared" si="1708"/>
        <v>NO CONFORME</v>
      </c>
      <c r="BC276" s="5" t="str">
        <f t="shared" si="1709"/>
        <v>NO CONFORME</v>
      </c>
      <c r="BD276" s="15">
        <f t="shared" si="1688"/>
        <v>-1</v>
      </c>
      <c r="BE276" s="15">
        <f t="shared" si="1689"/>
        <v>-1</v>
      </c>
      <c r="BF276" s="15">
        <f t="shared" si="1690"/>
        <v>-1</v>
      </c>
      <c r="BG276" s="15" t="str">
        <f t="shared" si="1691"/>
        <v>-1-1-1</v>
      </c>
      <c r="BH276" s="15" t="str">
        <f t="shared" si="1692"/>
        <v>SD</v>
      </c>
      <c r="BI276" s="15" t="str">
        <f t="shared" si="1693"/>
        <v>SI</v>
      </c>
      <c r="BJ276" s="15" t="b">
        <f t="shared" si="1694"/>
        <v>1</v>
      </c>
      <c r="BK276" s="15" t="str">
        <f t="shared" si="1695"/>
        <v>SIGIGUALES</v>
      </c>
      <c r="BL276" s="22" t="str">
        <f t="shared" si="1696"/>
        <v>NO CONFORME</v>
      </c>
    </row>
    <row r="277" spans="1:64" ht="14.4" x14ac:dyDescent="0.3">
      <c r="A277" s="91">
        <v>269</v>
      </c>
      <c r="B277" s="28">
        <f t="shared" ref="B277:E277" si="1782">B276</f>
        <v>45920</v>
      </c>
      <c r="C277" s="28">
        <f t="shared" si="1782"/>
        <v>45920</v>
      </c>
      <c r="D277" s="12">
        <f t="shared" si="1782"/>
        <v>3</v>
      </c>
      <c r="E277" s="10">
        <f t="shared" si="1782"/>
        <v>8</v>
      </c>
      <c r="F277" s="13"/>
      <c r="G277" s="157"/>
      <c r="H277" s="70">
        <f t="shared" ref="H277:L277" si="1783">H276</f>
        <v>25.6</v>
      </c>
      <c r="I277" s="36">
        <f t="shared" si="1783"/>
        <v>0</v>
      </c>
      <c r="J277" s="35">
        <f t="shared" si="1783"/>
        <v>20.9</v>
      </c>
      <c r="K277" s="122">
        <f t="shared" si="1783"/>
        <v>8.4730000000000008</v>
      </c>
      <c r="L277" s="122">
        <f t="shared" si="1783"/>
        <v>0.52100000000000002</v>
      </c>
      <c r="M277" s="41"/>
      <c r="N277" s="41"/>
      <c r="O277" s="32">
        <f t="shared" ref="O277:P277" si="1784">O276</f>
        <v>100.48</v>
      </c>
      <c r="P277" s="168" t="str">
        <f t="shared" si="1784"/>
        <v>2,29,610</v>
      </c>
      <c r="Q277" s="11" t="str">
        <f t="shared" si="1762"/>
        <v>2</v>
      </c>
      <c r="R277" s="11" t="str">
        <f t="shared" si="1763"/>
        <v>29,610</v>
      </c>
      <c r="S277" s="11">
        <f t="shared" si="1764"/>
        <v>4.1558333333333336E-2</v>
      </c>
      <c r="T277" s="14">
        <f t="shared" si="1765"/>
        <v>2417.8062963705634</v>
      </c>
      <c r="U277" s="37">
        <f t="shared" si="1766"/>
        <v>-100</v>
      </c>
      <c r="V277" s="38">
        <f t="shared" ref="V277:W277" si="1785">V276</f>
        <v>21.3</v>
      </c>
      <c r="W277" s="124">
        <f t="shared" si="1785"/>
        <v>1.0960000000000001</v>
      </c>
      <c r="X277" s="124">
        <f t="shared" si="1700"/>
        <v>1.0880000000000001</v>
      </c>
      <c r="Y277" s="41"/>
      <c r="Z277" s="41"/>
      <c r="AA277" s="90">
        <f t="shared" ref="AA277:AB277" si="1786">AA276</f>
        <v>5.01</v>
      </c>
      <c r="AB277" s="73" t="str">
        <f t="shared" si="1786"/>
        <v>11,15,880</v>
      </c>
      <c r="AC277" s="11" t="str">
        <f t="shared" si="1769"/>
        <v>11</v>
      </c>
      <c r="AD277" s="11" t="str">
        <f t="shared" si="1770"/>
        <v>15,880</v>
      </c>
      <c r="AE277" s="11">
        <f t="shared" si="1771"/>
        <v>0.18774444444444444</v>
      </c>
      <c r="AF277" s="14">
        <f t="shared" si="1772"/>
        <v>26.685210392377346</v>
      </c>
      <c r="AG277" s="39">
        <f t="shared" si="1773"/>
        <v>-100</v>
      </c>
      <c r="AH277" s="38">
        <f t="shared" si="1715"/>
        <v>18.399999999999999</v>
      </c>
      <c r="AI277" s="124">
        <f t="shared" si="1715"/>
        <v>1.0980000000000001</v>
      </c>
      <c r="AJ277" s="124">
        <f t="shared" si="1715"/>
        <v>1.087</v>
      </c>
      <c r="AK277" s="41">
        <f t="shared" si="1774"/>
        <v>0</v>
      </c>
      <c r="AL277" s="41"/>
      <c r="AM277" s="34">
        <f t="shared" ref="AM277:AN277" si="1787">AM276</f>
        <v>2.0049999999999999</v>
      </c>
      <c r="AN277" s="33" t="str">
        <f t="shared" si="1787"/>
        <v>7,19,050</v>
      </c>
      <c r="AO277" s="11" t="str">
        <f t="shared" si="1776"/>
        <v>7,</v>
      </c>
      <c r="AP277" s="11" t="str">
        <f t="shared" si="1777"/>
        <v>19,050</v>
      </c>
      <c r="AQ277" s="11">
        <f t="shared" si="1778"/>
        <v>0.12195833333333334</v>
      </c>
      <c r="AR277" s="14">
        <f t="shared" si="1779"/>
        <v>16.44004099760847</v>
      </c>
      <c r="AS277" s="39">
        <f t="shared" si="1780"/>
        <v>-100</v>
      </c>
      <c r="AT277" s="40" t="str">
        <f t="shared" si="1781"/>
        <v>NO CONFORME</v>
      </c>
      <c r="AU277" s="8" t="b">
        <f t="shared" si="1703"/>
        <v>1</v>
      </c>
      <c r="AV277" s="8" t="b">
        <f t="shared" si="1704"/>
        <v>0</v>
      </c>
      <c r="AW277" s="8" t="b">
        <f t="shared" si="1705"/>
        <v>1</v>
      </c>
      <c r="AX277" s="8" t="str">
        <f t="shared" si="1706"/>
        <v>Qcorrecto</v>
      </c>
      <c r="AY277" s="22" t="str">
        <f t="shared" si="1686"/>
        <v>aceptable</v>
      </c>
      <c r="AZ277" s="22" t="str">
        <f t="shared" si="1687"/>
        <v>aceptable</v>
      </c>
      <c r="BA277" s="22" t="str">
        <f t="shared" si="1707"/>
        <v>aceptable</v>
      </c>
      <c r="BB277" s="25" t="str">
        <f t="shared" si="1708"/>
        <v>NO CONFORME</v>
      </c>
      <c r="BC277" s="5" t="str">
        <f t="shared" si="1709"/>
        <v>NO CONFORME</v>
      </c>
      <c r="BD277" s="15">
        <f t="shared" si="1688"/>
        <v>-1</v>
      </c>
      <c r="BE277" s="15">
        <f t="shared" si="1689"/>
        <v>-1</v>
      </c>
      <c r="BF277" s="15">
        <f t="shared" si="1690"/>
        <v>-1</v>
      </c>
      <c r="BG277" s="15" t="str">
        <f t="shared" si="1691"/>
        <v>-1-1-1</v>
      </c>
      <c r="BH277" s="15" t="str">
        <f t="shared" si="1692"/>
        <v>SD</v>
      </c>
      <c r="BI277" s="15" t="str">
        <f t="shared" si="1693"/>
        <v>SI</v>
      </c>
      <c r="BJ277" s="15" t="b">
        <f t="shared" si="1694"/>
        <v>1</v>
      </c>
      <c r="BK277" s="15" t="str">
        <f t="shared" si="1695"/>
        <v>SIGIGUALES</v>
      </c>
      <c r="BL277" s="22" t="str">
        <f t="shared" si="1696"/>
        <v>NO CONFORME</v>
      </c>
    </row>
    <row r="278" spans="1:64" ht="14.4" x14ac:dyDescent="0.3">
      <c r="A278" s="91">
        <v>270</v>
      </c>
      <c r="B278" s="28">
        <f t="shared" ref="B278:E278" si="1788">B277</f>
        <v>45920</v>
      </c>
      <c r="C278" s="28">
        <f t="shared" si="1788"/>
        <v>45920</v>
      </c>
      <c r="D278" s="12">
        <f t="shared" si="1788"/>
        <v>3</v>
      </c>
      <c r="E278" s="10">
        <f t="shared" si="1788"/>
        <v>8</v>
      </c>
      <c r="F278" s="13"/>
      <c r="G278" s="157"/>
      <c r="H278" s="70">
        <f t="shared" ref="H278:L278" si="1789">H277</f>
        <v>25.6</v>
      </c>
      <c r="I278" s="36">
        <f t="shared" si="1789"/>
        <v>0</v>
      </c>
      <c r="J278" s="35">
        <f t="shared" si="1789"/>
        <v>20.9</v>
      </c>
      <c r="K278" s="122">
        <f t="shared" si="1789"/>
        <v>8.4730000000000008</v>
      </c>
      <c r="L278" s="122">
        <f t="shared" si="1789"/>
        <v>0.52100000000000002</v>
      </c>
      <c r="M278" s="41"/>
      <c r="N278" s="41"/>
      <c r="O278" s="32">
        <f t="shared" ref="O278:P278" si="1790">O277</f>
        <v>100.48</v>
      </c>
      <c r="P278" s="168" t="str">
        <f t="shared" si="1790"/>
        <v>2,29,610</v>
      </c>
      <c r="Q278" s="11" t="str">
        <f t="shared" si="1762"/>
        <v>2</v>
      </c>
      <c r="R278" s="11" t="str">
        <f t="shared" si="1763"/>
        <v>29,610</v>
      </c>
      <c r="S278" s="11">
        <f t="shared" si="1764"/>
        <v>4.1558333333333336E-2</v>
      </c>
      <c r="T278" s="14">
        <f t="shared" si="1765"/>
        <v>2417.8062963705634</v>
      </c>
      <c r="U278" s="37">
        <f t="shared" si="1766"/>
        <v>-100</v>
      </c>
      <c r="V278" s="38">
        <f t="shared" ref="V278:W278" si="1791">V277</f>
        <v>21.3</v>
      </c>
      <c r="W278" s="124">
        <f t="shared" si="1791"/>
        <v>1.0960000000000001</v>
      </c>
      <c r="X278" s="124">
        <f t="shared" si="1700"/>
        <v>1.0880000000000001</v>
      </c>
      <c r="Y278" s="41"/>
      <c r="Z278" s="41"/>
      <c r="AA278" s="90">
        <f t="shared" ref="AA278:AB278" si="1792">AA277</f>
        <v>5.01</v>
      </c>
      <c r="AB278" s="73" t="str">
        <f t="shared" si="1792"/>
        <v>11,15,880</v>
      </c>
      <c r="AC278" s="11" t="str">
        <f t="shared" si="1769"/>
        <v>11</v>
      </c>
      <c r="AD278" s="11" t="str">
        <f t="shared" si="1770"/>
        <v>15,880</v>
      </c>
      <c r="AE278" s="11">
        <f t="shared" si="1771"/>
        <v>0.18774444444444444</v>
      </c>
      <c r="AF278" s="14">
        <f t="shared" si="1772"/>
        <v>26.685210392377346</v>
      </c>
      <c r="AG278" s="39">
        <f t="shared" si="1773"/>
        <v>-100</v>
      </c>
      <c r="AH278" s="38">
        <f t="shared" si="1715"/>
        <v>18.399999999999999</v>
      </c>
      <c r="AI278" s="124">
        <f t="shared" si="1715"/>
        <v>1.0980000000000001</v>
      </c>
      <c r="AJ278" s="124">
        <f t="shared" si="1715"/>
        <v>1.087</v>
      </c>
      <c r="AK278" s="41">
        <f t="shared" si="1774"/>
        <v>0</v>
      </c>
      <c r="AL278" s="41"/>
      <c r="AM278" s="34">
        <f t="shared" ref="AM278:AN278" si="1793">AM277</f>
        <v>2.0049999999999999</v>
      </c>
      <c r="AN278" s="33" t="str">
        <f t="shared" si="1793"/>
        <v>7,19,050</v>
      </c>
      <c r="AO278" s="11" t="str">
        <f t="shared" si="1776"/>
        <v>7,</v>
      </c>
      <c r="AP278" s="11" t="str">
        <f t="shared" si="1777"/>
        <v>19,050</v>
      </c>
      <c r="AQ278" s="11">
        <f t="shared" si="1778"/>
        <v>0.12195833333333334</v>
      </c>
      <c r="AR278" s="14">
        <f t="shared" si="1779"/>
        <v>16.44004099760847</v>
      </c>
      <c r="AS278" s="39">
        <f t="shared" si="1780"/>
        <v>-100</v>
      </c>
      <c r="AT278" s="40" t="str">
        <f t="shared" si="1781"/>
        <v>NO CONFORME</v>
      </c>
      <c r="AU278" s="8" t="b">
        <f t="shared" si="1703"/>
        <v>1</v>
      </c>
      <c r="AV278" s="8" t="b">
        <f t="shared" si="1704"/>
        <v>0</v>
      </c>
      <c r="AW278" s="8" t="b">
        <f t="shared" si="1705"/>
        <v>1</v>
      </c>
      <c r="AX278" s="8" t="str">
        <f t="shared" si="1706"/>
        <v>Qcorrecto</v>
      </c>
      <c r="AY278" s="22" t="str">
        <f t="shared" si="1686"/>
        <v>aceptable</v>
      </c>
      <c r="AZ278" s="22" t="str">
        <f t="shared" si="1687"/>
        <v>aceptable</v>
      </c>
      <c r="BA278" s="22" t="str">
        <f t="shared" si="1707"/>
        <v>aceptable</v>
      </c>
      <c r="BB278" s="25" t="str">
        <f t="shared" si="1708"/>
        <v>NO CONFORME</v>
      </c>
      <c r="BC278" s="5" t="str">
        <f t="shared" si="1709"/>
        <v>NO CONFORME</v>
      </c>
      <c r="BD278" s="15">
        <f t="shared" si="1688"/>
        <v>-1</v>
      </c>
      <c r="BE278" s="15">
        <f t="shared" si="1689"/>
        <v>-1</v>
      </c>
      <c r="BF278" s="15">
        <f t="shared" si="1690"/>
        <v>-1</v>
      </c>
      <c r="BG278" s="15" t="str">
        <f t="shared" si="1691"/>
        <v>-1-1-1</v>
      </c>
      <c r="BH278" s="15" t="str">
        <f t="shared" si="1692"/>
        <v>SD</v>
      </c>
      <c r="BI278" s="15" t="str">
        <f t="shared" si="1693"/>
        <v>SI</v>
      </c>
      <c r="BJ278" s="15" t="b">
        <f t="shared" si="1694"/>
        <v>1</v>
      </c>
      <c r="BK278" s="15" t="str">
        <f t="shared" si="1695"/>
        <v>SIGIGUALES</v>
      </c>
      <c r="BL278" s="22" t="str">
        <f t="shared" si="1696"/>
        <v>NO CONFORME</v>
      </c>
    </row>
    <row r="279" spans="1:64" ht="14.4" x14ac:dyDescent="0.3">
      <c r="A279" s="91">
        <v>271</v>
      </c>
      <c r="B279" s="28">
        <f t="shared" ref="B279:E279" si="1794">B278</f>
        <v>45920</v>
      </c>
      <c r="C279" s="28">
        <f t="shared" si="1794"/>
        <v>45920</v>
      </c>
      <c r="D279" s="12">
        <f t="shared" si="1794"/>
        <v>3</v>
      </c>
      <c r="E279" s="10">
        <f t="shared" si="1794"/>
        <v>8</v>
      </c>
      <c r="F279" s="13"/>
      <c r="G279" s="157"/>
      <c r="H279" s="70">
        <f t="shared" ref="H279:L279" si="1795">H278</f>
        <v>25.6</v>
      </c>
      <c r="I279" s="36">
        <f t="shared" si="1795"/>
        <v>0</v>
      </c>
      <c r="J279" s="35">
        <f t="shared" si="1795"/>
        <v>20.9</v>
      </c>
      <c r="K279" s="122">
        <f t="shared" si="1795"/>
        <v>8.4730000000000008</v>
      </c>
      <c r="L279" s="122">
        <f t="shared" si="1795"/>
        <v>0.52100000000000002</v>
      </c>
      <c r="M279" s="41"/>
      <c r="N279" s="41"/>
      <c r="O279" s="32">
        <f t="shared" ref="O279:P279" si="1796">O278</f>
        <v>100.48</v>
      </c>
      <c r="P279" s="168" t="str">
        <f t="shared" si="1796"/>
        <v>2,29,610</v>
      </c>
      <c r="Q279" s="11" t="str">
        <f t="shared" si="1762"/>
        <v>2</v>
      </c>
      <c r="R279" s="11" t="str">
        <f t="shared" si="1763"/>
        <v>29,610</v>
      </c>
      <c r="S279" s="11">
        <f t="shared" si="1764"/>
        <v>4.1558333333333336E-2</v>
      </c>
      <c r="T279" s="14">
        <f t="shared" si="1765"/>
        <v>2417.8062963705634</v>
      </c>
      <c r="U279" s="37">
        <f t="shared" si="1766"/>
        <v>-100</v>
      </c>
      <c r="V279" s="38">
        <f t="shared" ref="V279:W279" si="1797">V278</f>
        <v>21.3</v>
      </c>
      <c r="W279" s="124">
        <f t="shared" si="1797"/>
        <v>1.0960000000000001</v>
      </c>
      <c r="X279" s="124">
        <f t="shared" si="1700"/>
        <v>1.0880000000000001</v>
      </c>
      <c r="Y279" s="41"/>
      <c r="Z279" s="41"/>
      <c r="AA279" s="90">
        <f t="shared" ref="AA279:AB279" si="1798">AA278</f>
        <v>5.01</v>
      </c>
      <c r="AB279" s="73" t="str">
        <f t="shared" si="1798"/>
        <v>11,15,880</v>
      </c>
      <c r="AC279" s="11" t="str">
        <f t="shared" si="1769"/>
        <v>11</v>
      </c>
      <c r="AD279" s="11" t="str">
        <f t="shared" si="1770"/>
        <v>15,880</v>
      </c>
      <c r="AE279" s="11">
        <f t="shared" si="1771"/>
        <v>0.18774444444444444</v>
      </c>
      <c r="AF279" s="14">
        <f t="shared" si="1772"/>
        <v>26.685210392377346</v>
      </c>
      <c r="AG279" s="39">
        <f t="shared" si="1773"/>
        <v>-100</v>
      </c>
      <c r="AH279" s="38">
        <f t="shared" si="1715"/>
        <v>18.399999999999999</v>
      </c>
      <c r="AI279" s="124">
        <f t="shared" si="1715"/>
        <v>1.0980000000000001</v>
      </c>
      <c r="AJ279" s="124">
        <f t="shared" si="1715"/>
        <v>1.087</v>
      </c>
      <c r="AK279" s="41">
        <f t="shared" si="1774"/>
        <v>0</v>
      </c>
      <c r="AL279" s="41"/>
      <c r="AM279" s="34">
        <f t="shared" ref="AM279:AN279" si="1799">AM278</f>
        <v>2.0049999999999999</v>
      </c>
      <c r="AN279" s="33" t="str">
        <f t="shared" si="1799"/>
        <v>7,19,050</v>
      </c>
      <c r="AO279" s="11" t="str">
        <f t="shared" si="1776"/>
        <v>7,</v>
      </c>
      <c r="AP279" s="11" t="str">
        <f t="shared" si="1777"/>
        <v>19,050</v>
      </c>
      <c r="AQ279" s="11">
        <f t="shared" si="1778"/>
        <v>0.12195833333333334</v>
      </c>
      <c r="AR279" s="14">
        <f t="shared" si="1779"/>
        <v>16.44004099760847</v>
      </c>
      <c r="AS279" s="39">
        <f t="shared" si="1780"/>
        <v>-100</v>
      </c>
      <c r="AT279" s="40" t="str">
        <f t="shared" si="1781"/>
        <v>NO CONFORME</v>
      </c>
      <c r="AU279" s="8" t="b">
        <f t="shared" si="1703"/>
        <v>1</v>
      </c>
      <c r="AV279" s="8" t="b">
        <f t="shared" si="1704"/>
        <v>0</v>
      </c>
      <c r="AW279" s="8" t="b">
        <f t="shared" si="1705"/>
        <v>1</v>
      </c>
      <c r="AX279" s="8" t="str">
        <f t="shared" si="1706"/>
        <v>Qcorrecto</v>
      </c>
      <c r="AY279" s="22" t="str">
        <f t="shared" si="1686"/>
        <v>aceptable</v>
      </c>
      <c r="AZ279" s="22" t="str">
        <f t="shared" si="1687"/>
        <v>aceptable</v>
      </c>
      <c r="BA279" s="22" t="str">
        <f t="shared" si="1707"/>
        <v>aceptable</v>
      </c>
      <c r="BB279" s="25" t="str">
        <f t="shared" si="1708"/>
        <v>NO CONFORME</v>
      </c>
      <c r="BC279" s="5" t="str">
        <f t="shared" si="1709"/>
        <v>NO CONFORME</v>
      </c>
      <c r="BD279" s="15">
        <f t="shared" si="1688"/>
        <v>-1</v>
      </c>
      <c r="BE279" s="15">
        <f t="shared" si="1689"/>
        <v>-1</v>
      </c>
      <c r="BF279" s="15">
        <f t="shared" si="1690"/>
        <v>-1</v>
      </c>
      <c r="BG279" s="15" t="str">
        <f t="shared" si="1691"/>
        <v>-1-1-1</v>
      </c>
      <c r="BH279" s="15" t="str">
        <f t="shared" si="1692"/>
        <v>SD</v>
      </c>
      <c r="BI279" s="15" t="str">
        <f t="shared" si="1693"/>
        <v>SI</v>
      </c>
      <c r="BJ279" s="15" t="b">
        <f t="shared" si="1694"/>
        <v>1</v>
      </c>
      <c r="BK279" s="15" t="str">
        <f t="shared" si="1695"/>
        <v>SIGIGUALES</v>
      </c>
      <c r="BL279" s="22" t="str">
        <f t="shared" si="1696"/>
        <v>NO CONFORME</v>
      </c>
    </row>
    <row r="280" spans="1:64" ht="14.4" x14ac:dyDescent="0.3">
      <c r="A280" s="91">
        <v>272</v>
      </c>
      <c r="B280" s="28">
        <f t="shared" ref="B280:E280" si="1800">B279</f>
        <v>45920</v>
      </c>
      <c r="C280" s="28">
        <f t="shared" si="1800"/>
        <v>45920</v>
      </c>
      <c r="D280" s="12">
        <f t="shared" si="1800"/>
        <v>3</v>
      </c>
      <c r="E280" s="10">
        <f t="shared" si="1800"/>
        <v>8</v>
      </c>
      <c r="F280" s="13"/>
      <c r="G280" s="157"/>
      <c r="H280" s="70">
        <f t="shared" ref="H280:L280" si="1801">H279</f>
        <v>25.6</v>
      </c>
      <c r="I280" s="36">
        <f t="shared" si="1801"/>
        <v>0</v>
      </c>
      <c r="J280" s="35">
        <f t="shared" si="1801"/>
        <v>20.9</v>
      </c>
      <c r="K280" s="122">
        <f t="shared" si="1801"/>
        <v>8.4730000000000008</v>
      </c>
      <c r="L280" s="122">
        <f t="shared" si="1801"/>
        <v>0.52100000000000002</v>
      </c>
      <c r="M280" s="41"/>
      <c r="N280" s="41"/>
      <c r="O280" s="32">
        <f t="shared" ref="O280:P280" si="1802">O279</f>
        <v>100.48</v>
      </c>
      <c r="P280" s="168" t="str">
        <f t="shared" si="1802"/>
        <v>2,29,610</v>
      </c>
      <c r="Q280" s="11" t="str">
        <f t="shared" si="1762"/>
        <v>2</v>
      </c>
      <c r="R280" s="11" t="str">
        <f t="shared" si="1763"/>
        <v>29,610</v>
      </c>
      <c r="S280" s="11">
        <f t="shared" si="1764"/>
        <v>4.1558333333333336E-2</v>
      </c>
      <c r="T280" s="14">
        <f t="shared" si="1765"/>
        <v>2417.8062963705634</v>
      </c>
      <c r="U280" s="37">
        <f t="shared" si="1766"/>
        <v>-100</v>
      </c>
      <c r="V280" s="38">
        <f t="shared" ref="V280:W280" si="1803">V279</f>
        <v>21.3</v>
      </c>
      <c r="W280" s="124">
        <f t="shared" si="1803"/>
        <v>1.0960000000000001</v>
      </c>
      <c r="X280" s="124">
        <f t="shared" si="1700"/>
        <v>1.0880000000000001</v>
      </c>
      <c r="Y280" s="41"/>
      <c r="Z280" s="41"/>
      <c r="AA280" s="90">
        <f t="shared" ref="AA280:AB280" si="1804">AA279</f>
        <v>5.01</v>
      </c>
      <c r="AB280" s="73" t="str">
        <f t="shared" si="1804"/>
        <v>11,15,880</v>
      </c>
      <c r="AC280" s="11" t="str">
        <f t="shared" si="1769"/>
        <v>11</v>
      </c>
      <c r="AD280" s="11" t="str">
        <f t="shared" si="1770"/>
        <v>15,880</v>
      </c>
      <c r="AE280" s="11">
        <f t="shared" si="1771"/>
        <v>0.18774444444444444</v>
      </c>
      <c r="AF280" s="14">
        <f t="shared" si="1772"/>
        <v>26.685210392377346</v>
      </c>
      <c r="AG280" s="39">
        <f t="shared" si="1773"/>
        <v>-100</v>
      </c>
      <c r="AH280" s="38">
        <f t="shared" si="1715"/>
        <v>18.399999999999999</v>
      </c>
      <c r="AI280" s="124">
        <f t="shared" si="1715"/>
        <v>1.0980000000000001</v>
      </c>
      <c r="AJ280" s="124">
        <f t="shared" si="1715"/>
        <v>1.087</v>
      </c>
      <c r="AK280" s="41">
        <f t="shared" si="1774"/>
        <v>0</v>
      </c>
      <c r="AL280" s="41"/>
      <c r="AM280" s="34">
        <f t="shared" ref="AM280:AN280" si="1805">AM279</f>
        <v>2.0049999999999999</v>
      </c>
      <c r="AN280" s="33" t="str">
        <f t="shared" si="1805"/>
        <v>7,19,050</v>
      </c>
      <c r="AO280" s="11" t="str">
        <f t="shared" si="1776"/>
        <v>7,</v>
      </c>
      <c r="AP280" s="11" t="str">
        <f t="shared" si="1777"/>
        <v>19,050</v>
      </c>
      <c r="AQ280" s="11">
        <f t="shared" si="1778"/>
        <v>0.12195833333333334</v>
      </c>
      <c r="AR280" s="14">
        <f t="shared" si="1779"/>
        <v>16.44004099760847</v>
      </c>
      <c r="AS280" s="39">
        <f t="shared" si="1780"/>
        <v>-100</v>
      </c>
      <c r="AT280" s="40" t="str">
        <f t="shared" si="1781"/>
        <v>NO CONFORME</v>
      </c>
      <c r="AU280" s="8" t="b">
        <f t="shared" si="1703"/>
        <v>1</v>
      </c>
      <c r="AV280" s="8" t="b">
        <f t="shared" si="1704"/>
        <v>0</v>
      </c>
      <c r="AW280" s="8" t="b">
        <f t="shared" si="1705"/>
        <v>1</v>
      </c>
      <c r="AX280" s="8" t="str">
        <f t="shared" si="1706"/>
        <v>Qcorrecto</v>
      </c>
      <c r="AY280" s="22" t="str">
        <f t="shared" si="1686"/>
        <v>aceptable</v>
      </c>
      <c r="AZ280" s="22" t="str">
        <f t="shared" si="1687"/>
        <v>aceptable</v>
      </c>
      <c r="BA280" s="22" t="str">
        <f t="shared" si="1707"/>
        <v>aceptable</v>
      </c>
      <c r="BB280" s="25" t="str">
        <f t="shared" si="1708"/>
        <v>NO CONFORME</v>
      </c>
      <c r="BC280" s="5" t="str">
        <f t="shared" si="1709"/>
        <v>NO CONFORME</v>
      </c>
      <c r="BD280" s="15">
        <f t="shared" si="1688"/>
        <v>-1</v>
      </c>
      <c r="BE280" s="15">
        <f t="shared" si="1689"/>
        <v>-1</v>
      </c>
      <c r="BF280" s="15">
        <f t="shared" si="1690"/>
        <v>-1</v>
      </c>
      <c r="BG280" s="15" t="str">
        <f t="shared" si="1691"/>
        <v>-1-1-1</v>
      </c>
      <c r="BH280" s="15" t="str">
        <f t="shared" si="1692"/>
        <v>SD</v>
      </c>
      <c r="BI280" s="15" t="str">
        <f t="shared" si="1693"/>
        <v>SI</v>
      </c>
      <c r="BJ280" s="15" t="b">
        <f t="shared" si="1694"/>
        <v>1</v>
      </c>
      <c r="BK280" s="15" t="str">
        <f t="shared" si="1695"/>
        <v>SIGIGUALES</v>
      </c>
      <c r="BL280" s="22" t="str">
        <f t="shared" si="1696"/>
        <v>NO CONFORME</v>
      </c>
    </row>
    <row r="281" spans="1:64" ht="14.4" x14ac:dyDescent="0.3">
      <c r="A281" s="91">
        <v>273</v>
      </c>
      <c r="B281" s="28">
        <f t="shared" ref="B281:E281" si="1806">B280</f>
        <v>45920</v>
      </c>
      <c r="C281" s="28">
        <f t="shared" si="1806"/>
        <v>45920</v>
      </c>
      <c r="D281" s="12">
        <f t="shared" si="1806"/>
        <v>3</v>
      </c>
      <c r="E281" s="10">
        <f t="shared" si="1806"/>
        <v>8</v>
      </c>
      <c r="F281" s="13"/>
      <c r="G281" s="157"/>
      <c r="H281" s="70">
        <f t="shared" ref="H281:L281" si="1807">H280</f>
        <v>25.6</v>
      </c>
      <c r="I281" s="36">
        <f t="shared" si="1807"/>
        <v>0</v>
      </c>
      <c r="J281" s="35">
        <f t="shared" si="1807"/>
        <v>20.9</v>
      </c>
      <c r="K281" s="122">
        <f t="shared" si="1807"/>
        <v>8.4730000000000008</v>
      </c>
      <c r="L281" s="122">
        <f t="shared" si="1807"/>
        <v>0.52100000000000002</v>
      </c>
      <c r="M281" s="41"/>
      <c r="N281" s="41"/>
      <c r="O281" s="32">
        <f t="shared" ref="O281:P281" si="1808">O280</f>
        <v>100.48</v>
      </c>
      <c r="P281" s="168" t="str">
        <f t="shared" si="1808"/>
        <v>2,29,610</v>
      </c>
      <c r="Q281" s="11" t="str">
        <f t="shared" si="1762"/>
        <v>2</v>
      </c>
      <c r="R281" s="11" t="str">
        <f t="shared" si="1763"/>
        <v>29,610</v>
      </c>
      <c r="S281" s="11">
        <f t="shared" si="1764"/>
        <v>4.1558333333333336E-2</v>
      </c>
      <c r="T281" s="14">
        <f t="shared" si="1765"/>
        <v>2417.8062963705634</v>
      </c>
      <c r="U281" s="37">
        <f t="shared" si="1766"/>
        <v>-100</v>
      </c>
      <c r="V281" s="38">
        <f t="shared" ref="V281:W281" si="1809">V280</f>
        <v>21.3</v>
      </c>
      <c r="W281" s="124">
        <f t="shared" si="1809"/>
        <v>1.0960000000000001</v>
      </c>
      <c r="X281" s="124">
        <f t="shared" si="1700"/>
        <v>1.0880000000000001</v>
      </c>
      <c r="Y281" s="41"/>
      <c r="Z281" s="41"/>
      <c r="AA281" s="90">
        <f t="shared" ref="AA281:AB281" si="1810">AA280</f>
        <v>5.01</v>
      </c>
      <c r="AB281" s="73" t="str">
        <f t="shared" si="1810"/>
        <v>11,15,880</v>
      </c>
      <c r="AC281" s="11" t="str">
        <f t="shared" si="1769"/>
        <v>11</v>
      </c>
      <c r="AD281" s="11" t="str">
        <f t="shared" si="1770"/>
        <v>15,880</v>
      </c>
      <c r="AE281" s="11">
        <f t="shared" si="1771"/>
        <v>0.18774444444444444</v>
      </c>
      <c r="AF281" s="14">
        <f t="shared" si="1772"/>
        <v>26.685210392377346</v>
      </c>
      <c r="AG281" s="39">
        <f t="shared" si="1773"/>
        <v>-100</v>
      </c>
      <c r="AH281" s="38">
        <f t="shared" si="1715"/>
        <v>18.399999999999999</v>
      </c>
      <c r="AI281" s="124">
        <f t="shared" si="1715"/>
        <v>1.0980000000000001</v>
      </c>
      <c r="AJ281" s="124">
        <f t="shared" si="1715"/>
        <v>1.087</v>
      </c>
      <c r="AK281" s="41">
        <f t="shared" si="1774"/>
        <v>0</v>
      </c>
      <c r="AL281" s="41"/>
      <c r="AM281" s="34">
        <f t="shared" ref="AM281:AN281" si="1811">AM280</f>
        <v>2.0049999999999999</v>
      </c>
      <c r="AN281" s="33" t="str">
        <f t="shared" si="1811"/>
        <v>7,19,050</v>
      </c>
      <c r="AO281" s="11" t="str">
        <f t="shared" si="1776"/>
        <v>7,</v>
      </c>
      <c r="AP281" s="11" t="str">
        <f t="shared" si="1777"/>
        <v>19,050</v>
      </c>
      <c r="AQ281" s="11">
        <f t="shared" si="1778"/>
        <v>0.12195833333333334</v>
      </c>
      <c r="AR281" s="14">
        <f t="shared" si="1779"/>
        <v>16.44004099760847</v>
      </c>
      <c r="AS281" s="39">
        <f t="shared" si="1780"/>
        <v>-100</v>
      </c>
      <c r="AT281" s="40" t="str">
        <f t="shared" si="1781"/>
        <v>NO CONFORME</v>
      </c>
      <c r="AU281" s="8" t="b">
        <f t="shared" si="1703"/>
        <v>1</v>
      </c>
      <c r="AV281" s="8" t="b">
        <f t="shared" si="1704"/>
        <v>0</v>
      </c>
      <c r="AW281" s="8" t="b">
        <f t="shared" si="1705"/>
        <v>1</v>
      </c>
      <c r="AX281" s="8" t="str">
        <f t="shared" si="1706"/>
        <v>Qcorrecto</v>
      </c>
      <c r="AY281" s="22" t="str">
        <f t="shared" si="1686"/>
        <v>aceptable</v>
      </c>
      <c r="AZ281" s="22" t="str">
        <f t="shared" si="1687"/>
        <v>aceptable</v>
      </c>
      <c r="BA281" s="22" t="str">
        <f t="shared" si="1707"/>
        <v>aceptable</v>
      </c>
      <c r="BB281" s="25" t="str">
        <f t="shared" si="1708"/>
        <v>NO CONFORME</v>
      </c>
      <c r="BC281" s="5" t="str">
        <f t="shared" si="1709"/>
        <v>NO CONFORME</v>
      </c>
      <c r="BD281" s="15">
        <f t="shared" si="1688"/>
        <v>-1</v>
      </c>
      <c r="BE281" s="15">
        <f t="shared" si="1689"/>
        <v>-1</v>
      </c>
      <c r="BF281" s="15">
        <f t="shared" si="1690"/>
        <v>-1</v>
      </c>
      <c r="BG281" s="15" t="str">
        <f t="shared" si="1691"/>
        <v>-1-1-1</v>
      </c>
      <c r="BH281" s="15" t="str">
        <f t="shared" si="1692"/>
        <v>SD</v>
      </c>
      <c r="BI281" s="15" t="str">
        <f t="shared" si="1693"/>
        <v>SI</v>
      </c>
      <c r="BJ281" s="15" t="b">
        <f t="shared" si="1694"/>
        <v>1</v>
      </c>
      <c r="BK281" s="15" t="str">
        <f t="shared" si="1695"/>
        <v>SIGIGUALES</v>
      </c>
      <c r="BL281" s="22" t="str">
        <f t="shared" si="1696"/>
        <v>NO CONFORME</v>
      </c>
    </row>
    <row r="282" spans="1:64" ht="14.4" x14ac:dyDescent="0.3">
      <c r="A282" s="91">
        <v>274</v>
      </c>
      <c r="B282" s="28">
        <f t="shared" ref="B282:E282" si="1812">B281</f>
        <v>45920</v>
      </c>
      <c r="C282" s="28">
        <f t="shared" si="1812"/>
        <v>45920</v>
      </c>
      <c r="D282" s="12">
        <f t="shared" si="1812"/>
        <v>3</v>
      </c>
      <c r="E282" s="10">
        <f t="shared" si="1812"/>
        <v>8</v>
      </c>
      <c r="F282" s="13"/>
      <c r="G282" s="157"/>
      <c r="H282" s="70">
        <f t="shared" ref="H282:L282" si="1813">H281</f>
        <v>25.6</v>
      </c>
      <c r="I282" s="36">
        <f t="shared" si="1813"/>
        <v>0</v>
      </c>
      <c r="J282" s="35">
        <f t="shared" si="1813"/>
        <v>20.9</v>
      </c>
      <c r="K282" s="122">
        <f t="shared" si="1813"/>
        <v>8.4730000000000008</v>
      </c>
      <c r="L282" s="122">
        <f t="shared" si="1813"/>
        <v>0.52100000000000002</v>
      </c>
      <c r="M282" s="41"/>
      <c r="N282" s="41"/>
      <c r="O282" s="32">
        <f t="shared" ref="O282:P282" si="1814">O281</f>
        <v>100.48</v>
      </c>
      <c r="P282" s="168" t="str">
        <f t="shared" si="1814"/>
        <v>2,29,610</v>
      </c>
      <c r="Q282" s="11" t="str">
        <f t="shared" si="1762"/>
        <v>2</v>
      </c>
      <c r="R282" s="11" t="str">
        <f t="shared" si="1763"/>
        <v>29,610</v>
      </c>
      <c r="S282" s="11">
        <f t="shared" si="1764"/>
        <v>4.1558333333333336E-2</v>
      </c>
      <c r="T282" s="14">
        <f t="shared" si="1765"/>
        <v>2417.8062963705634</v>
      </c>
      <c r="U282" s="37">
        <f t="shared" si="1766"/>
        <v>-100</v>
      </c>
      <c r="V282" s="38">
        <f t="shared" ref="V282:W282" si="1815">V281</f>
        <v>21.3</v>
      </c>
      <c r="W282" s="124">
        <f t="shared" si="1815"/>
        <v>1.0960000000000001</v>
      </c>
      <c r="X282" s="124">
        <f t="shared" si="1700"/>
        <v>1.0880000000000001</v>
      </c>
      <c r="Y282" s="41"/>
      <c r="Z282" s="41"/>
      <c r="AA282" s="90">
        <f t="shared" ref="AA282:AB282" si="1816">AA281</f>
        <v>5.01</v>
      </c>
      <c r="AB282" s="73" t="str">
        <f t="shared" si="1816"/>
        <v>11,15,880</v>
      </c>
      <c r="AC282" s="11" t="str">
        <f t="shared" si="1769"/>
        <v>11</v>
      </c>
      <c r="AD282" s="11" t="str">
        <f t="shared" si="1770"/>
        <v>15,880</v>
      </c>
      <c r="AE282" s="11">
        <f t="shared" si="1771"/>
        <v>0.18774444444444444</v>
      </c>
      <c r="AF282" s="14">
        <f t="shared" si="1772"/>
        <v>26.685210392377346</v>
      </c>
      <c r="AG282" s="39">
        <f t="shared" si="1773"/>
        <v>-100</v>
      </c>
      <c r="AH282" s="38">
        <f t="shared" si="1715"/>
        <v>18.399999999999999</v>
      </c>
      <c r="AI282" s="124">
        <f t="shared" si="1715"/>
        <v>1.0980000000000001</v>
      </c>
      <c r="AJ282" s="124">
        <f t="shared" si="1715"/>
        <v>1.087</v>
      </c>
      <c r="AK282" s="41">
        <f t="shared" si="1774"/>
        <v>0</v>
      </c>
      <c r="AL282" s="41"/>
      <c r="AM282" s="34">
        <f t="shared" ref="AM282:AN282" si="1817">AM281</f>
        <v>2.0049999999999999</v>
      </c>
      <c r="AN282" s="33" t="str">
        <f t="shared" si="1817"/>
        <v>7,19,050</v>
      </c>
      <c r="AO282" s="11" t="str">
        <f t="shared" si="1776"/>
        <v>7,</v>
      </c>
      <c r="AP282" s="11" t="str">
        <f t="shared" si="1777"/>
        <v>19,050</v>
      </c>
      <c r="AQ282" s="11">
        <f t="shared" si="1778"/>
        <v>0.12195833333333334</v>
      </c>
      <c r="AR282" s="14">
        <f t="shared" si="1779"/>
        <v>16.44004099760847</v>
      </c>
      <c r="AS282" s="39">
        <f t="shared" si="1780"/>
        <v>-100</v>
      </c>
      <c r="AT282" s="40" t="str">
        <f t="shared" si="1781"/>
        <v>NO CONFORME</v>
      </c>
      <c r="AU282" s="8" t="b">
        <f t="shared" si="1703"/>
        <v>1</v>
      </c>
      <c r="AV282" s="8" t="b">
        <f t="shared" si="1704"/>
        <v>0</v>
      </c>
      <c r="AW282" s="8" t="b">
        <f t="shared" si="1705"/>
        <v>1</v>
      </c>
      <c r="AX282" s="8" t="str">
        <f t="shared" si="1706"/>
        <v>Qcorrecto</v>
      </c>
      <c r="AY282" s="22" t="str">
        <f t="shared" si="1686"/>
        <v>aceptable</v>
      </c>
      <c r="AZ282" s="22" t="str">
        <f t="shared" si="1687"/>
        <v>aceptable</v>
      </c>
      <c r="BA282" s="22" t="str">
        <f t="shared" si="1707"/>
        <v>aceptable</v>
      </c>
      <c r="BB282" s="25" t="str">
        <f t="shared" si="1708"/>
        <v>NO CONFORME</v>
      </c>
      <c r="BC282" s="5" t="str">
        <f t="shared" si="1709"/>
        <v>NO CONFORME</v>
      </c>
      <c r="BD282" s="15">
        <f t="shared" si="1688"/>
        <v>-1</v>
      </c>
      <c r="BE282" s="15">
        <f t="shared" si="1689"/>
        <v>-1</v>
      </c>
      <c r="BF282" s="15">
        <f t="shared" si="1690"/>
        <v>-1</v>
      </c>
      <c r="BG282" s="15" t="str">
        <f t="shared" si="1691"/>
        <v>-1-1-1</v>
      </c>
      <c r="BH282" s="15" t="str">
        <f t="shared" si="1692"/>
        <v>SD</v>
      </c>
      <c r="BI282" s="15" t="str">
        <f t="shared" si="1693"/>
        <v>SI</v>
      </c>
      <c r="BJ282" s="15" t="b">
        <f t="shared" si="1694"/>
        <v>1</v>
      </c>
      <c r="BK282" s="15" t="str">
        <f t="shared" si="1695"/>
        <v>SIGIGUALES</v>
      </c>
      <c r="BL282" s="22" t="str">
        <f t="shared" si="1696"/>
        <v>NO CONFORME</v>
      </c>
    </row>
    <row r="283" spans="1:64" ht="14.4" x14ac:dyDescent="0.3">
      <c r="A283" s="91">
        <v>275</v>
      </c>
      <c r="B283" s="28">
        <f t="shared" ref="B283:E283" si="1818">B282</f>
        <v>45920</v>
      </c>
      <c r="C283" s="28">
        <f t="shared" si="1818"/>
        <v>45920</v>
      </c>
      <c r="D283" s="12">
        <f t="shared" si="1818"/>
        <v>3</v>
      </c>
      <c r="E283" s="10">
        <f t="shared" si="1818"/>
        <v>8</v>
      </c>
      <c r="F283" s="13"/>
      <c r="G283" s="157"/>
      <c r="H283" s="70">
        <f t="shared" ref="H283:L283" si="1819">H282</f>
        <v>25.6</v>
      </c>
      <c r="I283" s="36">
        <f t="shared" si="1819"/>
        <v>0</v>
      </c>
      <c r="J283" s="35">
        <f t="shared" si="1819"/>
        <v>20.9</v>
      </c>
      <c r="K283" s="122">
        <f t="shared" si="1819"/>
        <v>8.4730000000000008</v>
      </c>
      <c r="L283" s="122">
        <f t="shared" si="1819"/>
        <v>0.52100000000000002</v>
      </c>
      <c r="M283" s="41"/>
      <c r="N283" s="41"/>
      <c r="O283" s="32">
        <f t="shared" ref="O283:P283" si="1820">O282</f>
        <v>100.48</v>
      </c>
      <c r="P283" s="168" t="str">
        <f t="shared" si="1820"/>
        <v>2,29,610</v>
      </c>
      <c r="Q283" s="11" t="str">
        <f t="shared" si="1762"/>
        <v>2</v>
      </c>
      <c r="R283" s="11" t="str">
        <f t="shared" si="1763"/>
        <v>29,610</v>
      </c>
      <c r="S283" s="11">
        <f t="shared" si="1764"/>
        <v>4.1558333333333336E-2</v>
      </c>
      <c r="T283" s="14">
        <f t="shared" si="1765"/>
        <v>2417.8062963705634</v>
      </c>
      <c r="U283" s="37">
        <f t="shared" si="1766"/>
        <v>-100</v>
      </c>
      <c r="V283" s="38">
        <f t="shared" ref="V283:X298" si="1821">V282</f>
        <v>21.3</v>
      </c>
      <c r="W283" s="124">
        <f t="shared" si="1821"/>
        <v>1.0960000000000001</v>
      </c>
      <c r="X283" s="124">
        <f t="shared" si="1821"/>
        <v>1.0880000000000001</v>
      </c>
      <c r="Y283" s="41"/>
      <c r="Z283" s="41"/>
      <c r="AA283" s="90">
        <f t="shared" ref="AA283:AB283" si="1822">AA282</f>
        <v>5.01</v>
      </c>
      <c r="AB283" s="73" t="str">
        <f t="shared" si="1822"/>
        <v>11,15,880</v>
      </c>
      <c r="AC283" s="11" t="str">
        <f t="shared" si="1769"/>
        <v>11</v>
      </c>
      <c r="AD283" s="11" t="str">
        <f t="shared" si="1770"/>
        <v>15,880</v>
      </c>
      <c r="AE283" s="11">
        <f t="shared" si="1771"/>
        <v>0.18774444444444444</v>
      </c>
      <c r="AF283" s="14">
        <f t="shared" si="1772"/>
        <v>26.685210392377346</v>
      </c>
      <c r="AG283" s="39">
        <f t="shared" si="1773"/>
        <v>-100</v>
      </c>
      <c r="AH283" s="38">
        <f t="shared" si="1715"/>
        <v>18.399999999999999</v>
      </c>
      <c r="AI283" s="124">
        <f t="shared" si="1715"/>
        <v>1.0980000000000001</v>
      </c>
      <c r="AJ283" s="124">
        <f t="shared" si="1715"/>
        <v>1.087</v>
      </c>
      <c r="AK283" s="41">
        <f t="shared" si="1774"/>
        <v>0</v>
      </c>
      <c r="AL283" s="41"/>
      <c r="AM283" s="34">
        <f t="shared" ref="AM283:AN283" si="1823">AM282</f>
        <v>2.0049999999999999</v>
      </c>
      <c r="AN283" s="33" t="str">
        <f t="shared" si="1823"/>
        <v>7,19,050</v>
      </c>
      <c r="AO283" s="11" t="str">
        <f t="shared" si="1776"/>
        <v>7,</v>
      </c>
      <c r="AP283" s="11" t="str">
        <f t="shared" si="1777"/>
        <v>19,050</v>
      </c>
      <c r="AQ283" s="11">
        <f t="shared" si="1778"/>
        <v>0.12195833333333334</v>
      </c>
      <c r="AR283" s="14">
        <f t="shared" si="1779"/>
        <v>16.44004099760847</v>
      </c>
      <c r="AS283" s="39">
        <f t="shared" si="1780"/>
        <v>-100</v>
      </c>
      <c r="AT283" s="40" t="str">
        <f t="shared" si="1781"/>
        <v>NO CONFORME</v>
      </c>
      <c r="AU283" s="8" t="b">
        <f t="shared" si="1703"/>
        <v>1</v>
      </c>
      <c r="AV283" s="8" t="b">
        <f t="shared" si="1704"/>
        <v>0</v>
      </c>
      <c r="AW283" s="8" t="b">
        <f t="shared" si="1705"/>
        <v>1</v>
      </c>
      <c r="AX283" s="8" t="str">
        <f t="shared" si="1706"/>
        <v>Qcorrecto</v>
      </c>
      <c r="AY283" s="22" t="str">
        <f t="shared" si="1686"/>
        <v>aceptable</v>
      </c>
      <c r="AZ283" s="22" t="str">
        <f t="shared" si="1687"/>
        <v>aceptable</v>
      </c>
      <c r="BA283" s="22" t="str">
        <f t="shared" si="1707"/>
        <v>aceptable</v>
      </c>
      <c r="BB283" s="25" t="str">
        <f t="shared" si="1708"/>
        <v>NO CONFORME</v>
      </c>
      <c r="BC283" s="5" t="str">
        <f t="shared" si="1709"/>
        <v>NO CONFORME</v>
      </c>
      <c r="BD283" s="15">
        <f t="shared" si="1688"/>
        <v>-1</v>
      </c>
      <c r="BE283" s="15">
        <f t="shared" si="1689"/>
        <v>-1</v>
      </c>
      <c r="BF283" s="15">
        <f t="shared" si="1690"/>
        <v>-1</v>
      </c>
      <c r="BG283" s="15" t="str">
        <f t="shared" si="1691"/>
        <v>-1-1-1</v>
      </c>
      <c r="BH283" s="15" t="str">
        <f t="shared" si="1692"/>
        <v>SD</v>
      </c>
      <c r="BI283" s="15" t="str">
        <f t="shared" si="1693"/>
        <v>SI</v>
      </c>
      <c r="BJ283" s="15" t="b">
        <f t="shared" si="1694"/>
        <v>1</v>
      </c>
      <c r="BK283" s="15" t="str">
        <f t="shared" si="1695"/>
        <v>SIGIGUALES</v>
      </c>
      <c r="BL283" s="22" t="str">
        <f t="shared" si="1696"/>
        <v>NO CONFORME</v>
      </c>
    </row>
    <row r="284" spans="1:64" ht="14.4" x14ac:dyDescent="0.3">
      <c r="A284" s="91">
        <v>276</v>
      </c>
      <c r="B284" s="28">
        <f t="shared" ref="B284:E284" si="1824">B283</f>
        <v>45920</v>
      </c>
      <c r="C284" s="28">
        <f t="shared" si="1824"/>
        <v>45920</v>
      </c>
      <c r="D284" s="12">
        <f t="shared" si="1824"/>
        <v>3</v>
      </c>
      <c r="E284" s="10">
        <f t="shared" si="1824"/>
        <v>8</v>
      </c>
      <c r="F284" s="13"/>
      <c r="G284" s="157"/>
      <c r="H284" s="70">
        <f t="shared" ref="H284:L284" si="1825">H283</f>
        <v>25.6</v>
      </c>
      <c r="I284" s="36">
        <f t="shared" si="1825"/>
        <v>0</v>
      </c>
      <c r="J284" s="35">
        <f t="shared" si="1825"/>
        <v>20.9</v>
      </c>
      <c r="K284" s="122">
        <f t="shared" si="1825"/>
        <v>8.4730000000000008</v>
      </c>
      <c r="L284" s="122">
        <f t="shared" si="1825"/>
        <v>0.52100000000000002</v>
      </c>
      <c r="M284" s="41"/>
      <c r="N284" s="41"/>
      <c r="O284" s="32">
        <f t="shared" ref="O284:P284" si="1826">O283</f>
        <v>100.48</v>
      </c>
      <c r="P284" s="168" t="str">
        <f t="shared" si="1826"/>
        <v>2,29,610</v>
      </c>
      <c r="Q284" s="11" t="str">
        <f t="shared" si="1762"/>
        <v>2</v>
      </c>
      <c r="R284" s="11" t="str">
        <f t="shared" si="1763"/>
        <v>29,610</v>
      </c>
      <c r="S284" s="11">
        <f t="shared" si="1764"/>
        <v>4.1558333333333336E-2</v>
      </c>
      <c r="T284" s="14">
        <f t="shared" si="1765"/>
        <v>2417.8062963705634</v>
      </c>
      <c r="U284" s="37">
        <f t="shared" si="1766"/>
        <v>-100</v>
      </c>
      <c r="V284" s="38">
        <f t="shared" ref="V284:W284" si="1827">V283</f>
        <v>21.3</v>
      </c>
      <c r="W284" s="124">
        <f t="shared" si="1827"/>
        <v>1.0960000000000001</v>
      </c>
      <c r="X284" s="124">
        <f t="shared" si="1821"/>
        <v>1.0880000000000001</v>
      </c>
      <c r="Y284" s="41"/>
      <c r="Z284" s="41"/>
      <c r="AA284" s="90">
        <f t="shared" ref="AA284:AB284" si="1828">AA283</f>
        <v>5.01</v>
      </c>
      <c r="AB284" s="73" t="str">
        <f t="shared" si="1828"/>
        <v>11,15,880</v>
      </c>
      <c r="AC284" s="11" t="str">
        <f t="shared" si="1769"/>
        <v>11</v>
      </c>
      <c r="AD284" s="11" t="str">
        <f t="shared" si="1770"/>
        <v>15,880</v>
      </c>
      <c r="AE284" s="11">
        <f t="shared" si="1771"/>
        <v>0.18774444444444444</v>
      </c>
      <c r="AF284" s="14">
        <f t="shared" si="1772"/>
        <v>26.685210392377346</v>
      </c>
      <c r="AG284" s="39">
        <f t="shared" si="1773"/>
        <v>-100</v>
      </c>
      <c r="AH284" s="38">
        <f t="shared" ref="AH284:AJ299" si="1829">AH283</f>
        <v>18.399999999999999</v>
      </c>
      <c r="AI284" s="124">
        <f t="shared" si="1829"/>
        <v>1.0980000000000001</v>
      </c>
      <c r="AJ284" s="124">
        <f t="shared" si="1829"/>
        <v>1.087</v>
      </c>
      <c r="AK284" s="41">
        <f t="shared" si="1774"/>
        <v>0</v>
      </c>
      <c r="AL284" s="41"/>
      <c r="AM284" s="34">
        <f t="shared" ref="AM284:AN284" si="1830">AM283</f>
        <v>2.0049999999999999</v>
      </c>
      <c r="AN284" s="33" t="str">
        <f t="shared" si="1830"/>
        <v>7,19,050</v>
      </c>
      <c r="AO284" s="11" t="str">
        <f t="shared" si="1776"/>
        <v>7,</v>
      </c>
      <c r="AP284" s="11" t="str">
        <f t="shared" si="1777"/>
        <v>19,050</v>
      </c>
      <c r="AQ284" s="11">
        <f t="shared" si="1778"/>
        <v>0.12195833333333334</v>
      </c>
      <c r="AR284" s="14">
        <f t="shared" si="1779"/>
        <v>16.44004099760847</v>
      </c>
      <c r="AS284" s="39">
        <f t="shared" si="1780"/>
        <v>-100</v>
      </c>
      <c r="AT284" s="40" t="str">
        <f t="shared" si="1781"/>
        <v>NO CONFORME</v>
      </c>
      <c r="AU284" s="8" t="b">
        <f t="shared" si="1703"/>
        <v>1</v>
      </c>
      <c r="AV284" s="8" t="b">
        <f t="shared" si="1704"/>
        <v>0</v>
      </c>
      <c r="AW284" s="8" t="b">
        <f t="shared" si="1705"/>
        <v>1</v>
      </c>
      <c r="AX284" s="8" t="str">
        <f t="shared" si="1706"/>
        <v>Qcorrecto</v>
      </c>
      <c r="AY284" s="22" t="str">
        <f t="shared" si="1686"/>
        <v>aceptable</v>
      </c>
      <c r="AZ284" s="22" t="str">
        <f t="shared" si="1687"/>
        <v>aceptable</v>
      </c>
      <c r="BA284" s="22" t="str">
        <f t="shared" si="1707"/>
        <v>aceptable</v>
      </c>
      <c r="BB284" s="25" t="str">
        <f t="shared" si="1708"/>
        <v>NO CONFORME</v>
      </c>
      <c r="BC284" s="5" t="str">
        <f t="shared" si="1709"/>
        <v>NO CONFORME</v>
      </c>
      <c r="BD284" s="15">
        <f t="shared" si="1688"/>
        <v>-1</v>
      </c>
      <c r="BE284" s="15">
        <f t="shared" si="1689"/>
        <v>-1</v>
      </c>
      <c r="BF284" s="15">
        <f t="shared" si="1690"/>
        <v>-1</v>
      </c>
      <c r="BG284" s="15" t="str">
        <f t="shared" si="1691"/>
        <v>-1-1-1</v>
      </c>
      <c r="BH284" s="15" t="str">
        <f t="shared" si="1692"/>
        <v>SD</v>
      </c>
      <c r="BI284" s="15" t="str">
        <f t="shared" si="1693"/>
        <v>SI</v>
      </c>
      <c r="BJ284" s="15" t="b">
        <f t="shared" si="1694"/>
        <v>1</v>
      </c>
      <c r="BK284" s="15" t="str">
        <f t="shared" si="1695"/>
        <v>SIGIGUALES</v>
      </c>
      <c r="BL284" s="22" t="str">
        <f t="shared" si="1696"/>
        <v>NO CONFORME</v>
      </c>
    </row>
    <row r="285" spans="1:64" ht="14.4" x14ac:dyDescent="0.3">
      <c r="A285" s="91">
        <v>277</v>
      </c>
      <c r="B285" s="28">
        <f t="shared" ref="B285:E285" si="1831">B284</f>
        <v>45920</v>
      </c>
      <c r="C285" s="28">
        <f t="shared" si="1831"/>
        <v>45920</v>
      </c>
      <c r="D285" s="12">
        <f t="shared" si="1831"/>
        <v>3</v>
      </c>
      <c r="E285" s="10">
        <f t="shared" si="1831"/>
        <v>8</v>
      </c>
      <c r="F285" s="13"/>
      <c r="G285" s="157"/>
      <c r="H285" s="70">
        <f t="shared" ref="H285:L285" si="1832">H284</f>
        <v>25.6</v>
      </c>
      <c r="I285" s="36">
        <f t="shared" si="1832"/>
        <v>0</v>
      </c>
      <c r="J285" s="35">
        <f t="shared" si="1832"/>
        <v>20.9</v>
      </c>
      <c r="K285" s="122">
        <f t="shared" si="1832"/>
        <v>8.4730000000000008</v>
      </c>
      <c r="L285" s="122">
        <f t="shared" si="1832"/>
        <v>0.52100000000000002</v>
      </c>
      <c r="M285" s="41"/>
      <c r="N285" s="41"/>
      <c r="O285" s="32">
        <f t="shared" ref="O285:P285" si="1833">O284</f>
        <v>100.48</v>
      </c>
      <c r="P285" s="168" t="str">
        <f t="shared" si="1833"/>
        <v>2,29,610</v>
      </c>
      <c r="Q285" s="11" t="str">
        <f t="shared" si="1762"/>
        <v>2</v>
      </c>
      <c r="R285" s="11" t="str">
        <f t="shared" si="1763"/>
        <v>29,610</v>
      </c>
      <c r="S285" s="11">
        <f t="shared" si="1764"/>
        <v>4.1558333333333336E-2</v>
      </c>
      <c r="T285" s="14">
        <f t="shared" si="1765"/>
        <v>2417.8062963705634</v>
      </c>
      <c r="U285" s="37">
        <f t="shared" si="1766"/>
        <v>-100</v>
      </c>
      <c r="V285" s="38">
        <f t="shared" ref="V285:W285" si="1834">V284</f>
        <v>21.3</v>
      </c>
      <c r="W285" s="124">
        <f t="shared" si="1834"/>
        <v>1.0960000000000001</v>
      </c>
      <c r="X285" s="124">
        <f t="shared" si="1821"/>
        <v>1.0880000000000001</v>
      </c>
      <c r="Y285" s="41"/>
      <c r="Z285" s="41"/>
      <c r="AA285" s="90">
        <f t="shared" ref="AA285:AB285" si="1835">AA284</f>
        <v>5.01</v>
      </c>
      <c r="AB285" s="73" t="str">
        <f t="shared" si="1835"/>
        <v>11,15,880</v>
      </c>
      <c r="AC285" s="11" t="str">
        <f t="shared" si="1769"/>
        <v>11</v>
      </c>
      <c r="AD285" s="11" t="str">
        <f t="shared" si="1770"/>
        <v>15,880</v>
      </c>
      <c r="AE285" s="11">
        <f t="shared" si="1771"/>
        <v>0.18774444444444444</v>
      </c>
      <c r="AF285" s="14">
        <f t="shared" si="1772"/>
        <v>26.685210392377346</v>
      </c>
      <c r="AG285" s="39">
        <f t="shared" si="1773"/>
        <v>-100</v>
      </c>
      <c r="AH285" s="38">
        <f t="shared" si="1829"/>
        <v>18.399999999999999</v>
      </c>
      <c r="AI285" s="124">
        <f t="shared" si="1829"/>
        <v>1.0980000000000001</v>
      </c>
      <c r="AJ285" s="124">
        <f t="shared" si="1829"/>
        <v>1.087</v>
      </c>
      <c r="AK285" s="41">
        <f t="shared" si="1774"/>
        <v>0</v>
      </c>
      <c r="AL285" s="41"/>
      <c r="AM285" s="34">
        <f t="shared" ref="AM285:AN285" si="1836">AM284</f>
        <v>2.0049999999999999</v>
      </c>
      <c r="AN285" s="33" t="str">
        <f t="shared" si="1836"/>
        <v>7,19,050</v>
      </c>
      <c r="AO285" s="11" t="str">
        <f t="shared" si="1776"/>
        <v>7,</v>
      </c>
      <c r="AP285" s="11" t="str">
        <f t="shared" si="1777"/>
        <v>19,050</v>
      </c>
      <c r="AQ285" s="11">
        <f t="shared" si="1778"/>
        <v>0.12195833333333334</v>
      </c>
      <c r="AR285" s="14">
        <f t="shared" si="1779"/>
        <v>16.44004099760847</v>
      </c>
      <c r="AS285" s="39">
        <f t="shared" si="1780"/>
        <v>-100</v>
      </c>
      <c r="AT285" s="40" t="str">
        <f t="shared" si="1781"/>
        <v>NO CONFORME</v>
      </c>
      <c r="AU285" s="8" t="b">
        <f t="shared" si="1703"/>
        <v>1</v>
      </c>
      <c r="AV285" s="8" t="b">
        <f t="shared" si="1704"/>
        <v>0</v>
      </c>
      <c r="AW285" s="8" t="b">
        <f t="shared" si="1705"/>
        <v>1</v>
      </c>
      <c r="AX285" s="8" t="str">
        <f t="shared" si="1706"/>
        <v>Qcorrecto</v>
      </c>
      <c r="AY285" s="22" t="str">
        <f t="shared" si="1686"/>
        <v>aceptable</v>
      </c>
      <c r="AZ285" s="22" t="str">
        <f t="shared" si="1687"/>
        <v>aceptable</v>
      </c>
      <c r="BA285" s="22" t="str">
        <f t="shared" si="1707"/>
        <v>aceptable</v>
      </c>
      <c r="BB285" s="25" t="str">
        <f t="shared" si="1708"/>
        <v>NO CONFORME</v>
      </c>
      <c r="BC285" s="5" t="str">
        <f t="shared" si="1709"/>
        <v>NO CONFORME</v>
      </c>
      <c r="BD285" s="15">
        <f t="shared" si="1688"/>
        <v>-1</v>
      </c>
      <c r="BE285" s="15">
        <f t="shared" si="1689"/>
        <v>-1</v>
      </c>
      <c r="BF285" s="15">
        <f t="shared" si="1690"/>
        <v>-1</v>
      </c>
      <c r="BG285" s="15" t="str">
        <f t="shared" si="1691"/>
        <v>-1-1-1</v>
      </c>
      <c r="BH285" s="15" t="str">
        <f t="shared" si="1692"/>
        <v>SD</v>
      </c>
      <c r="BI285" s="15" t="str">
        <f t="shared" si="1693"/>
        <v>SI</v>
      </c>
      <c r="BJ285" s="15" t="b">
        <f t="shared" si="1694"/>
        <v>1</v>
      </c>
      <c r="BK285" s="15" t="str">
        <f t="shared" si="1695"/>
        <v>SIGIGUALES</v>
      </c>
      <c r="BL285" s="22" t="str">
        <f t="shared" si="1696"/>
        <v>NO CONFORME</v>
      </c>
    </row>
    <row r="286" spans="1:64" ht="14.4" x14ac:dyDescent="0.3">
      <c r="A286" s="91">
        <v>278</v>
      </c>
      <c r="B286" s="28">
        <f t="shared" ref="B286:E286" si="1837">B285</f>
        <v>45920</v>
      </c>
      <c r="C286" s="28">
        <f t="shared" si="1837"/>
        <v>45920</v>
      </c>
      <c r="D286" s="12">
        <f t="shared" si="1837"/>
        <v>3</v>
      </c>
      <c r="E286" s="10">
        <f t="shared" si="1837"/>
        <v>8</v>
      </c>
      <c r="F286" s="13"/>
      <c r="G286" s="157"/>
      <c r="H286" s="70">
        <f t="shared" ref="H286:L286" si="1838">H285</f>
        <v>25.6</v>
      </c>
      <c r="I286" s="36">
        <f t="shared" si="1838"/>
        <v>0</v>
      </c>
      <c r="J286" s="35">
        <f t="shared" si="1838"/>
        <v>20.9</v>
      </c>
      <c r="K286" s="122">
        <f t="shared" si="1838"/>
        <v>8.4730000000000008</v>
      </c>
      <c r="L286" s="122">
        <f t="shared" si="1838"/>
        <v>0.52100000000000002</v>
      </c>
      <c r="M286" s="41"/>
      <c r="N286" s="41"/>
      <c r="O286" s="32">
        <f t="shared" ref="O286:P286" si="1839">O285</f>
        <v>100.48</v>
      </c>
      <c r="P286" s="168" t="str">
        <f t="shared" si="1839"/>
        <v>2,29,610</v>
      </c>
      <c r="Q286" s="11" t="str">
        <f t="shared" si="1762"/>
        <v>2</v>
      </c>
      <c r="R286" s="11" t="str">
        <f t="shared" si="1763"/>
        <v>29,610</v>
      </c>
      <c r="S286" s="11">
        <f t="shared" si="1764"/>
        <v>4.1558333333333336E-2</v>
      </c>
      <c r="T286" s="14">
        <f t="shared" si="1765"/>
        <v>2417.8062963705634</v>
      </c>
      <c r="U286" s="37">
        <f t="shared" si="1766"/>
        <v>-100</v>
      </c>
      <c r="V286" s="38">
        <f t="shared" ref="V286:W286" si="1840">V285</f>
        <v>21.3</v>
      </c>
      <c r="W286" s="124">
        <f t="shared" si="1840"/>
        <v>1.0960000000000001</v>
      </c>
      <c r="X286" s="124">
        <f t="shared" si="1821"/>
        <v>1.0880000000000001</v>
      </c>
      <c r="Y286" s="41"/>
      <c r="Z286" s="41"/>
      <c r="AA286" s="90">
        <f t="shared" ref="AA286:AB286" si="1841">AA285</f>
        <v>5.01</v>
      </c>
      <c r="AB286" s="73" t="str">
        <f t="shared" si="1841"/>
        <v>11,15,880</v>
      </c>
      <c r="AC286" s="11" t="str">
        <f t="shared" si="1769"/>
        <v>11</v>
      </c>
      <c r="AD286" s="11" t="str">
        <f t="shared" si="1770"/>
        <v>15,880</v>
      </c>
      <c r="AE286" s="11">
        <f t="shared" si="1771"/>
        <v>0.18774444444444444</v>
      </c>
      <c r="AF286" s="14">
        <f t="shared" si="1772"/>
        <v>26.685210392377346</v>
      </c>
      <c r="AG286" s="39">
        <f t="shared" si="1773"/>
        <v>-100</v>
      </c>
      <c r="AH286" s="38">
        <f t="shared" si="1829"/>
        <v>18.399999999999999</v>
      </c>
      <c r="AI286" s="124">
        <f t="shared" si="1829"/>
        <v>1.0980000000000001</v>
      </c>
      <c r="AJ286" s="124">
        <f t="shared" si="1829"/>
        <v>1.087</v>
      </c>
      <c r="AK286" s="41">
        <f t="shared" si="1774"/>
        <v>0</v>
      </c>
      <c r="AL286" s="41"/>
      <c r="AM286" s="34">
        <f t="shared" ref="AM286:AN286" si="1842">AM285</f>
        <v>2.0049999999999999</v>
      </c>
      <c r="AN286" s="33" t="str">
        <f t="shared" si="1842"/>
        <v>7,19,050</v>
      </c>
      <c r="AO286" s="11" t="str">
        <f t="shared" si="1776"/>
        <v>7,</v>
      </c>
      <c r="AP286" s="11" t="str">
        <f t="shared" si="1777"/>
        <v>19,050</v>
      </c>
      <c r="AQ286" s="11">
        <f t="shared" si="1778"/>
        <v>0.12195833333333334</v>
      </c>
      <c r="AR286" s="14">
        <f t="shared" si="1779"/>
        <v>16.44004099760847</v>
      </c>
      <c r="AS286" s="39">
        <f t="shared" si="1780"/>
        <v>-100</v>
      </c>
      <c r="AT286" s="40" t="str">
        <f t="shared" si="1781"/>
        <v>NO CONFORME</v>
      </c>
      <c r="AU286" s="8" t="b">
        <f t="shared" si="1703"/>
        <v>1</v>
      </c>
      <c r="AV286" s="8" t="b">
        <f t="shared" si="1704"/>
        <v>0</v>
      </c>
      <c r="AW286" s="8" t="b">
        <f t="shared" si="1705"/>
        <v>1</v>
      </c>
      <c r="AX286" s="8" t="str">
        <f t="shared" si="1706"/>
        <v>Qcorrecto</v>
      </c>
      <c r="AY286" s="22" t="str">
        <f t="shared" si="1686"/>
        <v>aceptable</v>
      </c>
      <c r="AZ286" s="22" t="str">
        <f t="shared" si="1687"/>
        <v>aceptable</v>
      </c>
      <c r="BA286" s="22" t="str">
        <f t="shared" si="1707"/>
        <v>aceptable</v>
      </c>
      <c r="BB286" s="25" t="str">
        <f t="shared" si="1708"/>
        <v>NO CONFORME</v>
      </c>
      <c r="BC286" s="5" t="str">
        <f t="shared" si="1709"/>
        <v>NO CONFORME</v>
      </c>
      <c r="BD286" s="15">
        <f t="shared" si="1688"/>
        <v>-1</v>
      </c>
      <c r="BE286" s="15">
        <f t="shared" si="1689"/>
        <v>-1</v>
      </c>
      <c r="BF286" s="15">
        <f t="shared" si="1690"/>
        <v>-1</v>
      </c>
      <c r="BG286" s="15" t="str">
        <f t="shared" si="1691"/>
        <v>-1-1-1</v>
      </c>
      <c r="BH286" s="15" t="str">
        <f t="shared" si="1692"/>
        <v>SD</v>
      </c>
      <c r="BI286" s="15" t="str">
        <f t="shared" si="1693"/>
        <v>SI</v>
      </c>
      <c r="BJ286" s="15" t="b">
        <f t="shared" si="1694"/>
        <v>1</v>
      </c>
      <c r="BK286" s="15" t="str">
        <f t="shared" si="1695"/>
        <v>SIGIGUALES</v>
      </c>
      <c r="BL286" s="22" t="str">
        <f t="shared" si="1696"/>
        <v>NO CONFORME</v>
      </c>
    </row>
    <row r="287" spans="1:64" ht="14.4" x14ac:dyDescent="0.3">
      <c r="A287" s="91">
        <v>279</v>
      </c>
      <c r="B287" s="28">
        <f t="shared" ref="B287:E287" si="1843">B286</f>
        <v>45920</v>
      </c>
      <c r="C287" s="28">
        <f t="shared" si="1843"/>
        <v>45920</v>
      </c>
      <c r="D287" s="12">
        <f t="shared" si="1843"/>
        <v>3</v>
      </c>
      <c r="E287" s="10">
        <f t="shared" si="1843"/>
        <v>8</v>
      </c>
      <c r="F287" s="13"/>
      <c r="G287" s="157"/>
      <c r="H287" s="70">
        <f t="shared" ref="H287:L287" si="1844">H286</f>
        <v>25.6</v>
      </c>
      <c r="I287" s="36">
        <f t="shared" si="1844"/>
        <v>0</v>
      </c>
      <c r="J287" s="35">
        <f t="shared" si="1844"/>
        <v>20.9</v>
      </c>
      <c r="K287" s="122">
        <f t="shared" si="1844"/>
        <v>8.4730000000000008</v>
      </c>
      <c r="L287" s="122">
        <f t="shared" si="1844"/>
        <v>0.52100000000000002</v>
      </c>
      <c r="M287" s="41"/>
      <c r="N287" s="41"/>
      <c r="O287" s="32">
        <f t="shared" ref="O287:P287" si="1845">O286</f>
        <v>100.48</v>
      </c>
      <c r="P287" s="168" t="str">
        <f t="shared" si="1845"/>
        <v>2,29,610</v>
      </c>
      <c r="Q287" s="11" t="str">
        <f t="shared" si="1762"/>
        <v>2</v>
      </c>
      <c r="R287" s="11" t="str">
        <f t="shared" si="1763"/>
        <v>29,610</v>
      </c>
      <c r="S287" s="11">
        <f t="shared" si="1764"/>
        <v>4.1558333333333336E-2</v>
      </c>
      <c r="T287" s="14">
        <f t="shared" si="1765"/>
        <v>2417.8062963705634</v>
      </c>
      <c r="U287" s="37">
        <f t="shared" si="1766"/>
        <v>-100</v>
      </c>
      <c r="V287" s="38">
        <f t="shared" ref="V287:W287" si="1846">V286</f>
        <v>21.3</v>
      </c>
      <c r="W287" s="124">
        <f t="shared" si="1846"/>
        <v>1.0960000000000001</v>
      </c>
      <c r="X287" s="124">
        <f t="shared" si="1821"/>
        <v>1.0880000000000001</v>
      </c>
      <c r="Y287" s="41"/>
      <c r="Z287" s="41"/>
      <c r="AA287" s="90">
        <f t="shared" ref="AA287:AB287" si="1847">AA286</f>
        <v>5.01</v>
      </c>
      <c r="AB287" s="73" t="str">
        <f t="shared" si="1847"/>
        <v>11,15,880</v>
      </c>
      <c r="AC287" s="11" t="str">
        <f t="shared" si="1769"/>
        <v>11</v>
      </c>
      <c r="AD287" s="11" t="str">
        <f t="shared" si="1770"/>
        <v>15,880</v>
      </c>
      <c r="AE287" s="11">
        <f t="shared" si="1771"/>
        <v>0.18774444444444444</v>
      </c>
      <c r="AF287" s="14">
        <f t="shared" si="1772"/>
        <v>26.685210392377346</v>
      </c>
      <c r="AG287" s="39">
        <f t="shared" si="1773"/>
        <v>-100</v>
      </c>
      <c r="AH287" s="38">
        <f t="shared" si="1829"/>
        <v>18.399999999999999</v>
      </c>
      <c r="AI287" s="124">
        <f t="shared" si="1829"/>
        <v>1.0980000000000001</v>
      </c>
      <c r="AJ287" s="124">
        <f t="shared" si="1829"/>
        <v>1.087</v>
      </c>
      <c r="AK287" s="41">
        <f t="shared" si="1774"/>
        <v>0</v>
      </c>
      <c r="AL287" s="41"/>
      <c r="AM287" s="34">
        <f t="shared" ref="AM287:AN287" si="1848">AM286</f>
        <v>2.0049999999999999</v>
      </c>
      <c r="AN287" s="33" t="str">
        <f t="shared" si="1848"/>
        <v>7,19,050</v>
      </c>
      <c r="AO287" s="11" t="str">
        <f t="shared" si="1776"/>
        <v>7,</v>
      </c>
      <c r="AP287" s="11" t="str">
        <f t="shared" si="1777"/>
        <v>19,050</v>
      </c>
      <c r="AQ287" s="11">
        <f t="shared" si="1778"/>
        <v>0.12195833333333334</v>
      </c>
      <c r="AR287" s="14">
        <f t="shared" si="1779"/>
        <v>16.44004099760847</v>
      </c>
      <c r="AS287" s="39">
        <f t="shared" si="1780"/>
        <v>-100</v>
      </c>
      <c r="AT287" s="40" t="str">
        <f t="shared" si="1781"/>
        <v>NO CONFORME</v>
      </c>
      <c r="AU287" s="8" t="b">
        <f t="shared" si="1703"/>
        <v>1</v>
      </c>
      <c r="AV287" s="8" t="b">
        <f t="shared" si="1704"/>
        <v>0</v>
      </c>
      <c r="AW287" s="8" t="b">
        <f t="shared" si="1705"/>
        <v>1</v>
      </c>
      <c r="AX287" s="8" t="str">
        <f t="shared" si="1706"/>
        <v>Qcorrecto</v>
      </c>
      <c r="AY287" s="22" t="str">
        <f t="shared" si="1686"/>
        <v>aceptable</v>
      </c>
      <c r="AZ287" s="22" t="str">
        <f t="shared" si="1687"/>
        <v>aceptable</v>
      </c>
      <c r="BA287" s="22" t="str">
        <f t="shared" si="1707"/>
        <v>aceptable</v>
      </c>
      <c r="BB287" s="25" t="str">
        <f t="shared" si="1708"/>
        <v>NO CONFORME</v>
      </c>
      <c r="BC287" s="5" t="str">
        <f t="shared" si="1709"/>
        <v>NO CONFORME</v>
      </c>
      <c r="BD287" s="15">
        <f t="shared" si="1688"/>
        <v>-1</v>
      </c>
      <c r="BE287" s="15">
        <f t="shared" si="1689"/>
        <v>-1</v>
      </c>
      <c r="BF287" s="15">
        <f t="shared" si="1690"/>
        <v>-1</v>
      </c>
      <c r="BG287" s="15" t="str">
        <f t="shared" si="1691"/>
        <v>-1-1-1</v>
      </c>
      <c r="BH287" s="15" t="str">
        <f t="shared" si="1692"/>
        <v>SD</v>
      </c>
      <c r="BI287" s="15" t="str">
        <f t="shared" si="1693"/>
        <v>SI</v>
      </c>
      <c r="BJ287" s="15" t="b">
        <f t="shared" si="1694"/>
        <v>1</v>
      </c>
      <c r="BK287" s="15" t="str">
        <f t="shared" si="1695"/>
        <v>SIGIGUALES</v>
      </c>
      <c r="BL287" s="22" t="str">
        <f t="shared" si="1696"/>
        <v>NO CONFORME</v>
      </c>
    </row>
    <row r="288" spans="1:64" ht="14.4" x14ac:dyDescent="0.3">
      <c r="A288" s="91">
        <v>280</v>
      </c>
      <c r="B288" s="28">
        <f t="shared" ref="B288:E288" si="1849">B287</f>
        <v>45920</v>
      </c>
      <c r="C288" s="28">
        <f t="shared" si="1849"/>
        <v>45920</v>
      </c>
      <c r="D288" s="12">
        <f t="shared" si="1849"/>
        <v>3</v>
      </c>
      <c r="E288" s="10">
        <f t="shared" si="1849"/>
        <v>8</v>
      </c>
      <c r="F288" s="13"/>
      <c r="G288" s="157"/>
      <c r="H288" s="70">
        <f t="shared" ref="H288:L288" si="1850">H287</f>
        <v>25.6</v>
      </c>
      <c r="I288" s="36">
        <f t="shared" si="1850"/>
        <v>0</v>
      </c>
      <c r="J288" s="35">
        <f t="shared" si="1850"/>
        <v>20.9</v>
      </c>
      <c r="K288" s="122">
        <f t="shared" si="1850"/>
        <v>8.4730000000000008</v>
      </c>
      <c r="L288" s="122">
        <f t="shared" si="1850"/>
        <v>0.52100000000000002</v>
      </c>
      <c r="M288" s="41"/>
      <c r="N288" s="41"/>
      <c r="O288" s="32">
        <f t="shared" ref="O288:P288" si="1851">O287</f>
        <v>100.48</v>
      </c>
      <c r="P288" s="168" t="str">
        <f t="shared" si="1851"/>
        <v>2,29,610</v>
      </c>
      <c r="Q288" s="11" t="str">
        <f t="shared" si="1762"/>
        <v>2</v>
      </c>
      <c r="R288" s="11" t="str">
        <f t="shared" si="1763"/>
        <v>29,610</v>
      </c>
      <c r="S288" s="11">
        <f t="shared" si="1764"/>
        <v>4.1558333333333336E-2</v>
      </c>
      <c r="T288" s="14">
        <f t="shared" si="1765"/>
        <v>2417.8062963705634</v>
      </c>
      <c r="U288" s="37">
        <f t="shared" si="1766"/>
        <v>-100</v>
      </c>
      <c r="V288" s="38">
        <f t="shared" ref="V288:W288" si="1852">V287</f>
        <v>21.3</v>
      </c>
      <c r="W288" s="124">
        <f t="shared" si="1852"/>
        <v>1.0960000000000001</v>
      </c>
      <c r="X288" s="124">
        <f t="shared" si="1821"/>
        <v>1.0880000000000001</v>
      </c>
      <c r="Y288" s="41"/>
      <c r="Z288" s="41"/>
      <c r="AA288" s="90">
        <f t="shared" ref="AA288:AB288" si="1853">AA287</f>
        <v>5.01</v>
      </c>
      <c r="AB288" s="73" t="str">
        <f t="shared" si="1853"/>
        <v>11,15,880</v>
      </c>
      <c r="AC288" s="11" t="str">
        <f t="shared" si="1769"/>
        <v>11</v>
      </c>
      <c r="AD288" s="11" t="str">
        <f t="shared" si="1770"/>
        <v>15,880</v>
      </c>
      <c r="AE288" s="11">
        <f t="shared" si="1771"/>
        <v>0.18774444444444444</v>
      </c>
      <c r="AF288" s="14">
        <f t="shared" si="1772"/>
        <v>26.685210392377346</v>
      </c>
      <c r="AG288" s="39">
        <f t="shared" si="1773"/>
        <v>-100</v>
      </c>
      <c r="AH288" s="38">
        <f t="shared" si="1829"/>
        <v>18.399999999999999</v>
      </c>
      <c r="AI288" s="124">
        <f t="shared" si="1829"/>
        <v>1.0980000000000001</v>
      </c>
      <c r="AJ288" s="124">
        <f t="shared" si="1829"/>
        <v>1.087</v>
      </c>
      <c r="AK288" s="41">
        <f t="shared" si="1774"/>
        <v>0</v>
      </c>
      <c r="AL288" s="41"/>
      <c r="AM288" s="34">
        <f t="shared" ref="AM288:AN288" si="1854">AM287</f>
        <v>2.0049999999999999</v>
      </c>
      <c r="AN288" s="33" t="str">
        <f t="shared" si="1854"/>
        <v>7,19,050</v>
      </c>
      <c r="AO288" s="11" t="str">
        <f t="shared" si="1776"/>
        <v>7,</v>
      </c>
      <c r="AP288" s="11" t="str">
        <f t="shared" si="1777"/>
        <v>19,050</v>
      </c>
      <c r="AQ288" s="11">
        <f t="shared" si="1778"/>
        <v>0.12195833333333334</v>
      </c>
      <c r="AR288" s="14">
        <f t="shared" si="1779"/>
        <v>16.44004099760847</v>
      </c>
      <c r="AS288" s="39">
        <f t="shared" si="1780"/>
        <v>-100</v>
      </c>
      <c r="AT288" s="40" t="str">
        <f t="shared" si="1781"/>
        <v>NO CONFORME</v>
      </c>
      <c r="AU288" s="8" t="b">
        <f t="shared" si="1703"/>
        <v>1</v>
      </c>
      <c r="AV288" s="8" t="b">
        <f t="shared" si="1704"/>
        <v>0</v>
      </c>
      <c r="AW288" s="8" t="b">
        <f t="shared" si="1705"/>
        <v>1</v>
      </c>
      <c r="AX288" s="8" t="str">
        <f t="shared" si="1706"/>
        <v>Qcorrecto</v>
      </c>
      <c r="AY288" s="22" t="str">
        <f t="shared" si="1686"/>
        <v>aceptable</v>
      </c>
      <c r="AZ288" s="22" t="str">
        <f t="shared" si="1687"/>
        <v>aceptable</v>
      </c>
      <c r="BA288" s="22" t="str">
        <f t="shared" si="1707"/>
        <v>aceptable</v>
      </c>
      <c r="BB288" s="25" t="str">
        <f t="shared" si="1708"/>
        <v>NO CONFORME</v>
      </c>
      <c r="BC288" s="5" t="str">
        <f t="shared" si="1709"/>
        <v>NO CONFORME</v>
      </c>
      <c r="BD288" s="15">
        <f t="shared" si="1688"/>
        <v>-1</v>
      </c>
      <c r="BE288" s="15">
        <f t="shared" si="1689"/>
        <v>-1</v>
      </c>
      <c r="BF288" s="15">
        <f t="shared" si="1690"/>
        <v>-1</v>
      </c>
      <c r="BG288" s="15" t="str">
        <f t="shared" si="1691"/>
        <v>-1-1-1</v>
      </c>
      <c r="BH288" s="15" t="str">
        <f t="shared" si="1692"/>
        <v>SD</v>
      </c>
      <c r="BI288" s="15" t="str">
        <f t="shared" si="1693"/>
        <v>SI</v>
      </c>
      <c r="BJ288" s="15" t="b">
        <f t="shared" si="1694"/>
        <v>1</v>
      </c>
      <c r="BK288" s="15" t="str">
        <f t="shared" si="1695"/>
        <v>SIGIGUALES</v>
      </c>
      <c r="BL288" s="22" t="str">
        <f t="shared" si="1696"/>
        <v>NO CONFORME</v>
      </c>
    </row>
    <row r="289" spans="1:64" ht="14.4" x14ac:dyDescent="0.3">
      <c r="A289" s="91">
        <v>281</v>
      </c>
      <c r="B289" s="28">
        <f t="shared" ref="B289:E289" si="1855">B288</f>
        <v>45920</v>
      </c>
      <c r="C289" s="28">
        <f t="shared" si="1855"/>
        <v>45920</v>
      </c>
      <c r="D289" s="12">
        <f t="shared" si="1855"/>
        <v>3</v>
      </c>
      <c r="E289" s="10">
        <f t="shared" si="1855"/>
        <v>8</v>
      </c>
      <c r="F289" s="13"/>
      <c r="G289" s="157"/>
      <c r="H289" s="70">
        <f t="shared" ref="H289:L289" si="1856">H288</f>
        <v>25.6</v>
      </c>
      <c r="I289" s="36">
        <f t="shared" si="1856"/>
        <v>0</v>
      </c>
      <c r="J289" s="35">
        <f t="shared" si="1856"/>
        <v>20.9</v>
      </c>
      <c r="K289" s="122">
        <f t="shared" si="1856"/>
        <v>8.4730000000000008</v>
      </c>
      <c r="L289" s="122">
        <f t="shared" si="1856"/>
        <v>0.52100000000000002</v>
      </c>
      <c r="M289" s="41"/>
      <c r="N289" s="41"/>
      <c r="O289" s="32">
        <f t="shared" ref="O289:P289" si="1857">O288</f>
        <v>100.48</v>
      </c>
      <c r="P289" s="168" t="str">
        <f t="shared" si="1857"/>
        <v>2,29,610</v>
      </c>
      <c r="Q289" s="11" t="str">
        <f t="shared" si="1762"/>
        <v>2</v>
      </c>
      <c r="R289" s="11" t="str">
        <f t="shared" si="1763"/>
        <v>29,610</v>
      </c>
      <c r="S289" s="11">
        <f t="shared" si="1764"/>
        <v>4.1558333333333336E-2</v>
      </c>
      <c r="T289" s="14">
        <f t="shared" si="1765"/>
        <v>2417.8062963705634</v>
      </c>
      <c r="U289" s="37">
        <f t="shared" si="1766"/>
        <v>-100</v>
      </c>
      <c r="V289" s="38">
        <f t="shared" ref="V289:W289" si="1858">V288</f>
        <v>21.3</v>
      </c>
      <c r="W289" s="124">
        <f t="shared" si="1858"/>
        <v>1.0960000000000001</v>
      </c>
      <c r="X289" s="124">
        <f t="shared" si="1821"/>
        <v>1.0880000000000001</v>
      </c>
      <c r="Y289" s="41"/>
      <c r="Z289" s="41"/>
      <c r="AA289" s="90">
        <f t="shared" ref="AA289:AB289" si="1859">AA288</f>
        <v>5.01</v>
      </c>
      <c r="AB289" s="73" t="str">
        <f t="shared" si="1859"/>
        <v>11,15,880</v>
      </c>
      <c r="AC289" s="11" t="str">
        <f t="shared" si="1769"/>
        <v>11</v>
      </c>
      <c r="AD289" s="11" t="str">
        <f t="shared" si="1770"/>
        <v>15,880</v>
      </c>
      <c r="AE289" s="11">
        <f t="shared" si="1771"/>
        <v>0.18774444444444444</v>
      </c>
      <c r="AF289" s="14">
        <f t="shared" si="1772"/>
        <v>26.685210392377346</v>
      </c>
      <c r="AG289" s="39">
        <f t="shared" si="1773"/>
        <v>-100</v>
      </c>
      <c r="AH289" s="38">
        <f t="shared" si="1829"/>
        <v>18.399999999999999</v>
      </c>
      <c r="AI289" s="124">
        <f t="shared" si="1829"/>
        <v>1.0980000000000001</v>
      </c>
      <c r="AJ289" s="124">
        <f t="shared" si="1829"/>
        <v>1.087</v>
      </c>
      <c r="AK289" s="41">
        <f t="shared" si="1774"/>
        <v>0</v>
      </c>
      <c r="AL289" s="41"/>
      <c r="AM289" s="34">
        <f t="shared" ref="AM289:AN289" si="1860">AM288</f>
        <v>2.0049999999999999</v>
      </c>
      <c r="AN289" s="33" t="str">
        <f t="shared" si="1860"/>
        <v>7,19,050</v>
      </c>
      <c r="AO289" s="11" t="str">
        <f t="shared" si="1776"/>
        <v>7,</v>
      </c>
      <c r="AP289" s="11" t="str">
        <f t="shared" si="1777"/>
        <v>19,050</v>
      </c>
      <c r="AQ289" s="11">
        <f t="shared" si="1778"/>
        <v>0.12195833333333334</v>
      </c>
      <c r="AR289" s="14">
        <f t="shared" si="1779"/>
        <v>16.44004099760847</v>
      </c>
      <c r="AS289" s="39">
        <f t="shared" si="1780"/>
        <v>-100</v>
      </c>
      <c r="AT289" s="40" t="str">
        <f t="shared" si="1781"/>
        <v>NO CONFORME</v>
      </c>
      <c r="AU289" s="8" t="b">
        <f t="shared" si="1703"/>
        <v>1</v>
      </c>
      <c r="AV289" s="8" t="b">
        <f t="shared" si="1704"/>
        <v>0</v>
      </c>
      <c r="AW289" s="8" t="b">
        <f t="shared" si="1705"/>
        <v>1</v>
      </c>
      <c r="AX289" s="8" t="str">
        <f t="shared" si="1706"/>
        <v>Qcorrecto</v>
      </c>
      <c r="AY289" s="22" t="str">
        <f t="shared" si="1686"/>
        <v>aceptable</v>
      </c>
      <c r="AZ289" s="22" t="str">
        <f t="shared" si="1687"/>
        <v>aceptable</v>
      </c>
      <c r="BA289" s="22" t="str">
        <f t="shared" si="1707"/>
        <v>aceptable</v>
      </c>
      <c r="BB289" s="25" t="str">
        <f t="shared" si="1708"/>
        <v>NO CONFORME</v>
      </c>
      <c r="BC289" s="5" t="str">
        <f t="shared" si="1709"/>
        <v>NO CONFORME</v>
      </c>
      <c r="BD289" s="15">
        <f t="shared" si="1688"/>
        <v>-1</v>
      </c>
      <c r="BE289" s="15">
        <f t="shared" si="1689"/>
        <v>-1</v>
      </c>
      <c r="BF289" s="15">
        <f t="shared" si="1690"/>
        <v>-1</v>
      </c>
      <c r="BG289" s="15" t="str">
        <f t="shared" si="1691"/>
        <v>-1-1-1</v>
      </c>
      <c r="BH289" s="15" t="str">
        <f t="shared" si="1692"/>
        <v>SD</v>
      </c>
      <c r="BI289" s="15" t="str">
        <f t="shared" si="1693"/>
        <v>SI</v>
      </c>
      <c r="BJ289" s="15" t="b">
        <f t="shared" si="1694"/>
        <v>1</v>
      </c>
      <c r="BK289" s="15" t="str">
        <f t="shared" si="1695"/>
        <v>SIGIGUALES</v>
      </c>
      <c r="BL289" s="22" t="str">
        <f t="shared" si="1696"/>
        <v>NO CONFORME</v>
      </c>
    </row>
    <row r="290" spans="1:64" ht="14.4" x14ac:dyDescent="0.3">
      <c r="A290" s="91">
        <v>282</v>
      </c>
      <c r="B290" s="28">
        <f t="shared" ref="B290:E290" si="1861">B289</f>
        <v>45920</v>
      </c>
      <c r="C290" s="28">
        <f t="shared" si="1861"/>
        <v>45920</v>
      </c>
      <c r="D290" s="12">
        <f t="shared" si="1861"/>
        <v>3</v>
      </c>
      <c r="E290" s="10">
        <f t="shared" si="1861"/>
        <v>8</v>
      </c>
      <c r="F290" s="13"/>
      <c r="G290" s="157"/>
      <c r="H290" s="70">
        <f t="shared" ref="H290:L290" si="1862">H289</f>
        <v>25.6</v>
      </c>
      <c r="I290" s="36">
        <f t="shared" si="1862"/>
        <v>0</v>
      </c>
      <c r="J290" s="35">
        <f t="shared" si="1862"/>
        <v>20.9</v>
      </c>
      <c r="K290" s="122">
        <f t="shared" si="1862"/>
        <v>8.4730000000000008</v>
      </c>
      <c r="L290" s="122">
        <f t="shared" si="1862"/>
        <v>0.52100000000000002</v>
      </c>
      <c r="M290" s="41"/>
      <c r="N290" s="41"/>
      <c r="O290" s="32">
        <f t="shared" ref="O290:P290" si="1863">O289</f>
        <v>100.48</v>
      </c>
      <c r="P290" s="168" t="str">
        <f t="shared" si="1863"/>
        <v>2,29,610</v>
      </c>
      <c r="Q290" s="11" t="str">
        <f t="shared" si="1762"/>
        <v>2</v>
      </c>
      <c r="R290" s="11" t="str">
        <f t="shared" si="1763"/>
        <v>29,610</v>
      </c>
      <c r="S290" s="11">
        <f t="shared" si="1764"/>
        <v>4.1558333333333336E-2</v>
      </c>
      <c r="T290" s="14">
        <f t="shared" si="1765"/>
        <v>2417.8062963705634</v>
      </c>
      <c r="U290" s="37">
        <f t="shared" si="1766"/>
        <v>-100</v>
      </c>
      <c r="V290" s="38">
        <f t="shared" ref="V290:W290" si="1864">V289</f>
        <v>21.3</v>
      </c>
      <c r="W290" s="124">
        <f t="shared" si="1864"/>
        <v>1.0960000000000001</v>
      </c>
      <c r="X290" s="124">
        <f t="shared" si="1821"/>
        <v>1.0880000000000001</v>
      </c>
      <c r="Y290" s="41"/>
      <c r="Z290" s="41"/>
      <c r="AA290" s="90">
        <f t="shared" ref="AA290:AB290" si="1865">AA289</f>
        <v>5.01</v>
      </c>
      <c r="AB290" s="73" t="str">
        <f t="shared" si="1865"/>
        <v>11,15,880</v>
      </c>
      <c r="AC290" s="11" t="str">
        <f t="shared" si="1769"/>
        <v>11</v>
      </c>
      <c r="AD290" s="11" t="str">
        <f t="shared" si="1770"/>
        <v>15,880</v>
      </c>
      <c r="AE290" s="11">
        <f t="shared" si="1771"/>
        <v>0.18774444444444444</v>
      </c>
      <c r="AF290" s="14">
        <f t="shared" si="1772"/>
        <v>26.685210392377346</v>
      </c>
      <c r="AG290" s="39">
        <f t="shared" si="1773"/>
        <v>-100</v>
      </c>
      <c r="AH290" s="38">
        <f t="shared" si="1829"/>
        <v>18.399999999999999</v>
      </c>
      <c r="AI290" s="124">
        <f t="shared" si="1829"/>
        <v>1.0980000000000001</v>
      </c>
      <c r="AJ290" s="124">
        <f t="shared" si="1829"/>
        <v>1.087</v>
      </c>
      <c r="AK290" s="41">
        <f t="shared" si="1774"/>
        <v>0</v>
      </c>
      <c r="AL290" s="41"/>
      <c r="AM290" s="34">
        <f t="shared" ref="AM290:AN290" si="1866">AM289</f>
        <v>2.0049999999999999</v>
      </c>
      <c r="AN290" s="33" t="str">
        <f t="shared" si="1866"/>
        <v>7,19,050</v>
      </c>
      <c r="AO290" s="11" t="str">
        <f t="shared" si="1776"/>
        <v>7,</v>
      </c>
      <c r="AP290" s="11" t="str">
        <f t="shared" si="1777"/>
        <v>19,050</v>
      </c>
      <c r="AQ290" s="11">
        <f t="shared" si="1778"/>
        <v>0.12195833333333334</v>
      </c>
      <c r="AR290" s="14">
        <f t="shared" si="1779"/>
        <v>16.44004099760847</v>
      </c>
      <c r="AS290" s="39">
        <f t="shared" si="1780"/>
        <v>-100</v>
      </c>
      <c r="AT290" s="40" t="str">
        <f t="shared" si="1781"/>
        <v>NO CONFORME</v>
      </c>
      <c r="AU290" s="8" t="b">
        <f t="shared" si="1703"/>
        <v>1</v>
      </c>
      <c r="AV290" s="8" t="b">
        <f t="shared" si="1704"/>
        <v>0</v>
      </c>
      <c r="AW290" s="8" t="b">
        <f t="shared" si="1705"/>
        <v>1</v>
      </c>
      <c r="AX290" s="8" t="str">
        <f t="shared" si="1706"/>
        <v>Qcorrecto</v>
      </c>
      <c r="AY290" s="22" t="str">
        <f t="shared" si="1686"/>
        <v>aceptable</v>
      </c>
      <c r="AZ290" s="22" t="str">
        <f t="shared" si="1687"/>
        <v>aceptable</v>
      </c>
      <c r="BA290" s="22" t="str">
        <f t="shared" si="1707"/>
        <v>aceptable</v>
      </c>
      <c r="BB290" s="25" t="str">
        <f t="shared" si="1708"/>
        <v>NO CONFORME</v>
      </c>
      <c r="BC290" s="5" t="str">
        <f t="shared" si="1709"/>
        <v>NO CONFORME</v>
      </c>
      <c r="BD290" s="15">
        <f t="shared" si="1688"/>
        <v>-1</v>
      </c>
      <c r="BE290" s="15">
        <f t="shared" si="1689"/>
        <v>-1</v>
      </c>
      <c r="BF290" s="15">
        <f t="shared" si="1690"/>
        <v>-1</v>
      </c>
      <c r="BG290" s="15" t="str">
        <f t="shared" si="1691"/>
        <v>-1-1-1</v>
      </c>
      <c r="BH290" s="15" t="str">
        <f t="shared" si="1692"/>
        <v>SD</v>
      </c>
      <c r="BI290" s="15" t="str">
        <f t="shared" si="1693"/>
        <v>SI</v>
      </c>
      <c r="BJ290" s="15" t="b">
        <f t="shared" si="1694"/>
        <v>1</v>
      </c>
      <c r="BK290" s="15" t="str">
        <f t="shared" si="1695"/>
        <v>SIGIGUALES</v>
      </c>
      <c r="BL290" s="22" t="str">
        <f t="shared" si="1696"/>
        <v>NO CONFORME</v>
      </c>
    </row>
    <row r="291" spans="1:64" ht="14.4" x14ac:dyDescent="0.3">
      <c r="A291" s="91">
        <v>283</v>
      </c>
      <c r="B291" s="28">
        <f t="shared" ref="B291:E291" si="1867">B290</f>
        <v>45920</v>
      </c>
      <c r="C291" s="28">
        <f t="shared" si="1867"/>
        <v>45920</v>
      </c>
      <c r="D291" s="12">
        <f t="shared" si="1867"/>
        <v>3</v>
      </c>
      <c r="E291" s="10">
        <f t="shared" si="1867"/>
        <v>8</v>
      </c>
      <c r="F291" s="13"/>
      <c r="G291" s="157"/>
      <c r="H291" s="70">
        <f t="shared" ref="H291:L291" si="1868">H290</f>
        <v>25.6</v>
      </c>
      <c r="I291" s="36">
        <f t="shared" si="1868"/>
        <v>0</v>
      </c>
      <c r="J291" s="35">
        <f t="shared" si="1868"/>
        <v>20.9</v>
      </c>
      <c r="K291" s="122">
        <f t="shared" si="1868"/>
        <v>8.4730000000000008</v>
      </c>
      <c r="L291" s="122">
        <f t="shared" si="1868"/>
        <v>0.52100000000000002</v>
      </c>
      <c r="M291" s="41"/>
      <c r="N291" s="41"/>
      <c r="O291" s="32">
        <f t="shared" ref="O291:P291" si="1869">O290</f>
        <v>100.48</v>
      </c>
      <c r="P291" s="168" t="str">
        <f t="shared" si="1869"/>
        <v>2,29,610</v>
      </c>
      <c r="Q291" s="11" t="str">
        <f t="shared" si="1762"/>
        <v>2</v>
      </c>
      <c r="R291" s="11" t="str">
        <f t="shared" si="1763"/>
        <v>29,610</v>
      </c>
      <c r="S291" s="11">
        <f t="shared" si="1764"/>
        <v>4.1558333333333336E-2</v>
      </c>
      <c r="T291" s="14">
        <f t="shared" si="1765"/>
        <v>2417.8062963705634</v>
      </c>
      <c r="U291" s="37">
        <f t="shared" si="1766"/>
        <v>-100</v>
      </c>
      <c r="V291" s="38">
        <f t="shared" ref="V291:W291" si="1870">V290</f>
        <v>21.3</v>
      </c>
      <c r="W291" s="124">
        <f t="shared" si="1870"/>
        <v>1.0960000000000001</v>
      </c>
      <c r="X291" s="124">
        <f t="shared" si="1821"/>
        <v>1.0880000000000001</v>
      </c>
      <c r="Y291" s="41"/>
      <c r="Z291" s="41"/>
      <c r="AA291" s="90">
        <f t="shared" ref="AA291:AB291" si="1871">AA290</f>
        <v>5.01</v>
      </c>
      <c r="AB291" s="73" t="str">
        <f t="shared" si="1871"/>
        <v>11,15,880</v>
      </c>
      <c r="AC291" s="11" t="str">
        <f t="shared" si="1769"/>
        <v>11</v>
      </c>
      <c r="AD291" s="11" t="str">
        <f t="shared" si="1770"/>
        <v>15,880</v>
      </c>
      <c r="AE291" s="11">
        <f t="shared" si="1771"/>
        <v>0.18774444444444444</v>
      </c>
      <c r="AF291" s="14">
        <f t="shared" si="1772"/>
        <v>26.685210392377346</v>
      </c>
      <c r="AG291" s="39">
        <f t="shared" si="1773"/>
        <v>-100</v>
      </c>
      <c r="AH291" s="38">
        <f t="shared" si="1829"/>
        <v>18.399999999999999</v>
      </c>
      <c r="AI291" s="124">
        <f t="shared" si="1829"/>
        <v>1.0980000000000001</v>
      </c>
      <c r="AJ291" s="124">
        <f t="shared" si="1829"/>
        <v>1.087</v>
      </c>
      <c r="AK291" s="41">
        <f t="shared" si="1774"/>
        <v>0</v>
      </c>
      <c r="AL291" s="41"/>
      <c r="AM291" s="34">
        <f t="shared" ref="AM291:AN291" si="1872">AM290</f>
        <v>2.0049999999999999</v>
      </c>
      <c r="AN291" s="33" t="str">
        <f t="shared" si="1872"/>
        <v>7,19,050</v>
      </c>
      <c r="AO291" s="11" t="str">
        <f t="shared" si="1776"/>
        <v>7,</v>
      </c>
      <c r="AP291" s="11" t="str">
        <f t="shared" si="1777"/>
        <v>19,050</v>
      </c>
      <c r="AQ291" s="11">
        <f t="shared" si="1778"/>
        <v>0.12195833333333334</v>
      </c>
      <c r="AR291" s="14">
        <f t="shared" si="1779"/>
        <v>16.44004099760847</v>
      </c>
      <c r="AS291" s="39">
        <f t="shared" si="1780"/>
        <v>-100</v>
      </c>
      <c r="AT291" s="40" t="str">
        <f t="shared" si="1781"/>
        <v>NO CONFORME</v>
      </c>
      <c r="AU291" s="8" t="b">
        <f t="shared" si="1703"/>
        <v>1</v>
      </c>
      <c r="AV291" s="8" t="b">
        <f t="shared" si="1704"/>
        <v>0</v>
      </c>
      <c r="AW291" s="8" t="b">
        <f t="shared" si="1705"/>
        <v>1</v>
      </c>
      <c r="AX291" s="8" t="str">
        <f t="shared" si="1706"/>
        <v>Qcorrecto</v>
      </c>
      <c r="AY291" s="22" t="str">
        <f t="shared" si="1686"/>
        <v>aceptable</v>
      </c>
      <c r="AZ291" s="22" t="str">
        <f t="shared" si="1687"/>
        <v>aceptable</v>
      </c>
      <c r="BA291" s="22" t="str">
        <f t="shared" si="1707"/>
        <v>aceptable</v>
      </c>
      <c r="BB291" s="25" t="str">
        <f t="shared" si="1708"/>
        <v>NO CONFORME</v>
      </c>
      <c r="BC291" s="5" t="str">
        <f t="shared" si="1709"/>
        <v>NO CONFORME</v>
      </c>
      <c r="BD291" s="15">
        <f t="shared" si="1688"/>
        <v>-1</v>
      </c>
      <c r="BE291" s="15">
        <f t="shared" si="1689"/>
        <v>-1</v>
      </c>
      <c r="BF291" s="15">
        <f t="shared" si="1690"/>
        <v>-1</v>
      </c>
      <c r="BG291" s="15" t="str">
        <f t="shared" si="1691"/>
        <v>-1-1-1</v>
      </c>
      <c r="BH291" s="15" t="str">
        <f t="shared" si="1692"/>
        <v>SD</v>
      </c>
      <c r="BI291" s="15" t="str">
        <f t="shared" si="1693"/>
        <v>SI</v>
      </c>
      <c r="BJ291" s="15" t="b">
        <f t="shared" si="1694"/>
        <v>1</v>
      </c>
      <c r="BK291" s="15" t="str">
        <f t="shared" si="1695"/>
        <v>SIGIGUALES</v>
      </c>
      <c r="BL291" s="22" t="str">
        <f t="shared" si="1696"/>
        <v>NO CONFORME</v>
      </c>
    </row>
    <row r="292" spans="1:64" ht="14.4" x14ac:dyDescent="0.3">
      <c r="A292" s="91">
        <v>284</v>
      </c>
      <c r="B292" s="28">
        <f t="shared" ref="B292:E292" si="1873">B291</f>
        <v>45920</v>
      </c>
      <c r="C292" s="28">
        <f t="shared" si="1873"/>
        <v>45920</v>
      </c>
      <c r="D292" s="12">
        <f t="shared" si="1873"/>
        <v>3</v>
      </c>
      <c r="E292" s="10">
        <f t="shared" si="1873"/>
        <v>8</v>
      </c>
      <c r="F292" s="13"/>
      <c r="G292" s="157"/>
      <c r="H292" s="70">
        <f t="shared" ref="H292:L292" si="1874">H291</f>
        <v>25.6</v>
      </c>
      <c r="I292" s="36">
        <f t="shared" si="1874"/>
        <v>0</v>
      </c>
      <c r="J292" s="35">
        <f t="shared" si="1874"/>
        <v>20.9</v>
      </c>
      <c r="K292" s="122">
        <f t="shared" si="1874"/>
        <v>8.4730000000000008</v>
      </c>
      <c r="L292" s="122">
        <f t="shared" si="1874"/>
        <v>0.52100000000000002</v>
      </c>
      <c r="M292" s="41"/>
      <c r="N292" s="41"/>
      <c r="O292" s="32">
        <f t="shared" ref="O292:P292" si="1875">O291</f>
        <v>100.48</v>
      </c>
      <c r="P292" s="168" t="str">
        <f t="shared" si="1875"/>
        <v>2,29,610</v>
      </c>
      <c r="Q292" s="11" t="str">
        <f t="shared" si="1762"/>
        <v>2</v>
      </c>
      <c r="R292" s="11" t="str">
        <f t="shared" si="1763"/>
        <v>29,610</v>
      </c>
      <c r="S292" s="11">
        <f t="shared" si="1764"/>
        <v>4.1558333333333336E-2</v>
      </c>
      <c r="T292" s="14">
        <f t="shared" si="1765"/>
        <v>2417.8062963705634</v>
      </c>
      <c r="U292" s="37">
        <f t="shared" si="1766"/>
        <v>-100</v>
      </c>
      <c r="V292" s="38">
        <f t="shared" ref="V292:W292" si="1876">V291</f>
        <v>21.3</v>
      </c>
      <c r="W292" s="124">
        <f t="shared" si="1876"/>
        <v>1.0960000000000001</v>
      </c>
      <c r="X292" s="124">
        <f t="shared" si="1821"/>
        <v>1.0880000000000001</v>
      </c>
      <c r="Y292" s="41"/>
      <c r="Z292" s="41"/>
      <c r="AA292" s="90">
        <f t="shared" ref="AA292:AB292" si="1877">AA291</f>
        <v>5.01</v>
      </c>
      <c r="AB292" s="73" t="str">
        <f t="shared" si="1877"/>
        <v>11,15,880</v>
      </c>
      <c r="AC292" s="11" t="str">
        <f t="shared" si="1769"/>
        <v>11</v>
      </c>
      <c r="AD292" s="11" t="str">
        <f t="shared" si="1770"/>
        <v>15,880</v>
      </c>
      <c r="AE292" s="11">
        <f t="shared" si="1771"/>
        <v>0.18774444444444444</v>
      </c>
      <c r="AF292" s="14">
        <f t="shared" si="1772"/>
        <v>26.685210392377346</v>
      </c>
      <c r="AG292" s="39">
        <f t="shared" si="1773"/>
        <v>-100</v>
      </c>
      <c r="AH292" s="38">
        <f t="shared" si="1829"/>
        <v>18.399999999999999</v>
      </c>
      <c r="AI292" s="124">
        <f t="shared" si="1829"/>
        <v>1.0980000000000001</v>
      </c>
      <c r="AJ292" s="124">
        <f t="shared" si="1829"/>
        <v>1.087</v>
      </c>
      <c r="AK292" s="41">
        <f t="shared" si="1774"/>
        <v>0</v>
      </c>
      <c r="AL292" s="41"/>
      <c r="AM292" s="34">
        <f t="shared" ref="AM292:AN292" si="1878">AM291</f>
        <v>2.0049999999999999</v>
      </c>
      <c r="AN292" s="33" t="str">
        <f t="shared" si="1878"/>
        <v>7,19,050</v>
      </c>
      <c r="AO292" s="11" t="str">
        <f t="shared" si="1776"/>
        <v>7,</v>
      </c>
      <c r="AP292" s="11" t="str">
        <f t="shared" si="1777"/>
        <v>19,050</v>
      </c>
      <c r="AQ292" s="11">
        <f t="shared" si="1778"/>
        <v>0.12195833333333334</v>
      </c>
      <c r="AR292" s="14">
        <f t="shared" si="1779"/>
        <v>16.44004099760847</v>
      </c>
      <c r="AS292" s="39">
        <f t="shared" si="1780"/>
        <v>-100</v>
      </c>
      <c r="AT292" s="40" t="str">
        <f t="shared" si="1781"/>
        <v>NO CONFORME</v>
      </c>
      <c r="AU292" s="8" t="b">
        <f t="shared" si="1703"/>
        <v>1</v>
      </c>
      <c r="AV292" s="8" t="b">
        <f t="shared" si="1704"/>
        <v>0</v>
      </c>
      <c r="AW292" s="8" t="b">
        <f t="shared" si="1705"/>
        <v>1</v>
      </c>
      <c r="AX292" s="8" t="str">
        <f t="shared" si="1706"/>
        <v>Qcorrecto</v>
      </c>
      <c r="AY292" s="22" t="str">
        <f t="shared" si="1686"/>
        <v>aceptable</v>
      </c>
      <c r="AZ292" s="22" t="str">
        <f t="shared" si="1687"/>
        <v>aceptable</v>
      </c>
      <c r="BA292" s="22" t="str">
        <f t="shared" si="1707"/>
        <v>aceptable</v>
      </c>
      <c r="BB292" s="25" t="str">
        <f t="shared" si="1708"/>
        <v>NO CONFORME</v>
      </c>
      <c r="BC292" s="5" t="str">
        <f t="shared" si="1709"/>
        <v>NO CONFORME</v>
      </c>
      <c r="BD292" s="15">
        <f t="shared" si="1688"/>
        <v>-1</v>
      </c>
      <c r="BE292" s="15">
        <f t="shared" si="1689"/>
        <v>-1</v>
      </c>
      <c r="BF292" s="15">
        <f t="shared" si="1690"/>
        <v>-1</v>
      </c>
      <c r="BG292" s="15" t="str">
        <f t="shared" si="1691"/>
        <v>-1-1-1</v>
      </c>
      <c r="BH292" s="15" t="str">
        <f t="shared" si="1692"/>
        <v>SD</v>
      </c>
      <c r="BI292" s="15" t="str">
        <f t="shared" si="1693"/>
        <v>SI</v>
      </c>
      <c r="BJ292" s="15" t="b">
        <f t="shared" si="1694"/>
        <v>1</v>
      </c>
      <c r="BK292" s="15" t="str">
        <f t="shared" si="1695"/>
        <v>SIGIGUALES</v>
      </c>
      <c r="BL292" s="22" t="str">
        <f t="shared" si="1696"/>
        <v>NO CONFORME</v>
      </c>
    </row>
    <row r="293" spans="1:64" ht="14.4" x14ac:dyDescent="0.3">
      <c r="A293" s="91">
        <v>285</v>
      </c>
      <c r="B293" s="28">
        <f t="shared" ref="B293:E293" si="1879">B292</f>
        <v>45920</v>
      </c>
      <c r="C293" s="28">
        <f t="shared" si="1879"/>
        <v>45920</v>
      </c>
      <c r="D293" s="12">
        <f t="shared" si="1879"/>
        <v>3</v>
      </c>
      <c r="E293" s="10">
        <f t="shared" si="1879"/>
        <v>8</v>
      </c>
      <c r="F293" s="13"/>
      <c r="G293" s="157"/>
      <c r="H293" s="70">
        <f t="shared" ref="H293:L293" si="1880">H292</f>
        <v>25.6</v>
      </c>
      <c r="I293" s="36">
        <f t="shared" si="1880"/>
        <v>0</v>
      </c>
      <c r="J293" s="35">
        <f t="shared" si="1880"/>
        <v>20.9</v>
      </c>
      <c r="K293" s="122">
        <f t="shared" si="1880"/>
        <v>8.4730000000000008</v>
      </c>
      <c r="L293" s="122">
        <f t="shared" si="1880"/>
        <v>0.52100000000000002</v>
      </c>
      <c r="M293" s="41"/>
      <c r="N293" s="41"/>
      <c r="O293" s="32">
        <f t="shared" ref="O293:P293" si="1881">O292</f>
        <v>100.48</v>
      </c>
      <c r="P293" s="168" t="str">
        <f t="shared" si="1881"/>
        <v>2,29,610</v>
      </c>
      <c r="Q293" s="11" t="str">
        <f t="shared" si="1762"/>
        <v>2</v>
      </c>
      <c r="R293" s="11" t="str">
        <f t="shared" si="1763"/>
        <v>29,610</v>
      </c>
      <c r="S293" s="11">
        <f t="shared" si="1764"/>
        <v>4.1558333333333336E-2</v>
      </c>
      <c r="T293" s="14">
        <f t="shared" si="1765"/>
        <v>2417.8062963705634</v>
      </c>
      <c r="U293" s="37">
        <f t="shared" si="1766"/>
        <v>-100</v>
      </c>
      <c r="V293" s="38">
        <f t="shared" ref="V293:W293" si="1882">V292</f>
        <v>21.3</v>
      </c>
      <c r="W293" s="124">
        <f t="shared" si="1882"/>
        <v>1.0960000000000001</v>
      </c>
      <c r="X293" s="124">
        <f t="shared" si="1821"/>
        <v>1.0880000000000001</v>
      </c>
      <c r="Y293" s="41"/>
      <c r="Z293" s="41"/>
      <c r="AA293" s="90">
        <f t="shared" ref="AA293:AB293" si="1883">AA292</f>
        <v>5.01</v>
      </c>
      <c r="AB293" s="73" t="str">
        <f t="shared" si="1883"/>
        <v>11,15,880</v>
      </c>
      <c r="AC293" s="11" t="str">
        <f t="shared" si="1769"/>
        <v>11</v>
      </c>
      <c r="AD293" s="11" t="str">
        <f t="shared" si="1770"/>
        <v>15,880</v>
      </c>
      <c r="AE293" s="11">
        <f t="shared" si="1771"/>
        <v>0.18774444444444444</v>
      </c>
      <c r="AF293" s="14">
        <f t="shared" si="1772"/>
        <v>26.685210392377346</v>
      </c>
      <c r="AG293" s="39">
        <f t="shared" si="1773"/>
        <v>-100</v>
      </c>
      <c r="AH293" s="38">
        <f t="shared" si="1829"/>
        <v>18.399999999999999</v>
      </c>
      <c r="AI293" s="124">
        <f t="shared" si="1829"/>
        <v>1.0980000000000001</v>
      </c>
      <c r="AJ293" s="124">
        <f t="shared" si="1829"/>
        <v>1.087</v>
      </c>
      <c r="AK293" s="41">
        <f t="shared" si="1774"/>
        <v>0</v>
      </c>
      <c r="AL293" s="41"/>
      <c r="AM293" s="34">
        <f t="shared" ref="AM293:AN293" si="1884">AM292</f>
        <v>2.0049999999999999</v>
      </c>
      <c r="AN293" s="33" t="str">
        <f t="shared" si="1884"/>
        <v>7,19,050</v>
      </c>
      <c r="AO293" s="11" t="str">
        <f t="shared" si="1776"/>
        <v>7,</v>
      </c>
      <c r="AP293" s="11" t="str">
        <f t="shared" si="1777"/>
        <v>19,050</v>
      </c>
      <c r="AQ293" s="11">
        <f t="shared" si="1778"/>
        <v>0.12195833333333334</v>
      </c>
      <c r="AR293" s="14">
        <f t="shared" si="1779"/>
        <v>16.44004099760847</v>
      </c>
      <c r="AS293" s="39">
        <f t="shared" si="1780"/>
        <v>-100</v>
      </c>
      <c r="AT293" s="40" t="str">
        <f t="shared" si="1781"/>
        <v>NO CONFORME</v>
      </c>
      <c r="AU293" s="8" t="b">
        <f t="shared" si="1703"/>
        <v>1</v>
      </c>
      <c r="AV293" s="8" t="b">
        <f t="shared" si="1704"/>
        <v>0</v>
      </c>
      <c r="AW293" s="8" t="b">
        <f t="shared" si="1705"/>
        <v>1</v>
      </c>
      <c r="AX293" s="8" t="str">
        <f t="shared" si="1706"/>
        <v>Qcorrecto</v>
      </c>
      <c r="AY293" s="22" t="str">
        <f t="shared" si="1686"/>
        <v>aceptable</v>
      </c>
      <c r="AZ293" s="22" t="str">
        <f t="shared" si="1687"/>
        <v>aceptable</v>
      </c>
      <c r="BA293" s="22" t="str">
        <f t="shared" si="1707"/>
        <v>aceptable</v>
      </c>
      <c r="BB293" s="25" t="str">
        <f t="shared" si="1708"/>
        <v>NO CONFORME</v>
      </c>
      <c r="BC293" s="5" t="str">
        <f t="shared" si="1709"/>
        <v>NO CONFORME</v>
      </c>
      <c r="BD293" s="15">
        <f t="shared" si="1688"/>
        <v>-1</v>
      </c>
      <c r="BE293" s="15">
        <f t="shared" si="1689"/>
        <v>-1</v>
      </c>
      <c r="BF293" s="15">
        <f t="shared" si="1690"/>
        <v>-1</v>
      </c>
      <c r="BG293" s="15" t="str">
        <f t="shared" si="1691"/>
        <v>-1-1-1</v>
      </c>
      <c r="BH293" s="15" t="str">
        <f t="shared" si="1692"/>
        <v>SD</v>
      </c>
      <c r="BI293" s="15" t="str">
        <f t="shared" si="1693"/>
        <v>SI</v>
      </c>
      <c r="BJ293" s="15" t="b">
        <f t="shared" si="1694"/>
        <v>1</v>
      </c>
      <c r="BK293" s="15" t="str">
        <f t="shared" si="1695"/>
        <v>SIGIGUALES</v>
      </c>
      <c r="BL293" s="22" t="str">
        <f t="shared" si="1696"/>
        <v>NO CONFORME</v>
      </c>
    </row>
    <row r="294" spans="1:64" ht="14.4" x14ac:dyDescent="0.3">
      <c r="A294" s="91">
        <v>286</v>
      </c>
      <c r="B294" s="28">
        <f t="shared" ref="B294:E294" si="1885">B293</f>
        <v>45920</v>
      </c>
      <c r="C294" s="28">
        <f t="shared" si="1885"/>
        <v>45920</v>
      </c>
      <c r="D294" s="12">
        <f t="shared" si="1885"/>
        <v>3</v>
      </c>
      <c r="E294" s="10">
        <f t="shared" si="1885"/>
        <v>8</v>
      </c>
      <c r="F294" s="13"/>
      <c r="G294" s="157"/>
      <c r="H294" s="70">
        <f t="shared" ref="H294:L294" si="1886">H293</f>
        <v>25.6</v>
      </c>
      <c r="I294" s="36">
        <f t="shared" si="1886"/>
        <v>0</v>
      </c>
      <c r="J294" s="35">
        <f t="shared" si="1886"/>
        <v>20.9</v>
      </c>
      <c r="K294" s="122">
        <f t="shared" si="1886"/>
        <v>8.4730000000000008</v>
      </c>
      <c r="L294" s="122">
        <f t="shared" si="1886"/>
        <v>0.52100000000000002</v>
      </c>
      <c r="M294" s="41"/>
      <c r="N294" s="41"/>
      <c r="O294" s="32">
        <f t="shared" ref="O294:P294" si="1887">O293</f>
        <v>100.48</v>
      </c>
      <c r="P294" s="168" t="str">
        <f t="shared" si="1887"/>
        <v>2,29,610</v>
      </c>
      <c r="Q294" s="11" t="str">
        <f t="shared" si="1762"/>
        <v>2</v>
      </c>
      <c r="R294" s="11" t="str">
        <f t="shared" si="1763"/>
        <v>29,610</v>
      </c>
      <c r="S294" s="11">
        <f t="shared" si="1764"/>
        <v>4.1558333333333336E-2</v>
      </c>
      <c r="T294" s="14">
        <f t="shared" si="1765"/>
        <v>2417.8062963705634</v>
      </c>
      <c r="U294" s="37">
        <f t="shared" si="1766"/>
        <v>-100</v>
      </c>
      <c r="V294" s="38">
        <f t="shared" ref="V294:W294" si="1888">V293</f>
        <v>21.3</v>
      </c>
      <c r="W294" s="124">
        <f t="shared" si="1888"/>
        <v>1.0960000000000001</v>
      </c>
      <c r="X294" s="124">
        <f t="shared" si="1821"/>
        <v>1.0880000000000001</v>
      </c>
      <c r="Y294" s="41"/>
      <c r="Z294" s="41"/>
      <c r="AA294" s="90">
        <f t="shared" ref="AA294:AB294" si="1889">AA293</f>
        <v>5.01</v>
      </c>
      <c r="AB294" s="73" t="str">
        <f t="shared" si="1889"/>
        <v>11,15,880</v>
      </c>
      <c r="AC294" s="11" t="str">
        <f t="shared" si="1769"/>
        <v>11</v>
      </c>
      <c r="AD294" s="11" t="str">
        <f t="shared" si="1770"/>
        <v>15,880</v>
      </c>
      <c r="AE294" s="11">
        <f t="shared" si="1771"/>
        <v>0.18774444444444444</v>
      </c>
      <c r="AF294" s="14">
        <f t="shared" si="1772"/>
        <v>26.685210392377346</v>
      </c>
      <c r="AG294" s="39">
        <f t="shared" si="1773"/>
        <v>-100</v>
      </c>
      <c r="AH294" s="38">
        <f t="shared" si="1829"/>
        <v>18.399999999999999</v>
      </c>
      <c r="AI294" s="124">
        <f t="shared" si="1829"/>
        <v>1.0980000000000001</v>
      </c>
      <c r="AJ294" s="124">
        <f t="shared" si="1829"/>
        <v>1.087</v>
      </c>
      <c r="AK294" s="41">
        <f t="shared" si="1774"/>
        <v>0</v>
      </c>
      <c r="AL294" s="41"/>
      <c r="AM294" s="34">
        <f t="shared" ref="AM294:AN294" si="1890">AM293</f>
        <v>2.0049999999999999</v>
      </c>
      <c r="AN294" s="33" t="str">
        <f t="shared" si="1890"/>
        <v>7,19,050</v>
      </c>
      <c r="AO294" s="11" t="str">
        <f t="shared" si="1776"/>
        <v>7,</v>
      </c>
      <c r="AP294" s="11" t="str">
        <f t="shared" si="1777"/>
        <v>19,050</v>
      </c>
      <c r="AQ294" s="11">
        <f t="shared" si="1778"/>
        <v>0.12195833333333334</v>
      </c>
      <c r="AR294" s="14">
        <f t="shared" si="1779"/>
        <v>16.44004099760847</v>
      </c>
      <c r="AS294" s="39">
        <f t="shared" si="1780"/>
        <v>-100</v>
      </c>
      <c r="AT294" s="40" t="str">
        <f t="shared" si="1781"/>
        <v>NO CONFORME</v>
      </c>
      <c r="AU294" s="8" t="b">
        <f t="shared" si="1703"/>
        <v>1</v>
      </c>
      <c r="AV294" s="8" t="b">
        <f t="shared" si="1704"/>
        <v>0</v>
      </c>
      <c r="AW294" s="8" t="b">
        <f t="shared" si="1705"/>
        <v>1</v>
      </c>
      <c r="AX294" s="8" t="str">
        <f t="shared" si="1706"/>
        <v>Qcorrecto</v>
      </c>
      <c r="AY294" s="22" t="str">
        <f t="shared" si="1686"/>
        <v>aceptable</v>
      </c>
      <c r="AZ294" s="22" t="str">
        <f t="shared" si="1687"/>
        <v>aceptable</v>
      </c>
      <c r="BA294" s="22" t="str">
        <f t="shared" si="1707"/>
        <v>aceptable</v>
      </c>
      <c r="BB294" s="25" t="str">
        <f t="shared" si="1708"/>
        <v>NO CONFORME</v>
      </c>
      <c r="BC294" s="5" t="str">
        <f t="shared" si="1709"/>
        <v>NO CONFORME</v>
      </c>
      <c r="BD294" s="15">
        <f t="shared" si="1688"/>
        <v>-1</v>
      </c>
      <c r="BE294" s="15">
        <f t="shared" si="1689"/>
        <v>-1</v>
      </c>
      <c r="BF294" s="15">
        <f t="shared" si="1690"/>
        <v>-1</v>
      </c>
      <c r="BG294" s="15" t="str">
        <f t="shared" si="1691"/>
        <v>-1-1-1</v>
      </c>
      <c r="BH294" s="15" t="str">
        <f t="shared" si="1692"/>
        <v>SD</v>
      </c>
      <c r="BI294" s="15" t="str">
        <f t="shared" si="1693"/>
        <v>SI</v>
      </c>
      <c r="BJ294" s="15" t="b">
        <f t="shared" si="1694"/>
        <v>1</v>
      </c>
      <c r="BK294" s="15" t="str">
        <f t="shared" si="1695"/>
        <v>SIGIGUALES</v>
      </c>
      <c r="BL294" s="22" t="str">
        <f t="shared" si="1696"/>
        <v>NO CONFORME</v>
      </c>
    </row>
    <row r="295" spans="1:64" ht="14.4" x14ac:dyDescent="0.3">
      <c r="A295" s="91">
        <v>287</v>
      </c>
      <c r="B295" s="28">
        <f t="shared" ref="B295:E295" si="1891">B294</f>
        <v>45920</v>
      </c>
      <c r="C295" s="28">
        <f t="shared" si="1891"/>
        <v>45920</v>
      </c>
      <c r="D295" s="12">
        <f t="shared" si="1891"/>
        <v>3</v>
      </c>
      <c r="E295" s="10">
        <f t="shared" si="1891"/>
        <v>8</v>
      </c>
      <c r="F295" s="13"/>
      <c r="G295" s="157"/>
      <c r="H295" s="70">
        <f t="shared" ref="H295:L295" si="1892">H294</f>
        <v>25.6</v>
      </c>
      <c r="I295" s="36">
        <f t="shared" si="1892"/>
        <v>0</v>
      </c>
      <c r="J295" s="35">
        <f t="shared" si="1892"/>
        <v>20.9</v>
      </c>
      <c r="K295" s="122">
        <f t="shared" si="1892"/>
        <v>8.4730000000000008</v>
      </c>
      <c r="L295" s="122">
        <f t="shared" si="1892"/>
        <v>0.52100000000000002</v>
      </c>
      <c r="M295" s="41"/>
      <c r="N295" s="41"/>
      <c r="O295" s="32">
        <f t="shared" ref="O295:P295" si="1893">O294</f>
        <v>100.48</v>
      </c>
      <c r="P295" s="168" t="str">
        <f t="shared" si="1893"/>
        <v>2,29,610</v>
      </c>
      <c r="Q295" s="11" t="str">
        <f t="shared" si="1762"/>
        <v>2</v>
      </c>
      <c r="R295" s="11" t="str">
        <f t="shared" si="1763"/>
        <v>29,610</v>
      </c>
      <c r="S295" s="11">
        <f t="shared" si="1764"/>
        <v>4.1558333333333336E-2</v>
      </c>
      <c r="T295" s="14">
        <f t="shared" si="1765"/>
        <v>2417.8062963705634</v>
      </c>
      <c r="U295" s="37">
        <f t="shared" si="1766"/>
        <v>-100</v>
      </c>
      <c r="V295" s="38">
        <f t="shared" ref="V295:W295" si="1894">V294</f>
        <v>21.3</v>
      </c>
      <c r="W295" s="124">
        <f t="shared" si="1894"/>
        <v>1.0960000000000001</v>
      </c>
      <c r="X295" s="124">
        <f t="shared" si="1821"/>
        <v>1.0880000000000001</v>
      </c>
      <c r="Y295" s="41"/>
      <c r="Z295" s="41"/>
      <c r="AA295" s="90">
        <f t="shared" ref="AA295:AB295" si="1895">AA294</f>
        <v>5.01</v>
      </c>
      <c r="AB295" s="73" t="str">
        <f t="shared" si="1895"/>
        <v>11,15,880</v>
      </c>
      <c r="AC295" s="11" t="str">
        <f t="shared" si="1769"/>
        <v>11</v>
      </c>
      <c r="AD295" s="11" t="str">
        <f t="shared" si="1770"/>
        <v>15,880</v>
      </c>
      <c r="AE295" s="11">
        <f t="shared" si="1771"/>
        <v>0.18774444444444444</v>
      </c>
      <c r="AF295" s="14">
        <f t="shared" si="1772"/>
        <v>26.685210392377346</v>
      </c>
      <c r="AG295" s="39">
        <f t="shared" si="1773"/>
        <v>-100</v>
      </c>
      <c r="AH295" s="38">
        <f t="shared" si="1829"/>
        <v>18.399999999999999</v>
      </c>
      <c r="AI295" s="124">
        <f t="shared" si="1829"/>
        <v>1.0980000000000001</v>
      </c>
      <c r="AJ295" s="124">
        <f t="shared" si="1829"/>
        <v>1.087</v>
      </c>
      <c r="AK295" s="41">
        <f t="shared" si="1774"/>
        <v>0</v>
      </c>
      <c r="AL295" s="41"/>
      <c r="AM295" s="34">
        <f t="shared" ref="AM295:AN295" si="1896">AM294</f>
        <v>2.0049999999999999</v>
      </c>
      <c r="AN295" s="33" t="str">
        <f t="shared" si="1896"/>
        <v>7,19,050</v>
      </c>
      <c r="AO295" s="11" t="str">
        <f t="shared" si="1776"/>
        <v>7,</v>
      </c>
      <c r="AP295" s="11" t="str">
        <f t="shared" si="1777"/>
        <v>19,050</v>
      </c>
      <c r="AQ295" s="11">
        <f t="shared" si="1778"/>
        <v>0.12195833333333334</v>
      </c>
      <c r="AR295" s="14">
        <f t="shared" si="1779"/>
        <v>16.44004099760847</v>
      </c>
      <c r="AS295" s="39">
        <f t="shared" si="1780"/>
        <v>-100</v>
      </c>
      <c r="AT295" s="40" t="str">
        <f t="shared" si="1781"/>
        <v>NO CONFORME</v>
      </c>
      <c r="AU295" s="8" t="b">
        <f t="shared" si="1703"/>
        <v>1</v>
      </c>
      <c r="AV295" s="8" t="b">
        <f t="shared" si="1704"/>
        <v>0</v>
      </c>
      <c r="AW295" s="8" t="b">
        <f t="shared" si="1705"/>
        <v>1</v>
      </c>
      <c r="AX295" s="8" t="str">
        <f t="shared" si="1706"/>
        <v>Qcorrecto</v>
      </c>
      <c r="AY295" s="22" t="str">
        <f t="shared" si="1686"/>
        <v>aceptable</v>
      </c>
      <c r="AZ295" s="22" t="str">
        <f t="shared" si="1687"/>
        <v>aceptable</v>
      </c>
      <c r="BA295" s="22" t="str">
        <f t="shared" si="1707"/>
        <v>aceptable</v>
      </c>
      <c r="BB295" s="25" t="str">
        <f t="shared" si="1708"/>
        <v>NO CONFORME</v>
      </c>
      <c r="BC295" s="5" t="str">
        <f t="shared" si="1709"/>
        <v>NO CONFORME</v>
      </c>
      <c r="BD295" s="15">
        <f t="shared" si="1688"/>
        <v>-1</v>
      </c>
      <c r="BE295" s="15">
        <f t="shared" si="1689"/>
        <v>-1</v>
      </c>
      <c r="BF295" s="15">
        <f t="shared" si="1690"/>
        <v>-1</v>
      </c>
      <c r="BG295" s="15" t="str">
        <f t="shared" si="1691"/>
        <v>-1-1-1</v>
      </c>
      <c r="BH295" s="15" t="str">
        <f t="shared" si="1692"/>
        <v>SD</v>
      </c>
      <c r="BI295" s="15" t="str">
        <f t="shared" si="1693"/>
        <v>SI</v>
      </c>
      <c r="BJ295" s="15" t="b">
        <f t="shared" si="1694"/>
        <v>1</v>
      </c>
      <c r="BK295" s="15" t="str">
        <f t="shared" si="1695"/>
        <v>SIGIGUALES</v>
      </c>
      <c r="BL295" s="22" t="str">
        <f t="shared" si="1696"/>
        <v>NO CONFORME</v>
      </c>
    </row>
    <row r="296" spans="1:64" ht="14.4" x14ac:dyDescent="0.3">
      <c r="A296" s="91">
        <v>288</v>
      </c>
      <c r="B296" s="28">
        <f t="shared" ref="B296:E296" si="1897">B295</f>
        <v>45920</v>
      </c>
      <c r="C296" s="28">
        <f t="shared" si="1897"/>
        <v>45920</v>
      </c>
      <c r="D296" s="12">
        <f t="shared" si="1897"/>
        <v>3</v>
      </c>
      <c r="E296" s="10">
        <f t="shared" si="1897"/>
        <v>8</v>
      </c>
      <c r="F296" s="13"/>
      <c r="G296" s="157"/>
      <c r="H296" s="70">
        <f t="shared" ref="H296:L296" si="1898">H295</f>
        <v>25.6</v>
      </c>
      <c r="I296" s="36">
        <f t="shared" si="1898"/>
        <v>0</v>
      </c>
      <c r="J296" s="35">
        <f t="shared" si="1898"/>
        <v>20.9</v>
      </c>
      <c r="K296" s="122">
        <f t="shared" si="1898"/>
        <v>8.4730000000000008</v>
      </c>
      <c r="L296" s="122">
        <f t="shared" si="1898"/>
        <v>0.52100000000000002</v>
      </c>
      <c r="M296" s="41"/>
      <c r="N296" s="41"/>
      <c r="O296" s="32">
        <f t="shared" ref="O296:P296" si="1899">O295</f>
        <v>100.48</v>
      </c>
      <c r="P296" s="168" t="str">
        <f t="shared" si="1899"/>
        <v>2,29,610</v>
      </c>
      <c r="Q296" s="11" t="str">
        <f t="shared" si="1762"/>
        <v>2</v>
      </c>
      <c r="R296" s="11" t="str">
        <f t="shared" si="1763"/>
        <v>29,610</v>
      </c>
      <c r="S296" s="11">
        <f t="shared" si="1764"/>
        <v>4.1558333333333336E-2</v>
      </c>
      <c r="T296" s="14">
        <f t="shared" si="1765"/>
        <v>2417.8062963705634</v>
      </c>
      <c r="U296" s="37">
        <f t="shared" si="1766"/>
        <v>-100</v>
      </c>
      <c r="V296" s="38">
        <f t="shared" ref="V296:W296" si="1900">V295</f>
        <v>21.3</v>
      </c>
      <c r="W296" s="124">
        <f t="shared" si="1900"/>
        <v>1.0960000000000001</v>
      </c>
      <c r="X296" s="124">
        <f t="shared" si="1821"/>
        <v>1.0880000000000001</v>
      </c>
      <c r="Y296" s="41"/>
      <c r="Z296" s="41"/>
      <c r="AA296" s="90">
        <f t="shared" ref="AA296:AB296" si="1901">AA295</f>
        <v>5.01</v>
      </c>
      <c r="AB296" s="73" t="str">
        <f t="shared" si="1901"/>
        <v>11,15,880</v>
      </c>
      <c r="AC296" s="11" t="str">
        <f t="shared" si="1769"/>
        <v>11</v>
      </c>
      <c r="AD296" s="11" t="str">
        <f t="shared" si="1770"/>
        <v>15,880</v>
      </c>
      <c r="AE296" s="11">
        <f t="shared" si="1771"/>
        <v>0.18774444444444444</v>
      </c>
      <c r="AF296" s="14">
        <f t="shared" si="1772"/>
        <v>26.685210392377346</v>
      </c>
      <c r="AG296" s="39">
        <f t="shared" si="1773"/>
        <v>-100</v>
      </c>
      <c r="AH296" s="38">
        <f t="shared" si="1829"/>
        <v>18.399999999999999</v>
      </c>
      <c r="AI296" s="124">
        <f t="shared" si="1829"/>
        <v>1.0980000000000001</v>
      </c>
      <c r="AJ296" s="124">
        <f t="shared" si="1829"/>
        <v>1.087</v>
      </c>
      <c r="AK296" s="41">
        <f t="shared" si="1774"/>
        <v>0</v>
      </c>
      <c r="AL296" s="41"/>
      <c r="AM296" s="34">
        <f t="shared" ref="AM296:AN296" si="1902">AM295</f>
        <v>2.0049999999999999</v>
      </c>
      <c r="AN296" s="33" t="str">
        <f t="shared" si="1902"/>
        <v>7,19,050</v>
      </c>
      <c r="AO296" s="11" t="str">
        <f t="shared" si="1776"/>
        <v>7,</v>
      </c>
      <c r="AP296" s="11" t="str">
        <f t="shared" si="1777"/>
        <v>19,050</v>
      </c>
      <c r="AQ296" s="11">
        <f t="shared" si="1778"/>
        <v>0.12195833333333334</v>
      </c>
      <c r="AR296" s="14">
        <f t="shared" si="1779"/>
        <v>16.44004099760847</v>
      </c>
      <c r="AS296" s="39">
        <f t="shared" si="1780"/>
        <v>-100</v>
      </c>
      <c r="AT296" s="40" t="str">
        <f t="shared" si="1781"/>
        <v>NO CONFORME</v>
      </c>
      <c r="AU296" s="8" t="b">
        <f t="shared" si="1703"/>
        <v>1</v>
      </c>
      <c r="AV296" s="8" t="b">
        <f t="shared" si="1704"/>
        <v>0</v>
      </c>
      <c r="AW296" s="8" t="b">
        <f t="shared" si="1705"/>
        <v>1</v>
      </c>
      <c r="AX296" s="8" t="str">
        <f t="shared" si="1706"/>
        <v>Qcorrecto</v>
      </c>
      <c r="AY296" s="22" t="str">
        <f t="shared" si="1686"/>
        <v>aceptable</v>
      </c>
      <c r="AZ296" s="22" t="str">
        <f t="shared" si="1687"/>
        <v>aceptable</v>
      </c>
      <c r="BA296" s="22" t="str">
        <f t="shared" si="1707"/>
        <v>aceptable</v>
      </c>
      <c r="BB296" s="25" t="str">
        <f t="shared" si="1708"/>
        <v>NO CONFORME</v>
      </c>
      <c r="BC296" s="5" t="str">
        <f t="shared" si="1709"/>
        <v>NO CONFORME</v>
      </c>
      <c r="BD296" s="15">
        <f t="shared" si="1688"/>
        <v>-1</v>
      </c>
      <c r="BE296" s="15">
        <f t="shared" si="1689"/>
        <v>-1</v>
      </c>
      <c r="BF296" s="15">
        <f t="shared" si="1690"/>
        <v>-1</v>
      </c>
      <c r="BG296" s="15" t="str">
        <f t="shared" si="1691"/>
        <v>-1-1-1</v>
      </c>
      <c r="BH296" s="15" t="str">
        <f t="shared" si="1692"/>
        <v>SD</v>
      </c>
      <c r="BI296" s="15" t="str">
        <f t="shared" si="1693"/>
        <v>SI</v>
      </c>
      <c r="BJ296" s="15" t="b">
        <f t="shared" si="1694"/>
        <v>1</v>
      </c>
      <c r="BK296" s="15" t="str">
        <f t="shared" si="1695"/>
        <v>SIGIGUALES</v>
      </c>
      <c r="BL296" s="22" t="str">
        <f t="shared" si="1696"/>
        <v>NO CONFORME</v>
      </c>
    </row>
    <row r="297" spans="1:64" ht="14.4" x14ac:dyDescent="0.3">
      <c r="A297" s="91">
        <v>289</v>
      </c>
      <c r="B297" s="28">
        <f t="shared" ref="B297:E297" si="1903">B296</f>
        <v>45920</v>
      </c>
      <c r="C297" s="28">
        <f t="shared" si="1903"/>
        <v>45920</v>
      </c>
      <c r="D297" s="12">
        <f t="shared" si="1903"/>
        <v>3</v>
      </c>
      <c r="E297" s="10">
        <f t="shared" si="1903"/>
        <v>8</v>
      </c>
      <c r="F297" s="13"/>
      <c r="G297" s="157"/>
      <c r="H297" s="70">
        <f t="shared" ref="H297:L297" si="1904">H296</f>
        <v>25.6</v>
      </c>
      <c r="I297" s="36">
        <f t="shared" si="1904"/>
        <v>0</v>
      </c>
      <c r="J297" s="35">
        <f t="shared" si="1904"/>
        <v>20.9</v>
      </c>
      <c r="K297" s="122">
        <f t="shared" si="1904"/>
        <v>8.4730000000000008</v>
      </c>
      <c r="L297" s="122">
        <f t="shared" si="1904"/>
        <v>0.52100000000000002</v>
      </c>
      <c r="M297" s="41"/>
      <c r="N297" s="41"/>
      <c r="O297" s="32">
        <f t="shared" ref="O297:P297" si="1905">O296</f>
        <v>100.48</v>
      </c>
      <c r="P297" s="168" t="str">
        <f t="shared" si="1905"/>
        <v>2,29,610</v>
      </c>
      <c r="Q297" s="11" t="str">
        <f t="shared" si="1762"/>
        <v>2</v>
      </c>
      <c r="R297" s="11" t="str">
        <f t="shared" si="1763"/>
        <v>29,610</v>
      </c>
      <c r="S297" s="11">
        <f t="shared" si="1764"/>
        <v>4.1558333333333336E-2</v>
      </c>
      <c r="T297" s="14">
        <f t="shared" si="1765"/>
        <v>2417.8062963705634</v>
      </c>
      <c r="U297" s="37">
        <f t="shared" si="1766"/>
        <v>-100</v>
      </c>
      <c r="V297" s="38">
        <f t="shared" ref="V297:W297" si="1906">V296</f>
        <v>21.3</v>
      </c>
      <c r="W297" s="124">
        <f t="shared" si="1906"/>
        <v>1.0960000000000001</v>
      </c>
      <c r="X297" s="124">
        <f t="shared" si="1821"/>
        <v>1.0880000000000001</v>
      </c>
      <c r="Y297" s="41"/>
      <c r="Z297" s="41"/>
      <c r="AA297" s="90">
        <f t="shared" ref="AA297:AB297" si="1907">AA296</f>
        <v>5.01</v>
      </c>
      <c r="AB297" s="73" t="str">
        <f t="shared" si="1907"/>
        <v>11,15,880</v>
      </c>
      <c r="AC297" s="11" t="str">
        <f t="shared" si="1769"/>
        <v>11</v>
      </c>
      <c r="AD297" s="11" t="str">
        <f t="shared" si="1770"/>
        <v>15,880</v>
      </c>
      <c r="AE297" s="11">
        <f t="shared" si="1771"/>
        <v>0.18774444444444444</v>
      </c>
      <c r="AF297" s="14">
        <f t="shared" si="1772"/>
        <v>26.685210392377346</v>
      </c>
      <c r="AG297" s="39">
        <f t="shared" si="1773"/>
        <v>-100</v>
      </c>
      <c r="AH297" s="38">
        <f t="shared" si="1829"/>
        <v>18.399999999999999</v>
      </c>
      <c r="AI297" s="124">
        <f t="shared" si="1829"/>
        <v>1.0980000000000001</v>
      </c>
      <c r="AJ297" s="124">
        <f t="shared" si="1829"/>
        <v>1.087</v>
      </c>
      <c r="AK297" s="41">
        <f t="shared" si="1774"/>
        <v>0</v>
      </c>
      <c r="AL297" s="41"/>
      <c r="AM297" s="34">
        <f t="shared" ref="AM297:AN297" si="1908">AM296</f>
        <v>2.0049999999999999</v>
      </c>
      <c r="AN297" s="33" t="str">
        <f t="shared" si="1908"/>
        <v>7,19,050</v>
      </c>
      <c r="AO297" s="11" t="str">
        <f t="shared" si="1776"/>
        <v>7,</v>
      </c>
      <c r="AP297" s="11" t="str">
        <f t="shared" si="1777"/>
        <v>19,050</v>
      </c>
      <c r="AQ297" s="11">
        <f t="shared" si="1778"/>
        <v>0.12195833333333334</v>
      </c>
      <c r="AR297" s="14">
        <f t="shared" si="1779"/>
        <v>16.44004099760847</v>
      </c>
      <c r="AS297" s="39">
        <f t="shared" si="1780"/>
        <v>-100</v>
      </c>
      <c r="AT297" s="40" t="str">
        <f t="shared" si="1781"/>
        <v>NO CONFORME</v>
      </c>
      <c r="AU297" s="8" t="b">
        <f t="shared" si="1703"/>
        <v>1</v>
      </c>
      <c r="AV297" s="8" t="b">
        <f t="shared" si="1704"/>
        <v>0</v>
      </c>
      <c r="AW297" s="8" t="b">
        <f t="shared" si="1705"/>
        <v>1</v>
      </c>
      <c r="AX297" s="8" t="str">
        <f t="shared" si="1706"/>
        <v>Qcorrecto</v>
      </c>
      <c r="AY297" s="22" t="str">
        <f t="shared" si="1686"/>
        <v>aceptable</v>
      </c>
      <c r="AZ297" s="22" t="str">
        <f t="shared" si="1687"/>
        <v>aceptable</v>
      </c>
      <c r="BA297" s="22" t="str">
        <f t="shared" si="1707"/>
        <v>aceptable</v>
      </c>
      <c r="BB297" s="25" t="str">
        <f t="shared" si="1708"/>
        <v>NO CONFORME</v>
      </c>
      <c r="BC297" s="5" t="str">
        <f t="shared" si="1709"/>
        <v>NO CONFORME</v>
      </c>
      <c r="BD297" s="15">
        <f t="shared" si="1688"/>
        <v>-1</v>
      </c>
      <c r="BE297" s="15">
        <f t="shared" si="1689"/>
        <v>-1</v>
      </c>
      <c r="BF297" s="15">
        <f t="shared" si="1690"/>
        <v>-1</v>
      </c>
      <c r="BG297" s="15" t="str">
        <f t="shared" si="1691"/>
        <v>-1-1-1</v>
      </c>
      <c r="BH297" s="15" t="str">
        <f t="shared" si="1692"/>
        <v>SD</v>
      </c>
      <c r="BI297" s="15" t="str">
        <f t="shared" si="1693"/>
        <v>SI</v>
      </c>
      <c r="BJ297" s="15" t="b">
        <f t="shared" si="1694"/>
        <v>1</v>
      </c>
      <c r="BK297" s="15" t="str">
        <f t="shared" si="1695"/>
        <v>SIGIGUALES</v>
      </c>
      <c r="BL297" s="22" t="str">
        <f t="shared" si="1696"/>
        <v>NO CONFORME</v>
      </c>
    </row>
    <row r="298" spans="1:64" ht="14.4" x14ac:dyDescent="0.3">
      <c r="A298" s="91">
        <v>290</v>
      </c>
      <c r="B298" s="28">
        <f t="shared" ref="B298:E298" si="1909">B297</f>
        <v>45920</v>
      </c>
      <c r="C298" s="28">
        <f t="shared" si="1909"/>
        <v>45920</v>
      </c>
      <c r="D298" s="12">
        <f t="shared" si="1909"/>
        <v>3</v>
      </c>
      <c r="E298" s="10">
        <f t="shared" si="1909"/>
        <v>8</v>
      </c>
      <c r="F298" s="13"/>
      <c r="G298" s="157"/>
      <c r="H298" s="70">
        <f t="shared" ref="H298:L298" si="1910">H297</f>
        <v>25.6</v>
      </c>
      <c r="I298" s="36">
        <f t="shared" si="1910"/>
        <v>0</v>
      </c>
      <c r="J298" s="35">
        <f t="shared" si="1910"/>
        <v>20.9</v>
      </c>
      <c r="K298" s="122">
        <f t="shared" si="1910"/>
        <v>8.4730000000000008</v>
      </c>
      <c r="L298" s="122">
        <f t="shared" si="1910"/>
        <v>0.52100000000000002</v>
      </c>
      <c r="M298" s="41"/>
      <c r="N298" s="41"/>
      <c r="O298" s="32">
        <f t="shared" ref="O298:P298" si="1911">O297</f>
        <v>100.48</v>
      </c>
      <c r="P298" s="168" t="str">
        <f t="shared" si="1911"/>
        <v>2,29,610</v>
      </c>
      <c r="Q298" s="11" t="str">
        <f t="shared" si="1762"/>
        <v>2</v>
      </c>
      <c r="R298" s="11" t="str">
        <f t="shared" si="1763"/>
        <v>29,610</v>
      </c>
      <c r="S298" s="11">
        <f t="shared" si="1764"/>
        <v>4.1558333333333336E-2</v>
      </c>
      <c r="T298" s="14">
        <f t="shared" si="1765"/>
        <v>2417.8062963705634</v>
      </c>
      <c r="U298" s="37">
        <f t="shared" si="1766"/>
        <v>-100</v>
      </c>
      <c r="V298" s="38">
        <f t="shared" ref="V298:W298" si="1912">V297</f>
        <v>21.3</v>
      </c>
      <c r="W298" s="124">
        <f t="shared" si="1912"/>
        <v>1.0960000000000001</v>
      </c>
      <c r="X298" s="124">
        <f t="shared" si="1821"/>
        <v>1.0880000000000001</v>
      </c>
      <c r="Y298" s="41"/>
      <c r="Z298" s="41"/>
      <c r="AA298" s="90">
        <f t="shared" ref="AA298:AB298" si="1913">AA297</f>
        <v>5.01</v>
      </c>
      <c r="AB298" s="73" t="str">
        <f t="shared" si="1913"/>
        <v>11,15,880</v>
      </c>
      <c r="AC298" s="11" t="str">
        <f t="shared" si="1769"/>
        <v>11</v>
      </c>
      <c r="AD298" s="11" t="str">
        <f t="shared" si="1770"/>
        <v>15,880</v>
      </c>
      <c r="AE298" s="11">
        <f t="shared" si="1771"/>
        <v>0.18774444444444444</v>
      </c>
      <c r="AF298" s="14">
        <f t="shared" si="1772"/>
        <v>26.685210392377346</v>
      </c>
      <c r="AG298" s="39">
        <f t="shared" si="1773"/>
        <v>-100</v>
      </c>
      <c r="AH298" s="38">
        <f t="shared" si="1829"/>
        <v>18.399999999999999</v>
      </c>
      <c r="AI298" s="124">
        <f t="shared" si="1829"/>
        <v>1.0980000000000001</v>
      </c>
      <c r="AJ298" s="124">
        <f t="shared" si="1829"/>
        <v>1.087</v>
      </c>
      <c r="AK298" s="41">
        <f t="shared" si="1774"/>
        <v>0</v>
      </c>
      <c r="AL298" s="41"/>
      <c r="AM298" s="34">
        <f t="shared" ref="AM298:AN298" si="1914">AM297</f>
        <v>2.0049999999999999</v>
      </c>
      <c r="AN298" s="33" t="str">
        <f t="shared" si="1914"/>
        <v>7,19,050</v>
      </c>
      <c r="AO298" s="11" t="str">
        <f t="shared" si="1776"/>
        <v>7,</v>
      </c>
      <c r="AP298" s="11" t="str">
        <f t="shared" si="1777"/>
        <v>19,050</v>
      </c>
      <c r="AQ298" s="11">
        <f t="shared" si="1778"/>
        <v>0.12195833333333334</v>
      </c>
      <c r="AR298" s="14">
        <f t="shared" si="1779"/>
        <v>16.44004099760847</v>
      </c>
      <c r="AS298" s="39">
        <f t="shared" si="1780"/>
        <v>-100</v>
      </c>
      <c r="AT298" s="40" t="str">
        <f t="shared" si="1781"/>
        <v>NO CONFORME</v>
      </c>
      <c r="AU298" s="8" t="b">
        <f t="shared" si="1703"/>
        <v>1</v>
      </c>
      <c r="AV298" s="8" t="b">
        <f t="shared" si="1704"/>
        <v>0</v>
      </c>
      <c r="AW298" s="8" t="b">
        <f t="shared" si="1705"/>
        <v>1</v>
      </c>
      <c r="AX298" s="8" t="str">
        <f t="shared" si="1706"/>
        <v>Qcorrecto</v>
      </c>
      <c r="AY298" s="22" t="str">
        <f t="shared" si="1686"/>
        <v>aceptable</v>
      </c>
      <c r="AZ298" s="22" t="str">
        <f t="shared" si="1687"/>
        <v>aceptable</v>
      </c>
      <c r="BA298" s="22" t="str">
        <f t="shared" si="1707"/>
        <v>aceptable</v>
      </c>
      <c r="BB298" s="25" t="str">
        <f t="shared" si="1708"/>
        <v>NO CONFORME</v>
      </c>
      <c r="BC298" s="5" t="str">
        <f t="shared" si="1709"/>
        <v>NO CONFORME</v>
      </c>
      <c r="BD298" s="15">
        <f t="shared" si="1688"/>
        <v>-1</v>
      </c>
      <c r="BE298" s="15">
        <f t="shared" si="1689"/>
        <v>-1</v>
      </c>
      <c r="BF298" s="15">
        <f t="shared" si="1690"/>
        <v>-1</v>
      </c>
      <c r="BG298" s="15" t="str">
        <f t="shared" si="1691"/>
        <v>-1-1-1</v>
      </c>
      <c r="BH298" s="15" t="str">
        <f t="shared" si="1692"/>
        <v>SD</v>
      </c>
      <c r="BI298" s="15" t="str">
        <f t="shared" si="1693"/>
        <v>SI</v>
      </c>
      <c r="BJ298" s="15" t="b">
        <f t="shared" si="1694"/>
        <v>1</v>
      </c>
      <c r="BK298" s="15" t="str">
        <f t="shared" si="1695"/>
        <v>SIGIGUALES</v>
      </c>
      <c r="BL298" s="22" t="str">
        <f t="shared" si="1696"/>
        <v>NO CONFORME</v>
      </c>
    </row>
    <row r="299" spans="1:64" ht="14.4" x14ac:dyDescent="0.3">
      <c r="A299" s="91">
        <v>291</v>
      </c>
      <c r="B299" s="28">
        <f t="shared" ref="B299:E299" si="1915">B298</f>
        <v>45920</v>
      </c>
      <c r="C299" s="28">
        <f t="shared" si="1915"/>
        <v>45920</v>
      </c>
      <c r="D299" s="12">
        <f t="shared" si="1915"/>
        <v>3</v>
      </c>
      <c r="E299" s="10">
        <f t="shared" si="1915"/>
        <v>8</v>
      </c>
      <c r="F299" s="13"/>
      <c r="G299" s="157"/>
      <c r="H299" s="70">
        <f t="shared" ref="H299:L299" si="1916">H298</f>
        <v>25.6</v>
      </c>
      <c r="I299" s="36">
        <f t="shared" si="1916"/>
        <v>0</v>
      </c>
      <c r="J299" s="35">
        <f t="shared" si="1916"/>
        <v>20.9</v>
      </c>
      <c r="K299" s="122">
        <f t="shared" si="1916"/>
        <v>8.4730000000000008</v>
      </c>
      <c r="L299" s="122">
        <f t="shared" si="1916"/>
        <v>0.52100000000000002</v>
      </c>
      <c r="M299" s="41"/>
      <c r="N299" s="41"/>
      <c r="O299" s="32">
        <f t="shared" ref="O299:P299" si="1917">O298</f>
        <v>100.48</v>
      </c>
      <c r="P299" s="168" t="str">
        <f t="shared" si="1917"/>
        <v>2,29,610</v>
      </c>
      <c r="Q299" s="11" t="str">
        <f t="shared" si="1762"/>
        <v>2</v>
      </c>
      <c r="R299" s="11" t="str">
        <f t="shared" si="1763"/>
        <v>29,610</v>
      </c>
      <c r="S299" s="11">
        <f t="shared" si="1764"/>
        <v>4.1558333333333336E-2</v>
      </c>
      <c r="T299" s="14">
        <f t="shared" si="1765"/>
        <v>2417.8062963705634</v>
      </c>
      <c r="U299" s="37">
        <f t="shared" si="1766"/>
        <v>-100</v>
      </c>
      <c r="V299" s="38">
        <f t="shared" ref="V299:X309" si="1918">V298</f>
        <v>21.3</v>
      </c>
      <c r="W299" s="124">
        <f t="shared" si="1918"/>
        <v>1.0960000000000001</v>
      </c>
      <c r="X299" s="124">
        <f t="shared" si="1918"/>
        <v>1.0880000000000001</v>
      </c>
      <c r="Y299" s="41"/>
      <c r="Z299" s="41"/>
      <c r="AA299" s="90">
        <f t="shared" ref="AA299:AB299" si="1919">AA298</f>
        <v>5.01</v>
      </c>
      <c r="AB299" s="73" t="str">
        <f t="shared" si="1919"/>
        <v>11,15,880</v>
      </c>
      <c r="AC299" s="11" t="str">
        <f t="shared" si="1769"/>
        <v>11</v>
      </c>
      <c r="AD299" s="11" t="str">
        <f t="shared" si="1770"/>
        <v>15,880</v>
      </c>
      <c r="AE299" s="11">
        <f t="shared" si="1771"/>
        <v>0.18774444444444444</v>
      </c>
      <c r="AF299" s="14">
        <f t="shared" si="1772"/>
        <v>26.685210392377346</v>
      </c>
      <c r="AG299" s="39">
        <f t="shared" si="1773"/>
        <v>-100</v>
      </c>
      <c r="AH299" s="38">
        <f t="shared" si="1829"/>
        <v>18.399999999999999</v>
      </c>
      <c r="AI299" s="124">
        <f t="shared" si="1829"/>
        <v>1.0980000000000001</v>
      </c>
      <c r="AJ299" s="124">
        <f t="shared" si="1829"/>
        <v>1.087</v>
      </c>
      <c r="AK299" s="41">
        <f t="shared" si="1774"/>
        <v>0</v>
      </c>
      <c r="AL299" s="41"/>
      <c r="AM299" s="34">
        <f t="shared" ref="AM299:AN299" si="1920">AM298</f>
        <v>2.0049999999999999</v>
      </c>
      <c r="AN299" s="33" t="str">
        <f t="shared" si="1920"/>
        <v>7,19,050</v>
      </c>
      <c r="AO299" s="11" t="str">
        <f t="shared" si="1776"/>
        <v>7,</v>
      </c>
      <c r="AP299" s="11" t="str">
        <f t="shared" si="1777"/>
        <v>19,050</v>
      </c>
      <c r="AQ299" s="11">
        <f t="shared" si="1778"/>
        <v>0.12195833333333334</v>
      </c>
      <c r="AR299" s="14">
        <f t="shared" si="1779"/>
        <v>16.44004099760847</v>
      </c>
      <c r="AS299" s="39">
        <f t="shared" si="1780"/>
        <v>-100</v>
      </c>
      <c r="AT299" s="40" t="str">
        <f t="shared" si="1781"/>
        <v>NO CONFORME</v>
      </c>
      <c r="AU299" s="8" t="b">
        <f t="shared" si="1703"/>
        <v>1</v>
      </c>
      <c r="AV299" s="8" t="b">
        <f t="shared" si="1704"/>
        <v>0</v>
      </c>
      <c r="AW299" s="8" t="b">
        <f t="shared" si="1705"/>
        <v>1</v>
      </c>
      <c r="AX299" s="8" t="str">
        <f t="shared" si="1706"/>
        <v>Qcorrecto</v>
      </c>
      <c r="AY299" s="22" t="str">
        <f t="shared" si="1686"/>
        <v>aceptable</v>
      </c>
      <c r="AZ299" s="22" t="str">
        <f t="shared" si="1687"/>
        <v>aceptable</v>
      </c>
      <c r="BA299" s="22" t="str">
        <f t="shared" si="1707"/>
        <v>aceptable</v>
      </c>
      <c r="BB299" s="25" t="str">
        <f t="shared" si="1708"/>
        <v>NO CONFORME</v>
      </c>
      <c r="BC299" s="5" t="str">
        <f t="shared" si="1709"/>
        <v>NO CONFORME</v>
      </c>
      <c r="BD299" s="15">
        <f t="shared" si="1688"/>
        <v>-1</v>
      </c>
      <c r="BE299" s="15">
        <f t="shared" si="1689"/>
        <v>-1</v>
      </c>
      <c r="BF299" s="15">
        <f t="shared" si="1690"/>
        <v>-1</v>
      </c>
      <c r="BG299" s="15" t="str">
        <f t="shared" si="1691"/>
        <v>-1-1-1</v>
      </c>
      <c r="BH299" s="15" t="str">
        <f t="shared" si="1692"/>
        <v>SD</v>
      </c>
      <c r="BI299" s="15" t="str">
        <f t="shared" si="1693"/>
        <v>SI</v>
      </c>
      <c r="BJ299" s="15" t="b">
        <f t="shared" si="1694"/>
        <v>1</v>
      </c>
      <c r="BK299" s="15" t="str">
        <f t="shared" si="1695"/>
        <v>SIGIGUALES</v>
      </c>
      <c r="BL299" s="22" t="str">
        <f t="shared" si="1696"/>
        <v>NO CONFORME</v>
      </c>
    </row>
    <row r="300" spans="1:64" ht="14.4" x14ac:dyDescent="0.3">
      <c r="A300" s="91">
        <v>292</v>
      </c>
      <c r="B300" s="28">
        <f t="shared" ref="B300:E300" si="1921">B299</f>
        <v>45920</v>
      </c>
      <c r="C300" s="28">
        <f t="shared" si="1921"/>
        <v>45920</v>
      </c>
      <c r="D300" s="12">
        <f t="shared" si="1921"/>
        <v>3</v>
      </c>
      <c r="E300" s="10">
        <f t="shared" si="1921"/>
        <v>8</v>
      </c>
      <c r="F300" s="13"/>
      <c r="G300" s="157"/>
      <c r="H300" s="70">
        <f t="shared" ref="H300:L300" si="1922">H299</f>
        <v>25.6</v>
      </c>
      <c r="I300" s="36">
        <f t="shared" si="1922"/>
        <v>0</v>
      </c>
      <c r="J300" s="35">
        <f t="shared" si="1922"/>
        <v>20.9</v>
      </c>
      <c r="K300" s="122">
        <f t="shared" si="1922"/>
        <v>8.4730000000000008</v>
      </c>
      <c r="L300" s="122">
        <f t="shared" si="1922"/>
        <v>0.52100000000000002</v>
      </c>
      <c r="M300" s="41"/>
      <c r="N300" s="41"/>
      <c r="O300" s="32">
        <f t="shared" ref="O300:P300" si="1923">O299</f>
        <v>100.48</v>
      </c>
      <c r="P300" s="168" t="str">
        <f t="shared" si="1923"/>
        <v>2,29,610</v>
      </c>
      <c r="Q300" s="11" t="str">
        <f t="shared" si="1762"/>
        <v>2</v>
      </c>
      <c r="R300" s="11" t="str">
        <f t="shared" si="1763"/>
        <v>29,610</v>
      </c>
      <c r="S300" s="11">
        <f t="shared" si="1764"/>
        <v>4.1558333333333336E-2</v>
      </c>
      <c r="T300" s="14">
        <f t="shared" si="1765"/>
        <v>2417.8062963705634</v>
      </c>
      <c r="U300" s="37">
        <f t="shared" si="1766"/>
        <v>-100</v>
      </c>
      <c r="V300" s="38">
        <f t="shared" ref="V300:W300" si="1924">V299</f>
        <v>21.3</v>
      </c>
      <c r="W300" s="124">
        <f t="shared" si="1924"/>
        <v>1.0960000000000001</v>
      </c>
      <c r="X300" s="124">
        <f t="shared" si="1918"/>
        <v>1.0880000000000001</v>
      </c>
      <c r="Y300" s="41"/>
      <c r="Z300" s="41"/>
      <c r="AA300" s="90">
        <f t="shared" ref="AA300:AB300" si="1925">AA299</f>
        <v>5.01</v>
      </c>
      <c r="AB300" s="73" t="str">
        <f t="shared" si="1925"/>
        <v>11,15,880</v>
      </c>
      <c r="AC300" s="11" t="str">
        <f t="shared" si="1769"/>
        <v>11</v>
      </c>
      <c r="AD300" s="11" t="str">
        <f t="shared" si="1770"/>
        <v>15,880</v>
      </c>
      <c r="AE300" s="11">
        <f t="shared" si="1771"/>
        <v>0.18774444444444444</v>
      </c>
      <c r="AF300" s="14">
        <f t="shared" si="1772"/>
        <v>26.685210392377346</v>
      </c>
      <c r="AG300" s="39">
        <f t="shared" si="1773"/>
        <v>-100</v>
      </c>
      <c r="AH300" s="38">
        <f t="shared" ref="AH300:AJ309" si="1926">AH299</f>
        <v>18.399999999999999</v>
      </c>
      <c r="AI300" s="124">
        <f t="shared" si="1926"/>
        <v>1.0980000000000001</v>
      </c>
      <c r="AJ300" s="124">
        <f t="shared" si="1926"/>
        <v>1.087</v>
      </c>
      <c r="AK300" s="41">
        <f t="shared" si="1774"/>
        <v>0</v>
      </c>
      <c r="AL300" s="41"/>
      <c r="AM300" s="34">
        <f t="shared" ref="AM300:AN300" si="1927">AM299</f>
        <v>2.0049999999999999</v>
      </c>
      <c r="AN300" s="33" t="str">
        <f t="shared" si="1927"/>
        <v>7,19,050</v>
      </c>
      <c r="AO300" s="11" t="str">
        <f t="shared" si="1776"/>
        <v>7,</v>
      </c>
      <c r="AP300" s="11" t="str">
        <f t="shared" si="1777"/>
        <v>19,050</v>
      </c>
      <c r="AQ300" s="11">
        <f t="shared" si="1778"/>
        <v>0.12195833333333334</v>
      </c>
      <c r="AR300" s="14">
        <f t="shared" si="1779"/>
        <v>16.44004099760847</v>
      </c>
      <c r="AS300" s="39">
        <f t="shared" si="1780"/>
        <v>-100</v>
      </c>
      <c r="AT300" s="40" t="str">
        <f t="shared" si="1781"/>
        <v>NO CONFORME</v>
      </c>
      <c r="AU300" s="8" t="b">
        <f t="shared" si="1703"/>
        <v>1</v>
      </c>
      <c r="AV300" s="8" t="b">
        <f t="shared" si="1704"/>
        <v>0</v>
      </c>
      <c r="AW300" s="8" t="b">
        <f t="shared" si="1705"/>
        <v>1</v>
      </c>
      <c r="AX300" s="8" t="str">
        <f t="shared" si="1706"/>
        <v>Qcorrecto</v>
      </c>
      <c r="AY300" s="22" t="str">
        <f t="shared" si="1686"/>
        <v>aceptable</v>
      </c>
      <c r="AZ300" s="22" t="str">
        <f t="shared" si="1687"/>
        <v>aceptable</v>
      </c>
      <c r="BA300" s="22" t="str">
        <f t="shared" si="1707"/>
        <v>aceptable</v>
      </c>
      <c r="BB300" s="25" t="str">
        <f t="shared" si="1708"/>
        <v>NO CONFORME</v>
      </c>
      <c r="BC300" s="5" t="str">
        <f t="shared" si="1709"/>
        <v>NO CONFORME</v>
      </c>
      <c r="BD300" s="15">
        <f t="shared" si="1688"/>
        <v>-1</v>
      </c>
      <c r="BE300" s="15">
        <f t="shared" si="1689"/>
        <v>-1</v>
      </c>
      <c r="BF300" s="15">
        <f t="shared" si="1690"/>
        <v>-1</v>
      </c>
      <c r="BG300" s="15" t="str">
        <f t="shared" si="1691"/>
        <v>-1-1-1</v>
      </c>
      <c r="BH300" s="15" t="str">
        <f t="shared" si="1692"/>
        <v>SD</v>
      </c>
      <c r="BI300" s="15" t="str">
        <f t="shared" si="1693"/>
        <v>SI</v>
      </c>
      <c r="BJ300" s="15" t="b">
        <f t="shared" si="1694"/>
        <v>1</v>
      </c>
      <c r="BK300" s="15" t="str">
        <f t="shared" si="1695"/>
        <v>SIGIGUALES</v>
      </c>
      <c r="BL300" s="22" t="str">
        <f t="shared" si="1696"/>
        <v>NO CONFORME</v>
      </c>
    </row>
    <row r="301" spans="1:64" ht="14.4" x14ac:dyDescent="0.3">
      <c r="A301" s="91">
        <v>293</v>
      </c>
      <c r="B301" s="28">
        <f t="shared" ref="B301:E301" si="1928">B300</f>
        <v>45920</v>
      </c>
      <c r="C301" s="28">
        <f t="shared" si="1928"/>
        <v>45920</v>
      </c>
      <c r="D301" s="12">
        <f t="shared" si="1928"/>
        <v>3</v>
      </c>
      <c r="E301" s="10">
        <f t="shared" si="1928"/>
        <v>8</v>
      </c>
      <c r="F301" s="13"/>
      <c r="G301" s="157"/>
      <c r="H301" s="70">
        <f t="shared" ref="H301:L301" si="1929">H300</f>
        <v>25.6</v>
      </c>
      <c r="I301" s="36">
        <f t="shared" si="1929"/>
        <v>0</v>
      </c>
      <c r="J301" s="35">
        <f t="shared" si="1929"/>
        <v>20.9</v>
      </c>
      <c r="K301" s="122">
        <f t="shared" si="1929"/>
        <v>8.4730000000000008</v>
      </c>
      <c r="L301" s="122">
        <f t="shared" si="1929"/>
        <v>0.52100000000000002</v>
      </c>
      <c r="M301" s="41"/>
      <c r="N301" s="41"/>
      <c r="O301" s="32">
        <f t="shared" ref="O301:P301" si="1930">O300</f>
        <v>100.48</v>
      </c>
      <c r="P301" s="168" t="str">
        <f t="shared" si="1930"/>
        <v>2,29,610</v>
      </c>
      <c r="Q301" s="11" t="str">
        <f t="shared" si="1762"/>
        <v>2</v>
      </c>
      <c r="R301" s="11" t="str">
        <f t="shared" si="1763"/>
        <v>29,610</v>
      </c>
      <c r="S301" s="11">
        <f t="shared" si="1764"/>
        <v>4.1558333333333336E-2</v>
      </c>
      <c r="T301" s="14">
        <f t="shared" si="1765"/>
        <v>2417.8062963705634</v>
      </c>
      <c r="U301" s="37">
        <f t="shared" si="1766"/>
        <v>-100</v>
      </c>
      <c r="V301" s="38">
        <f t="shared" ref="V301:W301" si="1931">V300</f>
        <v>21.3</v>
      </c>
      <c r="W301" s="124">
        <f t="shared" si="1931"/>
        <v>1.0960000000000001</v>
      </c>
      <c r="X301" s="124">
        <f t="shared" si="1918"/>
        <v>1.0880000000000001</v>
      </c>
      <c r="Y301" s="41"/>
      <c r="Z301" s="41"/>
      <c r="AA301" s="90">
        <f t="shared" ref="AA301:AB301" si="1932">AA300</f>
        <v>5.01</v>
      </c>
      <c r="AB301" s="73" t="str">
        <f t="shared" si="1932"/>
        <v>11,15,880</v>
      </c>
      <c r="AC301" s="11" t="str">
        <f t="shared" si="1769"/>
        <v>11</v>
      </c>
      <c r="AD301" s="11" t="str">
        <f t="shared" si="1770"/>
        <v>15,880</v>
      </c>
      <c r="AE301" s="11">
        <f t="shared" si="1771"/>
        <v>0.18774444444444444</v>
      </c>
      <c r="AF301" s="14">
        <f t="shared" si="1772"/>
        <v>26.685210392377346</v>
      </c>
      <c r="AG301" s="39">
        <f t="shared" si="1773"/>
        <v>-100</v>
      </c>
      <c r="AH301" s="38">
        <f t="shared" si="1926"/>
        <v>18.399999999999999</v>
      </c>
      <c r="AI301" s="124">
        <f t="shared" si="1926"/>
        <v>1.0980000000000001</v>
      </c>
      <c r="AJ301" s="124">
        <f t="shared" si="1926"/>
        <v>1.087</v>
      </c>
      <c r="AK301" s="41">
        <f t="shared" si="1774"/>
        <v>0</v>
      </c>
      <c r="AL301" s="41"/>
      <c r="AM301" s="34">
        <f t="shared" ref="AM301:AN301" si="1933">AM300</f>
        <v>2.0049999999999999</v>
      </c>
      <c r="AN301" s="33" t="str">
        <f t="shared" si="1933"/>
        <v>7,19,050</v>
      </c>
      <c r="AO301" s="11" t="str">
        <f t="shared" si="1776"/>
        <v>7,</v>
      </c>
      <c r="AP301" s="11" t="str">
        <f t="shared" si="1777"/>
        <v>19,050</v>
      </c>
      <c r="AQ301" s="11">
        <f t="shared" si="1778"/>
        <v>0.12195833333333334</v>
      </c>
      <c r="AR301" s="14">
        <f t="shared" si="1779"/>
        <v>16.44004099760847</v>
      </c>
      <c r="AS301" s="39">
        <f t="shared" si="1780"/>
        <v>-100</v>
      </c>
      <c r="AT301" s="40" t="str">
        <f t="shared" si="1781"/>
        <v>NO CONFORME</v>
      </c>
      <c r="AU301" s="8" t="b">
        <f t="shared" si="1703"/>
        <v>1</v>
      </c>
      <c r="AV301" s="8" t="b">
        <f t="shared" si="1704"/>
        <v>0</v>
      </c>
      <c r="AW301" s="8" t="b">
        <f t="shared" si="1705"/>
        <v>1</v>
      </c>
      <c r="AX301" s="8" t="str">
        <f t="shared" si="1706"/>
        <v>Qcorrecto</v>
      </c>
      <c r="AY301" s="22" t="str">
        <f t="shared" si="1686"/>
        <v>aceptable</v>
      </c>
      <c r="AZ301" s="22" t="str">
        <f t="shared" si="1687"/>
        <v>aceptable</v>
      </c>
      <c r="BA301" s="22" t="str">
        <f t="shared" si="1707"/>
        <v>aceptable</v>
      </c>
      <c r="BB301" s="25" t="str">
        <f t="shared" si="1708"/>
        <v>NO CONFORME</v>
      </c>
      <c r="BC301" s="5" t="str">
        <f t="shared" si="1709"/>
        <v>NO CONFORME</v>
      </c>
      <c r="BD301" s="15">
        <f t="shared" si="1688"/>
        <v>-1</v>
      </c>
      <c r="BE301" s="15">
        <f t="shared" si="1689"/>
        <v>-1</v>
      </c>
      <c r="BF301" s="15">
        <f t="shared" si="1690"/>
        <v>-1</v>
      </c>
      <c r="BG301" s="15" t="str">
        <f t="shared" si="1691"/>
        <v>-1-1-1</v>
      </c>
      <c r="BH301" s="15" t="str">
        <f t="shared" si="1692"/>
        <v>SD</v>
      </c>
      <c r="BI301" s="15" t="str">
        <f t="shared" si="1693"/>
        <v>SI</v>
      </c>
      <c r="BJ301" s="15" t="b">
        <f t="shared" si="1694"/>
        <v>1</v>
      </c>
      <c r="BK301" s="15" t="str">
        <f t="shared" si="1695"/>
        <v>SIGIGUALES</v>
      </c>
      <c r="BL301" s="22" t="str">
        <f t="shared" si="1696"/>
        <v>NO CONFORME</v>
      </c>
    </row>
    <row r="302" spans="1:64" ht="14.4" x14ac:dyDescent="0.3">
      <c r="A302" s="91">
        <v>294</v>
      </c>
      <c r="B302" s="28">
        <f t="shared" ref="B302:E302" si="1934">B301</f>
        <v>45920</v>
      </c>
      <c r="C302" s="28">
        <f t="shared" si="1934"/>
        <v>45920</v>
      </c>
      <c r="D302" s="12">
        <f t="shared" si="1934"/>
        <v>3</v>
      </c>
      <c r="E302" s="10">
        <f t="shared" si="1934"/>
        <v>8</v>
      </c>
      <c r="F302" s="13"/>
      <c r="G302" s="157"/>
      <c r="H302" s="70">
        <f t="shared" ref="H302:L302" si="1935">H301</f>
        <v>25.6</v>
      </c>
      <c r="I302" s="36">
        <f t="shared" si="1935"/>
        <v>0</v>
      </c>
      <c r="J302" s="35">
        <f t="shared" si="1935"/>
        <v>20.9</v>
      </c>
      <c r="K302" s="122">
        <f t="shared" si="1935"/>
        <v>8.4730000000000008</v>
      </c>
      <c r="L302" s="122">
        <f t="shared" si="1935"/>
        <v>0.52100000000000002</v>
      </c>
      <c r="M302" s="41"/>
      <c r="N302" s="41"/>
      <c r="O302" s="32">
        <f t="shared" ref="O302:P302" si="1936">O301</f>
        <v>100.48</v>
      </c>
      <c r="P302" s="168" t="str">
        <f t="shared" si="1936"/>
        <v>2,29,610</v>
      </c>
      <c r="Q302" s="11" t="str">
        <f t="shared" si="1762"/>
        <v>2</v>
      </c>
      <c r="R302" s="11" t="str">
        <f t="shared" si="1763"/>
        <v>29,610</v>
      </c>
      <c r="S302" s="11">
        <f t="shared" si="1764"/>
        <v>4.1558333333333336E-2</v>
      </c>
      <c r="T302" s="14">
        <f t="shared" si="1765"/>
        <v>2417.8062963705634</v>
      </c>
      <c r="U302" s="37">
        <f t="shared" si="1766"/>
        <v>-100</v>
      </c>
      <c r="V302" s="38">
        <f t="shared" ref="V302:W302" si="1937">V301</f>
        <v>21.3</v>
      </c>
      <c r="W302" s="124">
        <f t="shared" si="1937"/>
        <v>1.0960000000000001</v>
      </c>
      <c r="X302" s="124">
        <f t="shared" si="1918"/>
        <v>1.0880000000000001</v>
      </c>
      <c r="Y302" s="41"/>
      <c r="Z302" s="41"/>
      <c r="AA302" s="90">
        <f t="shared" ref="AA302:AB302" si="1938">AA301</f>
        <v>5.01</v>
      </c>
      <c r="AB302" s="73" t="str">
        <f t="shared" si="1938"/>
        <v>11,15,880</v>
      </c>
      <c r="AC302" s="11" t="str">
        <f t="shared" si="1769"/>
        <v>11</v>
      </c>
      <c r="AD302" s="11" t="str">
        <f t="shared" si="1770"/>
        <v>15,880</v>
      </c>
      <c r="AE302" s="11">
        <f t="shared" si="1771"/>
        <v>0.18774444444444444</v>
      </c>
      <c r="AF302" s="14">
        <f t="shared" si="1772"/>
        <v>26.685210392377346</v>
      </c>
      <c r="AG302" s="39">
        <f t="shared" si="1773"/>
        <v>-100</v>
      </c>
      <c r="AH302" s="38">
        <f t="shared" si="1926"/>
        <v>18.399999999999999</v>
      </c>
      <c r="AI302" s="124">
        <f t="shared" si="1926"/>
        <v>1.0980000000000001</v>
      </c>
      <c r="AJ302" s="124">
        <f t="shared" si="1926"/>
        <v>1.087</v>
      </c>
      <c r="AK302" s="41">
        <f t="shared" si="1774"/>
        <v>0</v>
      </c>
      <c r="AL302" s="41"/>
      <c r="AM302" s="34">
        <f t="shared" ref="AM302:AN302" si="1939">AM301</f>
        <v>2.0049999999999999</v>
      </c>
      <c r="AN302" s="33" t="str">
        <f t="shared" si="1939"/>
        <v>7,19,050</v>
      </c>
      <c r="AO302" s="11" t="str">
        <f t="shared" si="1776"/>
        <v>7,</v>
      </c>
      <c r="AP302" s="11" t="str">
        <f t="shared" si="1777"/>
        <v>19,050</v>
      </c>
      <c r="AQ302" s="11">
        <f t="shared" si="1778"/>
        <v>0.12195833333333334</v>
      </c>
      <c r="AR302" s="14">
        <f t="shared" si="1779"/>
        <v>16.44004099760847</v>
      </c>
      <c r="AS302" s="39">
        <f t="shared" si="1780"/>
        <v>-100</v>
      </c>
      <c r="AT302" s="40" t="str">
        <f t="shared" si="1781"/>
        <v>NO CONFORME</v>
      </c>
      <c r="AU302" s="8" t="b">
        <f t="shared" si="1703"/>
        <v>1</v>
      </c>
      <c r="AV302" s="8" t="b">
        <f t="shared" si="1704"/>
        <v>0</v>
      </c>
      <c r="AW302" s="8" t="b">
        <f t="shared" si="1705"/>
        <v>1</v>
      </c>
      <c r="AX302" s="8" t="str">
        <f t="shared" si="1706"/>
        <v>Qcorrecto</v>
      </c>
      <c r="AY302" s="22" t="str">
        <f t="shared" si="1686"/>
        <v>aceptable</v>
      </c>
      <c r="AZ302" s="22" t="str">
        <f t="shared" si="1687"/>
        <v>aceptable</v>
      </c>
      <c r="BA302" s="22" t="str">
        <f t="shared" si="1707"/>
        <v>aceptable</v>
      </c>
      <c r="BB302" s="25" t="str">
        <f t="shared" si="1708"/>
        <v>NO CONFORME</v>
      </c>
      <c r="BC302" s="5" t="str">
        <f t="shared" si="1709"/>
        <v>NO CONFORME</v>
      </c>
      <c r="BD302" s="15">
        <f t="shared" si="1688"/>
        <v>-1</v>
      </c>
      <c r="BE302" s="15">
        <f t="shared" si="1689"/>
        <v>-1</v>
      </c>
      <c r="BF302" s="15">
        <f t="shared" si="1690"/>
        <v>-1</v>
      </c>
      <c r="BG302" s="15" t="str">
        <f t="shared" si="1691"/>
        <v>-1-1-1</v>
      </c>
      <c r="BH302" s="15" t="str">
        <f t="shared" si="1692"/>
        <v>SD</v>
      </c>
      <c r="BI302" s="15" t="str">
        <f t="shared" si="1693"/>
        <v>SI</v>
      </c>
      <c r="BJ302" s="15" t="b">
        <f t="shared" si="1694"/>
        <v>1</v>
      </c>
      <c r="BK302" s="15" t="str">
        <f t="shared" si="1695"/>
        <v>SIGIGUALES</v>
      </c>
      <c r="BL302" s="22" t="str">
        <f t="shared" si="1696"/>
        <v>NO CONFORME</v>
      </c>
    </row>
    <row r="303" spans="1:64" ht="14.4" x14ac:dyDescent="0.3">
      <c r="A303" s="91">
        <v>295</v>
      </c>
      <c r="B303" s="28">
        <f t="shared" ref="B303:E303" si="1940">B302</f>
        <v>45920</v>
      </c>
      <c r="C303" s="28">
        <f t="shared" si="1940"/>
        <v>45920</v>
      </c>
      <c r="D303" s="12">
        <f t="shared" si="1940"/>
        <v>3</v>
      </c>
      <c r="E303" s="10">
        <f t="shared" si="1940"/>
        <v>8</v>
      </c>
      <c r="F303" s="13"/>
      <c r="G303" s="157"/>
      <c r="H303" s="70">
        <f t="shared" ref="H303:L303" si="1941">H302</f>
        <v>25.6</v>
      </c>
      <c r="I303" s="36">
        <f t="shared" si="1941"/>
        <v>0</v>
      </c>
      <c r="J303" s="35">
        <f t="shared" si="1941"/>
        <v>20.9</v>
      </c>
      <c r="K303" s="122">
        <f t="shared" si="1941"/>
        <v>8.4730000000000008</v>
      </c>
      <c r="L303" s="122">
        <f t="shared" si="1941"/>
        <v>0.52100000000000002</v>
      </c>
      <c r="M303" s="41"/>
      <c r="N303" s="41"/>
      <c r="O303" s="32">
        <f t="shared" ref="O303:P303" si="1942">O302</f>
        <v>100.48</v>
      </c>
      <c r="P303" s="168" t="str">
        <f t="shared" si="1942"/>
        <v>2,29,610</v>
      </c>
      <c r="Q303" s="11" t="str">
        <f t="shared" si="1762"/>
        <v>2</v>
      </c>
      <c r="R303" s="11" t="str">
        <f t="shared" si="1763"/>
        <v>29,610</v>
      </c>
      <c r="S303" s="11">
        <f t="shared" si="1764"/>
        <v>4.1558333333333336E-2</v>
      </c>
      <c r="T303" s="14">
        <f t="shared" si="1765"/>
        <v>2417.8062963705634</v>
      </c>
      <c r="U303" s="37">
        <f t="shared" si="1766"/>
        <v>-100</v>
      </c>
      <c r="V303" s="38">
        <f t="shared" ref="V303:W303" si="1943">V302</f>
        <v>21.3</v>
      </c>
      <c r="W303" s="124">
        <f t="shared" si="1943"/>
        <v>1.0960000000000001</v>
      </c>
      <c r="X303" s="124">
        <f t="shared" si="1918"/>
        <v>1.0880000000000001</v>
      </c>
      <c r="Y303" s="41"/>
      <c r="Z303" s="41"/>
      <c r="AA303" s="90">
        <f t="shared" ref="AA303:AB303" si="1944">AA302</f>
        <v>5.01</v>
      </c>
      <c r="AB303" s="73" t="str">
        <f t="shared" si="1944"/>
        <v>11,15,880</v>
      </c>
      <c r="AC303" s="11" t="str">
        <f t="shared" si="1769"/>
        <v>11</v>
      </c>
      <c r="AD303" s="11" t="str">
        <f t="shared" si="1770"/>
        <v>15,880</v>
      </c>
      <c r="AE303" s="11">
        <f t="shared" si="1771"/>
        <v>0.18774444444444444</v>
      </c>
      <c r="AF303" s="14">
        <f t="shared" si="1772"/>
        <v>26.685210392377346</v>
      </c>
      <c r="AG303" s="39">
        <f t="shared" si="1773"/>
        <v>-100</v>
      </c>
      <c r="AH303" s="38">
        <f t="shared" si="1926"/>
        <v>18.399999999999999</v>
      </c>
      <c r="AI303" s="124">
        <f t="shared" si="1926"/>
        <v>1.0980000000000001</v>
      </c>
      <c r="AJ303" s="124">
        <f t="shared" si="1926"/>
        <v>1.087</v>
      </c>
      <c r="AK303" s="41">
        <f t="shared" si="1774"/>
        <v>0</v>
      </c>
      <c r="AL303" s="41"/>
      <c r="AM303" s="34">
        <f t="shared" ref="AM303:AN303" si="1945">AM302</f>
        <v>2.0049999999999999</v>
      </c>
      <c r="AN303" s="33" t="str">
        <f t="shared" si="1945"/>
        <v>7,19,050</v>
      </c>
      <c r="AO303" s="11" t="str">
        <f t="shared" si="1776"/>
        <v>7,</v>
      </c>
      <c r="AP303" s="11" t="str">
        <f t="shared" si="1777"/>
        <v>19,050</v>
      </c>
      <c r="AQ303" s="11">
        <f t="shared" si="1778"/>
        <v>0.12195833333333334</v>
      </c>
      <c r="AR303" s="14">
        <f t="shared" si="1779"/>
        <v>16.44004099760847</v>
      </c>
      <c r="AS303" s="39">
        <f t="shared" si="1780"/>
        <v>-100</v>
      </c>
      <c r="AT303" s="40" t="str">
        <f t="shared" si="1781"/>
        <v>NO CONFORME</v>
      </c>
      <c r="AU303" s="8" t="b">
        <f t="shared" si="1703"/>
        <v>1</v>
      </c>
      <c r="AV303" s="8" t="b">
        <f t="shared" si="1704"/>
        <v>0</v>
      </c>
      <c r="AW303" s="8" t="b">
        <f t="shared" si="1705"/>
        <v>1</v>
      </c>
      <c r="AX303" s="8" t="str">
        <f t="shared" si="1706"/>
        <v>Qcorrecto</v>
      </c>
      <c r="AY303" s="22" t="str">
        <f t="shared" si="1686"/>
        <v>aceptable</v>
      </c>
      <c r="AZ303" s="22" t="str">
        <f t="shared" si="1687"/>
        <v>aceptable</v>
      </c>
      <c r="BA303" s="22" t="str">
        <f t="shared" si="1707"/>
        <v>aceptable</v>
      </c>
      <c r="BB303" s="25" t="str">
        <f t="shared" si="1708"/>
        <v>NO CONFORME</v>
      </c>
      <c r="BC303" s="5" t="str">
        <f t="shared" si="1709"/>
        <v>NO CONFORME</v>
      </c>
      <c r="BD303" s="15">
        <f t="shared" si="1688"/>
        <v>-1</v>
      </c>
      <c r="BE303" s="15">
        <f t="shared" si="1689"/>
        <v>-1</v>
      </c>
      <c r="BF303" s="15">
        <f t="shared" si="1690"/>
        <v>-1</v>
      </c>
      <c r="BG303" s="15" t="str">
        <f t="shared" si="1691"/>
        <v>-1-1-1</v>
      </c>
      <c r="BH303" s="15" t="str">
        <f t="shared" si="1692"/>
        <v>SD</v>
      </c>
      <c r="BI303" s="15" t="str">
        <f t="shared" si="1693"/>
        <v>SI</v>
      </c>
      <c r="BJ303" s="15" t="b">
        <f t="shared" si="1694"/>
        <v>1</v>
      </c>
      <c r="BK303" s="15" t="str">
        <f t="shared" si="1695"/>
        <v>SIGIGUALES</v>
      </c>
      <c r="BL303" s="22" t="str">
        <f t="shared" si="1696"/>
        <v>NO CONFORME</v>
      </c>
    </row>
    <row r="304" spans="1:64" ht="14.4" x14ac:dyDescent="0.3">
      <c r="A304" s="91">
        <v>296</v>
      </c>
      <c r="B304" s="28">
        <f t="shared" ref="B304:E304" si="1946">B303</f>
        <v>45920</v>
      </c>
      <c r="C304" s="28">
        <f t="shared" si="1946"/>
        <v>45920</v>
      </c>
      <c r="D304" s="12">
        <f t="shared" si="1946"/>
        <v>3</v>
      </c>
      <c r="E304" s="10">
        <f t="shared" si="1946"/>
        <v>8</v>
      </c>
      <c r="F304" s="13"/>
      <c r="G304" s="157"/>
      <c r="H304" s="70">
        <f t="shared" ref="H304:L304" si="1947">H303</f>
        <v>25.6</v>
      </c>
      <c r="I304" s="36">
        <f t="shared" si="1947"/>
        <v>0</v>
      </c>
      <c r="J304" s="35">
        <f t="shared" si="1947"/>
        <v>20.9</v>
      </c>
      <c r="K304" s="122">
        <f t="shared" si="1947"/>
        <v>8.4730000000000008</v>
      </c>
      <c r="L304" s="122">
        <f t="shared" si="1947"/>
        <v>0.52100000000000002</v>
      </c>
      <c r="M304" s="41"/>
      <c r="N304" s="41"/>
      <c r="O304" s="32">
        <f t="shared" ref="O304:P304" si="1948">O303</f>
        <v>100.48</v>
      </c>
      <c r="P304" s="168" t="str">
        <f t="shared" si="1948"/>
        <v>2,29,610</v>
      </c>
      <c r="Q304" s="11" t="str">
        <f t="shared" si="1762"/>
        <v>2</v>
      </c>
      <c r="R304" s="11" t="str">
        <f t="shared" si="1763"/>
        <v>29,610</v>
      </c>
      <c r="S304" s="11">
        <f t="shared" si="1764"/>
        <v>4.1558333333333336E-2</v>
      </c>
      <c r="T304" s="14">
        <f t="shared" si="1765"/>
        <v>2417.8062963705634</v>
      </c>
      <c r="U304" s="37">
        <f t="shared" si="1766"/>
        <v>-100</v>
      </c>
      <c r="V304" s="38">
        <f t="shared" ref="V304:W304" si="1949">V303</f>
        <v>21.3</v>
      </c>
      <c r="W304" s="124">
        <f t="shared" si="1949"/>
        <v>1.0960000000000001</v>
      </c>
      <c r="X304" s="124">
        <f t="shared" si="1918"/>
        <v>1.0880000000000001</v>
      </c>
      <c r="Y304" s="41"/>
      <c r="Z304" s="41"/>
      <c r="AA304" s="90">
        <f t="shared" ref="AA304:AB304" si="1950">AA303</f>
        <v>5.01</v>
      </c>
      <c r="AB304" s="73" t="str">
        <f t="shared" si="1950"/>
        <v>11,15,880</v>
      </c>
      <c r="AC304" s="11" t="str">
        <f t="shared" si="1769"/>
        <v>11</v>
      </c>
      <c r="AD304" s="11" t="str">
        <f t="shared" si="1770"/>
        <v>15,880</v>
      </c>
      <c r="AE304" s="11">
        <f t="shared" si="1771"/>
        <v>0.18774444444444444</v>
      </c>
      <c r="AF304" s="14">
        <f t="shared" si="1772"/>
        <v>26.685210392377346</v>
      </c>
      <c r="AG304" s="39">
        <f t="shared" si="1773"/>
        <v>-100</v>
      </c>
      <c r="AH304" s="38">
        <f t="shared" si="1926"/>
        <v>18.399999999999999</v>
      </c>
      <c r="AI304" s="124">
        <f t="shared" si="1926"/>
        <v>1.0980000000000001</v>
      </c>
      <c r="AJ304" s="124">
        <f t="shared" si="1926"/>
        <v>1.087</v>
      </c>
      <c r="AK304" s="41">
        <f t="shared" si="1774"/>
        <v>0</v>
      </c>
      <c r="AL304" s="41"/>
      <c r="AM304" s="34">
        <f t="shared" ref="AM304:AN304" si="1951">AM303</f>
        <v>2.0049999999999999</v>
      </c>
      <c r="AN304" s="33" t="str">
        <f t="shared" si="1951"/>
        <v>7,19,050</v>
      </c>
      <c r="AO304" s="11" t="str">
        <f t="shared" si="1776"/>
        <v>7,</v>
      </c>
      <c r="AP304" s="11" t="str">
        <f t="shared" si="1777"/>
        <v>19,050</v>
      </c>
      <c r="AQ304" s="11">
        <f t="shared" si="1778"/>
        <v>0.12195833333333334</v>
      </c>
      <c r="AR304" s="14">
        <f t="shared" si="1779"/>
        <v>16.44004099760847</v>
      </c>
      <c r="AS304" s="39">
        <f t="shared" si="1780"/>
        <v>-100</v>
      </c>
      <c r="AT304" s="40" t="str">
        <f t="shared" si="1781"/>
        <v>NO CONFORME</v>
      </c>
      <c r="AU304" s="8" t="b">
        <f t="shared" si="1703"/>
        <v>1</v>
      </c>
      <c r="AV304" s="8" t="b">
        <f t="shared" si="1704"/>
        <v>0</v>
      </c>
      <c r="AW304" s="8" t="b">
        <f t="shared" si="1705"/>
        <v>1</v>
      </c>
      <c r="AX304" s="8" t="str">
        <f t="shared" si="1706"/>
        <v>Qcorrecto</v>
      </c>
      <c r="AY304" s="22" t="str">
        <f t="shared" si="1686"/>
        <v>aceptable</v>
      </c>
      <c r="AZ304" s="22" t="str">
        <f t="shared" si="1687"/>
        <v>aceptable</v>
      </c>
      <c r="BA304" s="22" t="str">
        <f t="shared" si="1707"/>
        <v>aceptable</v>
      </c>
      <c r="BB304" s="25" t="str">
        <f t="shared" si="1708"/>
        <v>NO CONFORME</v>
      </c>
      <c r="BC304" s="5" t="str">
        <f t="shared" si="1709"/>
        <v>NO CONFORME</v>
      </c>
      <c r="BD304" s="15">
        <f t="shared" si="1688"/>
        <v>-1</v>
      </c>
      <c r="BE304" s="15">
        <f t="shared" si="1689"/>
        <v>-1</v>
      </c>
      <c r="BF304" s="15">
        <f t="shared" si="1690"/>
        <v>-1</v>
      </c>
      <c r="BG304" s="15" t="str">
        <f t="shared" si="1691"/>
        <v>-1-1-1</v>
      </c>
      <c r="BH304" s="15" t="str">
        <f t="shared" si="1692"/>
        <v>SD</v>
      </c>
      <c r="BI304" s="15" t="str">
        <f t="shared" si="1693"/>
        <v>SI</v>
      </c>
      <c r="BJ304" s="15" t="b">
        <f t="shared" si="1694"/>
        <v>1</v>
      </c>
      <c r="BK304" s="15" t="str">
        <f t="shared" si="1695"/>
        <v>SIGIGUALES</v>
      </c>
      <c r="BL304" s="22" t="str">
        <f t="shared" si="1696"/>
        <v>NO CONFORME</v>
      </c>
    </row>
    <row r="305" spans="1:64" ht="14.4" x14ac:dyDescent="0.3">
      <c r="A305" s="91">
        <v>297</v>
      </c>
      <c r="B305" s="28">
        <f t="shared" ref="B305:E305" si="1952">B304</f>
        <v>45920</v>
      </c>
      <c r="C305" s="28">
        <f t="shared" si="1952"/>
        <v>45920</v>
      </c>
      <c r="D305" s="12">
        <f t="shared" si="1952"/>
        <v>3</v>
      </c>
      <c r="E305" s="10">
        <f t="shared" si="1952"/>
        <v>8</v>
      </c>
      <c r="F305" s="13"/>
      <c r="G305" s="157"/>
      <c r="H305" s="70">
        <f t="shared" ref="H305:L305" si="1953">H304</f>
        <v>25.6</v>
      </c>
      <c r="I305" s="36">
        <f t="shared" si="1953"/>
        <v>0</v>
      </c>
      <c r="J305" s="35">
        <f t="shared" si="1953"/>
        <v>20.9</v>
      </c>
      <c r="K305" s="122">
        <f t="shared" si="1953"/>
        <v>8.4730000000000008</v>
      </c>
      <c r="L305" s="122">
        <f t="shared" si="1953"/>
        <v>0.52100000000000002</v>
      </c>
      <c r="M305" s="41"/>
      <c r="N305" s="41"/>
      <c r="O305" s="32">
        <f t="shared" ref="O305:P305" si="1954">O304</f>
        <v>100.48</v>
      </c>
      <c r="P305" s="168" t="str">
        <f t="shared" si="1954"/>
        <v>2,29,610</v>
      </c>
      <c r="Q305" s="11" t="str">
        <f t="shared" si="1762"/>
        <v>2</v>
      </c>
      <c r="R305" s="11" t="str">
        <f t="shared" si="1763"/>
        <v>29,610</v>
      </c>
      <c r="S305" s="11">
        <f t="shared" si="1764"/>
        <v>4.1558333333333336E-2</v>
      </c>
      <c r="T305" s="14">
        <f t="shared" si="1765"/>
        <v>2417.8062963705634</v>
      </c>
      <c r="U305" s="37">
        <f t="shared" si="1766"/>
        <v>-100</v>
      </c>
      <c r="V305" s="38">
        <f t="shared" ref="V305:W305" si="1955">V304</f>
        <v>21.3</v>
      </c>
      <c r="W305" s="124">
        <f t="shared" si="1955"/>
        <v>1.0960000000000001</v>
      </c>
      <c r="X305" s="124">
        <f t="shared" si="1918"/>
        <v>1.0880000000000001</v>
      </c>
      <c r="Y305" s="41"/>
      <c r="Z305" s="41"/>
      <c r="AA305" s="90">
        <f t="shared" ref="AA305:AB305" si="1956">AA304</f>
        <v>5.01</v>
      </c>
      <c r="AB305" s="73" t="str">
        <f t="shared" si="1956"/>
        <v>11,15,880</v>
      </c>
      <c r="AC305" s="11" t="str">
        <f t="shared" si="1769"/>
        <v>11</v>
      </c>
      <c r="AD305" s="11" t="str">
        <f t="shared" si="1770"/>
        <v>15,880</v>
      </c>
      <c r="AE305" s="11">
        <f t="shared" si="1771"/>
        <v>0.18774444444444444</v>
      </c>
      <c r="AF305" s="14">
        <f t="shared" si="1772"/>
        <v>26.685210392377346</v>
      </c>
      <c r="AG305" s="39">
        <f t="shared" si="1773"/>
        <v>-100</v>
      </c>
      <c r="AH305" s="38">
        <f t="shared" si="1926"/>
        <v>18.399999999999999</v>
      </c>
      <c r="AI305" s="124">
        <f t="shared" si="1926"/>
        <v>1.0980000000000001</v>
      </c>
      <c r="AJ305" s="124">
        <f t="shared" si="1926"/>
        <v>1.087</v>
      </c>
      <c r="AK305" s="41">
        <f t="shared" si="1774"/>
        <v>0</v>
      </c>
      <c r="AL305" s="41"/>
      <c r="AM305" s="34">
        <f t="shared" ref="AM305:AN305" si="1957">AM304</f>
        <v>2.0049999999999999</v>
      </c>
      <c r="AN305" s="33" t="str">
        <f t="shared" si="1957"/>
        <v>7,19,050</v>
      </c>
      <c r="AO305" s="11" t="str">
        <f t="shared" si="1776"/>
        <v>7,</v>
      </c>
      <c r="AP305" s="11" t="str">
        <f t="shared" si="1777"/>
        <v>19,050</v>
      </c>
      <c r="AQ305" s="11">
        <f t="shared" si="1778"/>
        <v>0.12195833333333334</v>
      </c>
      <c r="AR305" s="14">
        <f t="shared" si="1779"/>
        <v>16.44004099760847</v>
      </c>
      <c r="AS305" s="39">
        <f t="shared" si="1780"/>
        <v>-100</v>
      </c>
      <c r="AT305" s="40" t="str">
        <f t="shared" si="1781"/>
        <v>NO CONFORME</v>
      </c>
      <c r="AU305" s="8" t="b">
        <f t="shared" si="1703"/>
        <v>1</v>
      </c>
      <c r="AV305" s="8" t="b">
        <f t="shared" si="1704"/>
        <v>0</v>
      </c>
      <c r="AW305" s="8" t="b">
        <f t="shared" si="1705"/>
        <v>1</v>
      </c>
      <c r="AX305" s="8" t="str">
        <f t="shared" si="1706"/>
        <v>Qcorrecto</v>
      </c>
      <c r="AY305" s="22" t="str">
        <f t="shared" si="1686"/>
        <v>aceptable</v>
      </c>
      <c r="AZ305" s="22" t="str">
        <f t="shared" si="1687"/>
        <v>aceptable</v>
      </c>
      <c r="BA305" s="22" t="str">
        <f t="shared" si="1707"/>
        <v>aceptable</v>
      </c>
      <c r="BB305" s="25" t="str">
        <f t="shared" si="1708"/>
        <v>NO CONFORME</v>
      </c>
      <c r="BC305" s="5" t="str">
        <f t="shared" si="1709"/>
        <v>NO CONFORME</v>
      </c>
      <c r="BD305" s="15">
        <f t="shared" si="1688"/>
        <v>-1</v>
      </c>
      <c r="BE305" s="15">
        <f t="shared" si="1689"/>
        <v>-1</v>
      </c>
      <c r="BF305" s="15">
        <f t="shared" si="1690"/>
        <v>-1</v>
      </c>
      <c r="BG305" s="15" t="str">
        <f t="shared" si="1691"/>
        <v>-1-1-1</v>
      </c>
      <c r="BH305" s="15" t="str">
        <f t="shared" si="1692"/>
        <v>SD</v>
      </c>
      <c r="BI305" s="15" t="str">
        <f t="shared" si="1693"/>
        <v>SI</v>
      </c>
      <c r="BJ305" s="15" t="b">
        <f t="shared" si="1694"/>
        <v>1</v>
      </c>
      <c r="BK305" s="15" t="str">
        <f t="shared" si="1695"/>
        <v>SIGIGUALES</v>
      </c>
      <c r="BL305" s="22" t="str">
        <f t="shared" si="1696"/>
        <v>NO CONFORME</v>
      </c>
    </row>
    <row r="306" spans="1:64" ht="14.4" x14ac:dyDescent="0.3">
      <c r="A306" s="91">
        <v>298</v>
      </c>
      <c r="B306" s="28">
        <f t="shared" ref="B306:E306" si="1958">B305</f>
        <v>45920</v>
      </c>
      <c r="C306" s="28">
        <f t="shared" si="1958"/>
        <v>45920</v>
      </c>
      <c r="D306" s="12">
        <f t="shared" si="1958"/>
        <v>3</v>
      </c>
      <c r="E306" s="10">
        <f t="shared" si="1958"/>
        <v>8</v>
      </c>
      <c r="F306" s="13"/>
      <c r="G306" s="157"/>
      <c r="H306" s="70">
        <f t="shared" ref="H306:L306" si="1959">H305</f>
        <v>25.6</v>
      </c>
      <c r="I306" s="36">
        <f t="shared" si="1959"/>
        <v>0</v>
      </c>
      <c r="J306" s="35">
        <f t="shared" si="1959"/>
        <v>20.9</v>
      </c>
      <c r="K306" s="122">
        <f t="shared" si="1959"/>
        <v>8.4730000000000008</v>
      </c>
      <c r="L306" s="122">
        <f t="shared" si="1959"/>
        <v>0.52100000000000002</v>
      </c>
      <c r="M306" s="41"/>
      <c r="N306" s="41"/>
      <c r="O306" s="32">
        <f t="shared" ref="O306:P306" si="1960">O305</f>
        <v>100.48</v>
      </c>
      <c r="P306" s="168" t="str">
        <f t="shared" si="1960"/>
        <v>2,29,610</v>
      </c>
      <c r="Q306" s="11" t="str">
        <f t="shared" si="1762"/>
        <v>2</v>
      </c>
      <c r="R306" s="11" t="str">
        <f t="shared" si="1763"/>
        <v>29,610</v>
      </c>
      <c r="S306" s="11">
        <f t="shared" si="1764"/>
        <v>4.1558333333333336E-2</v>
      </c>
      <c r="T306" s="14">
        <f t="shared" si="1765"/>
        <v>2417.8062963705634</v>
      </c>
      <c r="U306" s="37">
        <f t="shared" si="1766"/>
        <v>-100</v>
      </c>
      <c r="V306" s="38">
        <f t="shared" ref="V306:W306" si="1961">V305</f>
        <v>21.3</v>
      </c>
      <c r="W306" s="124">
        <f t="shared" si="1961"/>
        <v>1.0960000000000001</v>
      </c>
      <c r="X306" s="124">
        <f t="shared" si="1918"/>
        <v>1.0880000000000001</v>
      </c>
      <c r="Y306" s="41"/>
      <c r="Z306" s="41"/>
      <c r="AA306" s="90">
        <f t="shared" ref="AA306:AB306" si="1962">AA305</f>
        <v>5.01</v>
      </c>
      <c r="AB306" s="73" t="str">
        <f t="shared" si="1962"/>
        <v>11,15,880</v>
      </c>
      <c r="AC306" s="11" t="str">
        <f t="shared" si="1769"/>
        <v>11</v>
      </c>
      <c r="AD306" s="11" t="str">
        <f t="shared" si="1770"/>
        <v>15,880</v>
      </c>
      <c r="AE306" s="11">
        <f t="shared" si="1771"/>
        <v>0.18774444444444444</v>
      </c>
      <c r="AF306" s="14">
        <f t="shared" si="1772"/>
        <v>26.685210392377346</v>
      </c>
      <c r="AG306" s="39">
        <f t="shared" si="1773"/>
        <v>-100</v>
      </c>
      <c r="AH306" s="38">
        <f t="shared" si="1926"/>
        <v>18.399999999999999</v>
      </c>
      <c r="AI306" s="124">
        <f t="shared" si="1926"/>
        <v>1.0980000000000001</v>
      </c>
      <c r="AJ306" s="124">
        <f t="shared" si="1926"/>
        <v>1.087</v>
      </c>
      <c r="AK306" s="41">
        <f t="shared" si="1774"/>
        <v>0</v>
      </c>
      <c r="AL306" s="41"/>
      <c r="AM306" s="34">
        <f t="shared" ref="AM306:AN306" si="1963">AM305</f>
        <v>2.0049999999999999</v>
      </c>
      <c r="AN306" s="33" t="str">
        <f t="shared" si="1963"/>
        <v>7,19,050</v>
      </c>
      <c r="AO306" s="11" t="str">
        <f t="shared" si="1776"/>
        <v>7,</v>
      </c>
      <c r="AP306" s="11" t="str">
        <f t="shared" si="1777"/>
        <v>19,050</v>
      </c>
      <c r="AQ306" s="11">
        <f t="shared" si="1778"/>
        <v>0.12195833333333334</v>
      </c>
      <c r="AR306" s="14">
        <f t="shared" si="1779"/>
        <v>16.44004099760847</v>
      </c>
      <c r="AS306" s="39">
        <f t="shared" si="1780"/>
        <v>-100</v>
      </c>
      <c r="AT306" s="40" t="str">
        <f t="shared" si="1781"/>
        <v>NO CONFORME</v>
      </c>
      <c r="AU306" s="8" t="b">
        <f t="shared" si="1703"/>
        <v>1</v>
      </c>
      <c r="AV306" s="8" t="b">
        <f t="shared" si="1704"/>
        <v>0</v>
      </c>
      <c r="AW306" s="8" t="b">
        <f t="shared" si="1705"/>
        <v>1</v>
      </c>
      <c r="AX306" s="8" t="str">
        <f t="shared" si="1706"/>
        <v>Qcorrecto</v>
      </c>
      <c r="AY306" s="22" t="str">
        <f t="shared" si="1686"/>
        <v>aceptable</v>
      </c>
      <c r="AZ306" s="22" t="str">
        <f t="shared" si="1687"/>
        <v>aceptable</v>
      </c>
      <c r="BA306" s="22" t="str">
        <f t="shared" si="1707"/>
        <v>aceptable</v>
      </c>
      <c r="BB306" s="25" t="str">
        <f t="shared" si="1708"/>
        <v>NO CONFORME</v>
      </c>
      <c r="BC306" s="5" t="str">
        <f t="shared" si="1709"/>
        <v>NO CONFORME</v>
      </c>
      <c r="BD306" s="15">
        <f t="shared" si="1688"/>
        <v>-1</v>
      </c>
      <c r="BE306" s="15">
        <f t="shared" si="1689"/>
        <v>-1</v>
      </c>
      <c r="BF306" s="15">
        <f t="shared" si="1690"/>
        <v>-1</v>
      </c>
      <c r="BG306" s="15" t="str">
        <f t="shared" si="1691"/>
        <v>-1-1-1</v>
      </c>
      <c r="BH306" s="15" t="str">
        <f t="shared" si="1692"/>
        <v>SD</v>
      </c>
      <c r="BI306" s="15" t="str">
        <f t="shared" si="1693"/>
        <v>SI</v>
      </c>
      <c r="BJ306" s="15" t="b">
        <f t="shared" si="1694"/>
        <v>1</v>
      </c>
      <c r="BK306" s="15" t="str">
        <f t="shared" si="1695"/>
        <v>SIGIGUALES</v>
      </c>
      <c r="BL306" s="22" t="str">
        <f t="shared" si="1696"/>
        <v>NO CONFORME</v>
      </c>
    </row>
    <row r="307" spans="1:64" ht="14.4" x14ac:dyDescent="0.3">
      <c r="A307" s="91">
        <v>299</v>
      </c>
      <c r="B307" s="28">
        <f t="shared" ref="B307:E307" si="1964">B306</f>
        <v>45920</v>
      </c>
      <c r="C307" s="28">
        <f t="shared" si="1964"/>
        <v>45920</v>
      </c>
      <c r="D307" s="12">
        <f t="shared" si="1964"/>
        <v>3</v>
      </c>
      <c r="E307" s="10">
        <f t="shared" si="1964"/>
        <v>8</v>
      </c>
      <c r="F307" s="13"/>
      <c r="G307" s="157"/>
      <c r="H307" s="70">
        <f t="shared" ref="H307:L307" si="1965">H306</f>
        <v>25.6</v>
      </c>
      <c r="I307" s="36">
        <f t="shared" si="1965"/>
        <v>0</v>
      </c>
      <c r="J307" s="35">
        <f t="shared" si="1965"/>
        <v>20.9</v>
      </c>
      <c r="K307" s="122">
        <f t="shared" si="1965"/>
        <v>8.4730000000000008</v>
      </c>
      <c r="L307" s="122">
        <f t="shared" si="1965"/>
        <v>0.52100000000000002</v>
      </c>
      <c r="M307" s="41"/>
      <c r="N307" s="41"/>
      <c r="O307" s="32">
        <f t="shared" ref="O307:P307" si="1966">O306</f>
        <v>100.48</v>
      </c>
      <c r="P307" s="168" t="str">
        <f t="shared" si="1966"/>
        <v>2,29,610</v>
      </c>
      <c r="Q307" s="11" t="str">
        <f t="shared" si="1762"/>
        <v>2</v>
      </c>
      <c r="R307" s="11" t="str">
        <f t="shared" si="1763"/>
        <v>29,610</v>
      </c>
      <c r="S307" s="11">
        <f t="shared" si="1764"/>
        <v>4.1558333333333336E-2</v>
      </c>
      <c r="T307" s="14">
        <f t="shared" si="1765"/>
        <v>2417.8062963705634</v>
      </c>
      <c r="U307" s="37">
        <f t="shared" si="1766"/>
        <v>-100</v>
      </c>
      <c r="V307" s="38">
        <f t="shared" ref="V307:W307" si="1967">V306</f>
        <v>21.3</v>
      </c>
      <c r="W307" s="124">
        <f t="shared" si="1967"/>
        <v>1.0960000000000001</v>
      </c>
      <c r="X307" s="124">
        <f t="shared" si="1918"/>
        <v>1.0880000000000001</v>
      </c>
      <c r="Y307" s="41"/>
      <c r="Z307" s="41"/>
      <c r="AA307" s="90">
        <f t="shared" ref="AA307:AB307" si="1968">AA306</f>
        <v>5.01</v>
      </c>
      <c r="AB307" s="73" t="str">
        <f t="shared" si="1968"/>
        <v>11,15,880</v>
      </c>
      <c r="AC307" s="11" t="str">
        <f t="shared" si="1769"/>
        <v>11</v>
      </c>
      <c r="AD307" s="11" t="str">
        <f t="shared" si="1770"/>
        <v>15,880</v>
      </c>
      <c r="AE307" s="11">
        <f t="shared" si="1771"/>
        <v>0.18774444444444444</v>
      </c>
      <c r="AF307" s="14">
        <f t="shared" si="1772"/>
        <v>26.685210392377346</v>
      </c>
      <c r="AG307" s="39">
        <f t="shared" si="1773"/>
        <v>-100</v>
      </c>
      <c r="AH307" s="38">
        <f t="shared" si="1926"/>
        <v>18.399999999999999</v>
      </c>
      <c r="AI307" s="124">
        <f t="shared" si="1926"/>
        <v>1.0980000000000001</v>
      </c>
      <c r="AJ307" s="124">
        <f t="shared" si="1926"/>
        <v>1.087</v>
      </c>
      <c r="AK307" s="41">
        <f t="shared" si="1774"/>
        <v>0</v>
      </c>
      <c r="AL307" s="41"/>
      <c r="AM307" s="34">
        <f t="shared" ref="AM307:AN307" si="1969">AM306</f>
        <v>2.0049999999999999</v>
      </c>
      <c r="AN307" s="33" t="str">
        <f t="shared" si="1969"/>
        <v>7,19,050</v>
      </c>
      <c r="AO307" s="11" t="str">
        <f t="shared" si="1776"/>
        <v>7,</v>
      </c>
      <c r="AP307" s="11" t="str">
        <f t="shared" si="1777"/>
        <v>19,050</v>
      </c>
      <c r="AQ307" s="11">
        <f t="shared" si="1778"/>
        <v>0.12195833333333334</v>
      </c>
      <c r="AR307" s="14">
        <f t="shared" si="1779"/>
        <v>16.44004099760847</v>
      </c>
      <c r="AS307" s="39">
        <f t="shared" si="1780"/>
        <v>-100</v>
      </c>
      <c r="AT307" s="40" t="str">
        <f t="shared" si="1781"/>
        <v>NO CONFORME</v>
      </c>
      <c r="AU307" s="8" t="b">
        <f t="shared" si="1703"/>
        <v>1</v>
      </c>
      <c r="AV307" s="8" t="b">
        <f t="shared" si="1704"/>
        <v>0</v>
      </c>
      <c r="AW307" s="8" t="b">
        <f t="shared" si="1705"/>
        <v>1</v>
      </c>
      <c r="AX307" s="8" t="str">
        <f t="shared" si="1706"/>
        <v>Qcorrecto</v>
      </c>
      <c r="AY307" s="22" t="str">
        <f t="shared" si="1686"/>
        <v>aceptable</v>
      </c>
      <c r="AZ307" s="22" t="str">
        <f t="shared" si="1687"/>
        <v>aceptable</v>
      </c>
      <c r="BA307" s="22" t="str">
        <f t="shared" si="1707"/>
        <v>aceptable</v>
      </c>
      <c r="BB307" s="25" t="str">
        <f t="shared" si="1708"/>
        <v>NO CONFORME</v>
      </c>
      <c r="BC307" s="5" t="str">
        <f t="shared" si="1709"/>
        <v>NO CONFORME</v>
      </c>
      <c r="BD307" s="15">
        <f t="shared" si="1688"/>
        <v>-1</v>
      </c>
      <c r="BE307" s="15">
        <f t="shared" si="1689"/>
        <v>-1</v>
      </c>
      <c r="BF307" s="15">
        <f t="shared" si="1690"/>
        <v>-1</v>
      </c>
      <c r="BG307" s="15" t="str">
        <f t="shared" si="1691"/>
        <v>-1-1-1</v>
      </c>
      <c r="BH307" s="15" t="str">
        <f t="shared" si="1692"/>
        <v>SD</v>
      </c>
      <c r="BI307" s="15" t="str">
        <f t="shared" si="1693"/>
        <v>SI</v>
      </c>
      <c r="BJ307" s="15" t="b">
        <f t="shared" si="1694"/>
        <v>1</v>
      </c>
      <c r="BK307" s="15" t="str">
        <f t="shared" si="1695"/>
        <v>SIGIGUALES</v>
      </c>
      <c r="BL307" s="22" t="str">
        <f t="shared" si="1696"/>
        <v>NO CONFORME</v>
      </c>
    </row>
    <row r="308" spans="1:64" ht="14.4" x14ac:dyDescent="0.3">
      <c r="A308" s="91">
        <v>300</v>
      </c>
      <c r="B308" s="28">
        <f t="shared" ref="B308:E308" si="1970">B307</f>
        <v>45920</v>
      </c>
      <c r="C308" s="28">
        <f t="shared" si="1970"/>
        <v>45920</v>
      </c>
      <c r="D308" s="12">
        <f t="shared" si="1970"/>
        <v>3</v>
      </c>
      <c r="E308" s="10">
        <f t="shared" si="1970"/>
        <v>8</v>
      </c>
      <c r="F308" s="13"/>
      <c r="G308" s="157"/>
      <c r="H308" s="70">
        <f t="shared" ref="H308:L308" si="1971">H307</f>
        <v>25.6</v>
      </c>
      <c r="I308" s="36">
        <f t="shared" si="1971"/>
        <v>0</v>
      </c>
      <c r="J308" s="35">
        <f t="shared" si="1971"/>
        <v>20.9</v>
      </c>
      <c r="K308" s="122">
        <f t="shared" si="1971"/>
        <v>8.4730000000000008</v>
      </c>
      <c r="L308" s="122">
        <f t="shared" si="1971"/>
        <v>0.52100000000000002</v>
      </c>
      <c r="M308" s="41"/>
      <c r="N308" s="41"/>
      <c r="O308" s="32">
        <f t="shared" ref="O308:P308" si="1972">O307</f>
        <v>100.48</v>
      </c>
      <c r="P308" s="168" t="str">
        <f t="shared" si="1972"/>
        <v>2,29,610</v>
      </c>
      <c r="Q308" s="11" t="str">
        <f t="shared" si="1762"/>
        <v>2</v>
      </c>
      <c r="R308" s="11" t="str">
        <f t="shared" si="1763"/>
        <v>29,610</v>
      </c>
      <c r="S308" s="11">
        <f t="shared" si="1764"/>
        <v>4.1558333333333336E-2</v>
      </c>
      <c r="T308" s="14">
        <f t="shared" si="1765"/>
        <v>2417.8062963705634</v>
      </c>
      <c r="U308" s="37">
        <f t="shared" si="1766"/>
        <v>-100</v>
      </c>
      <c r="V308" s="38">
        <f t="shared" ref="V308:W308" si="1973">V307</f>
        <v>21.3</v>
      </c>
      <c r="W308" s="124">
        <f t="shared" si="1973"/>
        <v>1.0960000000000001</v>
      </c>
      <c r="X308" s="124">
        <f t="shared" si="1918"/>
        <v>1.0880000000000001</v>
      </c>
      <c r="Y308" s="41"/>
      <c r="Z308" s="41"/>
      <c r="AA308" s="90">
        <f t="shared" ref="AA308:AB308" si="1974">AA307</f>
        <v>5.01</v>
      </c>
      <c r="AB308" s="73" t="str">
        <f t="shared" si="1974"/>
        <v>11,15,880</v>
      </c>
      <c r="AC308" s="11" t="str">
        <f t="shared" si="1769"/>
        <v>11</v>
      </c>
      <c r="AD308" s="11" t="str">
        <f t="shared" si="1770"/>
        <v>15,880</v>
      </c>
      <c r="AE308" s="11">
        <f t="shared" si="1771"/>
        <v>0.18774444444444444</v>
      </c>
      <c r="AF308" s="14">
        <f t="shared" si="1772"/>
        <v>26.685210392377346</v>
      </c>
      <c r="AG308" s="39">
        <f t="shared" si="1773"/>
        <v>-100</v>
      </c>
      <c r="AH308" s="38">
        <f t="shared" si="1926"/>
        <v>18.399999999999999</v>
      </c>
      <c r="AI308" s="124">
        <f t="shared" si="1926"/>
        <v>1.0980000000000001</v>
      </c>
      <c r="AJ308" s="124">
        <f t="shared" si="1926"/>
        <v>1.087</v>
      </c>
      <c r="AK308" s="41">
        <f t="shared" si="1774"/>
        <v>0</v>
      </c>
      <c r="AL308" s="41"/>
      <c r="AM308" s="34">
        <f t="shared" ref="AM308:AN308" si="1975">AM307</f>
        <v>2.0049999999999999</v>
      </c>
      <c r="AN308" s="33" t="str">
        <f t="shared" si="1975"/>
        <v>7,19,050</v>
      </c>
      <c r="AO308" s="11" t="str">
        <f t="shared" si="1776"/>
        <v>7,</v>
      </c>
      <c r="AP308" s="11" t="str">
        <f t="shared" si="1777"/>
        <v>19,050</v>
      </c>
      <c r="AQ308" s="11">
        <f t="shared" si="1778"/>
        <v>0.12195833333333334</v>
      </c>
      <c r="AR308" s="14">
        <f t="shared" si="1779"/>
        <v>16.44004099760847</v>
      </c>
      <c r="AS308" s="39">
        <f t="shared" si="1780"/>
        <v>-100</v>
      </c>
      <c r="AT308" s="40" t="str">
        <f t="shared" si="1781"/>
        <v>NO CONFORME</v>
      </c>
      <c r="AU308" s="8" t="b">
        <f t="shared" si="1703"/>
        <v>1</v>
      </c>
      <c r="AV308" s="8" t="b">
        <f t="shared" si="1704"/>
        <v>0</v>
      </c>
      <c r="AW308" s="8" t="b">
        <f t="shared" si="1705"/>
        <v>1</v>
      </c>
      <c r="AX308" s="8" t="str">
        <f t="shared" si="1706"/>
        <v>Qcorrecto</v>
      </c>
      <c r="AY308" s="22" t="str">
        <f t="shared" si="1686"/>
        <v>aceptable</v>
      </c>
      <c r="AZ308" s="22" t="str">
        <f t="shared" si="1687"/>
        <v>aceptable</v>
      </c>
      <c r="BA308" s="22" t="str">
        <f t="shared" si="1707"/>
        <v>aceptable</v>
      </c>
      <c r="BB308" s="25" t="str">
        <f t="shared" si="1708"/>
        <v>NO CONFORME</v>
      </c>
      <c r="BC308" s="5" t="str">
        <f t="shared" si="1709"/>
        <v>NO CONFORME</v>
      </c>
      <c r="BD308" s="15">
        <f t="shared" si="1688"/>
        <v>-1</v>
      </c>
      <c r="BE308" s="15">
        <f t="shared" si="1689"/>
        <v>-1</v>
      </c>
      <c r="BF308" s="15">
        <f t="shared" si="1690"/>
        <v>-1</v>
      </c>
      <c r="BG308" s="15" t="str">
        <f t="shared" si="1691"/>
        <v>-1-1-1</v>
      </c>
      <c r="BH308" s="15" t="str">
        <f t="shared" si="1692"/>
        <v>SD</v>
      </c>
      <c r="BI308" s="15" t="str">
        <f t="shared" si="1693"/>
        <v>SI</v>
      </c>
      <c r="BJ308" s="15" t="b">
        <f t="shared" si="1694"/>
        <v>1</v>
      </c>
      <c r="BK308" s="15" t="str">
        <f t="shared" si="1695"/>
        <v>SIGIGUALES</v>
      </c>
      <c r="BL308" s="22" t="str">
        <f t="shared" si="1696"/>
        <v>NO CONFORME</v>
      </c>
    </row>
    <row r="309" spans="1:64" ht="14.4" x14ac:dyDescent="0.3">
      <c r="A309" s="91">
        <v>301</v>
      </c>
      <c r="B309" s="28">
        <f t="shared" ref="B309:E309" si="1976">B308</f>
        <v>45920</v>
      </c>
      <c r="C309" s="28">
        <f t="shared" si="1976"/>
        <v>45920</v>
      </c>
      <c r="D309" s="12">
        <f t="shared" si="1976"/>
        <v>3</v>
      </c>
      <c r="E309" s="10">
        <f t="shared" si="1976"/>
        <v>8</v>
      </c>
      <c r="F309" s="13"/>
      <c r="G309" s="157"/>
      <c r="H309" s="70">
        <f t="shared" ref="H309:L309" si="1977">H308</f>
        <v>25.6</v>
      </c>
      <c r="I309" s="36">
        <f t="shared" si="1977"/>
        <v>0</v>
      </c>
      <c r="J309" s="35">
        <f t="shared" si="1977"/>
        <v>20.9</v>
      </c>
      <c r="K309" s="122">
        <f t="shared" si="1977"/>
        <v>8.4730000000000008</v>
      </c>
      <c r="L309" s="122">
        <f t="shared" si="1977"/>
        <v>0.52100000000000002</v>
      </c>
      <c r="M309" s="41"/>
      <c r="N309" s="41"/>
      <c r="O309" s="32">
        <f t="shared" ref="O309:P309" si="1978">O308</f>
        <v>100.48</v>
      </c>
      <c r="P309" s="168" t="str">
        <f t="shared" si="1978"/>
        <v>2,29,610</v>
      </c>
      <c r="Q309" s="11" t="str">
        <f t="shared" si="1762"/>
        <v>2</v>
      </c>
      <c r="R309" s="11" t="str">
        <f t="shared" si="1763"/>
        <v>29,610</v>
      </c>
      <c r="S309" s="11">
        <f t="shared" si="1764"/>
        <v>4.1558333333333336E-2</v>
      </c>
      <c r="T309" s="14">
        <f t="shared" si="1765"/>
        <v>2417.8062963705634</v>
      </c>
      <c r="U309" s="37">
        <f t="shared" si="1766"/>
        <v>-100</v>
      </c>
      <c r="V309" s="38">
        <f t="shared" ref="V309:W309" si="1979">V308</f>
        <v>21.3</v>
      </c>
      <c r="W309" s="124">
        <f t="shared" si="1979"/>
        <v>1.0960000000000001</v>
      </c>
      <c r="X309" s="124">
        <f t="shared" si="1918"/>
        <v>1.0880000000000001</v>
      </c>
      <c r="Y309" s="41"/>
      <c r="Z309" s="41"/>
      <c r="AA309" s="90">
        <f t="shared" ref="AA309:AB309" si="1980">AA308</f>
        <v>5.01</v>
      </c>
      <c r="AB309" s="73" t="str">
        <f t="shared" si="1980"/>
        <v>11,15,880</v>
      </c>
      <c r="AC309" s="11" t="str">
        <f t="shared" si="1769"/>
        <v>11</v>
      </c>
      <c r="AD309" s="11" t="str">
        <f t="shared" si="1770"/>
        <v>15,880</v>
      </c>
      <c r="AE309" s="11">
        <f t="shared" si="1771"/>
        <v>0.18774444444444444</v>
      </c>
      <c r="AF309" s="14">
        <f t="shared" si="1772"/>
        <v>26.685210392377346</v>
      </c>
      <c r="AG309" s="39">
        <f t="shared" si="1773"/>
        <v>-100</v>
      </c>
      <c r="AH309" s="38">
        <f t="shared" si="1926"/>
        <v>18.399999999999999</v>
      </c>
      <c r="AI309" s="124">
        <f t="shared" si="1926"/>
        <v>1.0980000000000001</v>
      </c>
      <c r="AJ309" s="124">
        <f t="shared" si="1926"/>
        <v>1.087</v>
      </c>
      <c r="AK309" s="41">
        <f t="shared" si="1774"/>
        <v>0</v>
      </c>
      <c r="AL309" s="41"/>
      <c r="AM309" s="34">
        <f t="shared" ref="AM309:AN309" si="1981">AM308</f>
        <v>2.0049999999999999</v>
      </c>
      <c r="AN309" s="33" t="str">
        <f t="shared" si="1981"/>
        <v>7,19,050</v>
      </c>
      <c r="AO309" s="11" t="str">
        <f t="shared" si="1776"/>
        <v>7,</v>
      </c>
      <c r="AP309" s="11" t="str">
        <f t="shared" si="1777"/>
        <v>19,050</v>
      </c>
      <c r="AQ309" s="11">
        <f t="shared" si="1778"/>
        <v>0.12195833333333334</v>
      </c>
      <c r="AR309" s="14">
        <f t="shared" si="1779"/>
        <v>16.44004099760847</v>
      </c>
      <c r="AS309" s="39">
        <f t="shared" si="1780"/>
        <v>-100</v>
      </c>
      <c r="AT309" s="40" t="str">
        <f t="shared" si="1781"/>
        <v>NO CONFORME</v>
      </c>
      <c r="AU309" s="8" t="b">
        <f t="shared" si="1703"/>
        <v>1</v>
      </c>
      <c r="AV309" s="8" t="b">
        <f t="shared" si="1704"/>
        <v>0</v>
      </c>
      <c r="AW309" s="8" t="b">
        <f t="shared" si="1705"/>
        <v>1</v>
      </c>
      <c r="AX309" s="8" t="str">
        <f t="shared" si="1706"/>
        <v>Qcorrecto</v>
      </c>
      <c r="AY309" s="22" t="str">
        <f t="shared" si="1686"/>
        <v>aceptable</v>
      </c>
      <c r="AZ309" s="22" t="str">
        <f t="shared" si="1687"/>
        <v>aceptable</v>
      </c>
      <c r="BA309" s="22" t="str">
        <f t="shared" si="1707"/>
        <v>aceptable</v>
      </c>
      <c r="BB309" s="25" t="str">
        <f t="shared" si="1708"/>
        <v>NO CONFORME</v>
      </c>
      <c r="BC309" s="5" t="str">
        <f t="shared" si="1709"/>
        <v>NO CONFORME</v>
      </c>
      <c r="BD309" s="15">
        <f t="shared" si="1688"/>
        <v>-1</v>
      </c>
      <c r="BE309" s="15">
        <f t="shared" si="1689"/>
        <v>-1</v>
      </c>
      <c r="BF309" s="15">
        <f t="shared" si="1690"/>
        <v>-1</v>
      </c>
      <c r="BG309" s="15" t="str">
        <f t="shared" si="1691"/>
        <v>-1-1-1</v>
      </c>
      <c r="BH309" s="15" t="str">
        <f t="shared" si="1692"/>
        <v>SD</v>
      </c>
      <c r="BI309" s="15" t="str">
        <f t="shared" si="1693"/>
        <v>SI</v>
      </c>
      <c r="BJ309" s="15" t="b">
        <f t="shared" si="1694"/>
        <v>1</v>
      </c>
      <c r="BK309" s="15" t="str">
        <f t="shared" si="1695"/>
        <v>SIGIGUALES</v>
      </c>
      <c r="BL309" s="22" t="str">
        <f t="shared" si="1696"/>
        <v>NO CONFORME</v>
      </c>
    </row>
    <row r="311" spans="1:64" ht="27.6" x14ac:dyDescent="0.45">
      <c r="AT311" s="58">
        <f>COUNTIF(AT9:AT309,"NO CONFORME")</f>
        <v>252</v>
      </c>
    </row>
    <row r="312" spans="1:64" ht="27.6" x14ac:dyDescent="0.45">
      <c r="AT312" s="59" t="e">
        <f>AT311/#REF!</f>
        <v>#REF!</v>
      </c>
    </row>
  </sheetData>
  <sheetProtection algorithmName="SHA-512" hashValue="jtkXllnYBrChCeGcMb2tYcnkTGS0KjeyA3gghjdHYPvPJ10AC8VXBHaZybbWrD2/R5dNq/EFd8aFDwwt8gMZiQ==" saltValue="atEqqrclwgXQIYpDKH0/+Q==" spinCount="100000" sheet="1" formatCells="0" formatColumns="0" formatRows="0" insertColumns="0" insertRows="0" insertHyperlinks="0" deleteColumns="0" deleteRows="0" autoFilter="0"/>
  <protectedRanges>
    <protectedRange sqref="J6 V6 AH6:AH7 E4 O4" name="Rango3"/>
    <protectedRange sqref="V9:AB309" name="Rango2"/>
    <protectedRange sqref="A9:P309" name="Rango1"/>
    <protectedRange sqref="AH9:AN309" name="Rango4"/>
  </protectedRanges>
  <autoFilter ref="A8:BL309" xr:uid="{00000000-0001-0000-0000-000000000000}">
    <filterColumn colId="15" showButton="0"/>
    <filterColumn colId="16" showButton="0"/>
    <filterColumn colId="17" showButton="0"/>
    <filterColumn colId="27" showButton="0"/>
    <filterColumn colId="28" showButton="0"/>
    <filterColumn colId="29" showButton="0"/>
    <filterColumn colId="39" showButton="0"/>
    <filterColumn colId="40" showButton="0"/>
    <filterColumn colId="41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</autoFilter>
  <mergeCells count="43">
    <mergeCell ref="AR4:AS4"/>
    <mergeCell ref="AR5:AS5"/>
    <mergeCell ref="AP4:AQ4"/>
    <mergeCell ref="AP5:AQ5"/>
    <mergeCell ref="AN4:AO4"/>
    <mergeCell ref="AN5:AO5"/>
    <mergeCell ref="O4:R4"/>
    <mergeCell ref="AF4:AG4"/>
    <mergeCell ref="S4:Z4"/>
    <mergeCell ref="AK4:AM4"/>
    <mergeCell ref="AH4:AJ4"/>
    <mergeCell ref="AP1:AT1"/>
    <mergeCell ref="E1:AO1"/>
    <mergeCell ref="E2:AO3"/>
    <mergeCell ref="BB8:BL8"/>
    <mergeCell ref="AT6:AT8"/>
    <mergeCell ref="AY7:BA7"/>
    <mergeCell ref="AF5:AG5"/>
    <mergeCell ref="AK5:AM5"/>
    <mergeCell ref="AH5:AJ5"/>
    <mergeCell ref="AN8:AQ8"/>
    <mergeCell ref="AB8:AE8"/>
    <mergeCell ref="AH6:AS6"/>
    <mergeCell ref="P8:S8"/>
    <mergeCell ref="AH7:AS7"/>
    <mergeCell ref="V6:AG6"/>
    <mergeCell ref="E4:I4"/>
    <mergeCell ref="AP2:AT2"/>
    <mergeCell ref="AP3:AT3"/>
    <mergeCell ref="A5:Z5"/>
    <mergeCell ref="E6:E8"/>
    <mergeCell ref="G6:G8"/>
    <mergeCell ref="C6:C8"/>
    <mergeCell ref="A6:A8"/>
    <mergeCell ref="B6:B8"/>
    <mergeCell ref="D6:D8"/>
    <mergeCell ref="V7:AG7"/>
    <mergeCell ref="F6:F8"/>
    <mergeCell ref="J6:U6"/>
    <mergeCell ref="J7:U7"/>
    <mergeCell ref="H6:I7"/>
    <mergeCell ref="A4:D4"/>
    <mergeCell ref="J4:N4"/>
  </mergeCells>
  <phoneticPr fontId="25" type="noConversion"/>
  <conditionalFormatting sqref="U9:U309 AG9:AG309 AS9:AS309">
    <cfRule type="cellIs" dxfId="26" priority="3" operator="between">
      <formula>100.01</formula>
      <formula>100000000</formula>
    </cfRule>
    <cfRule type="cellIs" dxfId="25" priority="4" operator="lessThanOrEqual">
      <formula>-100.01</formula>
    </cfRule>
  </conditionalFormatting>
  <conditionalFormatting sqref="U9:U309 AG9:AG309">
    <cfRule type="cellIs" dxfId="24" priority="1" operator="between">
      <formula>-2.044</formula>
      <formula>-100</formula>
    </cfRule>
    <cfRule type="cellIs" dxfId="23" priority="2" operator="between">
      <formula>2.044</formula>
      <formula>100</formula>
    </cfRule>
  </conditionalFormatting>
  <conditionalFormatting sqref="AS9:AS309">
    <cfRule type="cellIs" dxfId="22" priority="5" operator="between">
      <formula>-5.044</formula>
      <formula>-100</formula>
    </cfRule>
    <cfRule type="cellIs" dxfId="21" priority="6" operator="between">
      <formula>5.044</formula>
      <formula>100</formula>
    </cfRule>
  </conditionalFormatting>
  <conditionalFormatting sqref="AT9:AT309">
    <cfRule type="cellIs" dxfId="20" priority="7" operator="equal">
      <formula>"NO CONFORME"</formula>
    </cfRule>
  </conditionalFormatting>
  <conditionalFormatting sqref="AU8:AW8">
    <cfRule type="cellIs" dxfId="19" priority="10" operator="equal">
      <formula>"NO CONFORME"</formula>
    </cfRule>
  </conditionalFormatting>
  <conditionalFormatting sqref="AX9:AX309">
    <cfRule type="expression" dxfId="18" priority="11">
      <formula>AX9="Qincorrecto"</formula>
    </cfRule>
    <cfRule type="expression" dxfId="17" priority="12">
      <formula>AX9="Qcorrecto"</formula>
    </cfRule>
  </conditionalFormatting>
  <conditionalFormatting sqref="AY9:BA309">
    <cfRule type="cellIs" dxfId="16" priority="8" operator="equal">
      <formula>"error"</formula>
    </cfRule>
    <cfRule type="cellIs" dxfId="15" priority="9" operator="equal">
      <formula>#REF!</formula>
    </cfRule>
  </conditionalFormatting>
  <conditionalFormatting sqref="BB9:BC309">
    <cfRule type="cellIs" dxfId="14" priority="13" stopIfTrue="1" operator="notBetween">
      <formula>"APROBADO"</formula>
      <formula>"APROBADO"</formula>
    </cfRule>
  </conditionalFormatting>
  <dataValidations count="2">
    <dataValidation type="list" allowBlank="1" showInputMessage="1" showErrorMessage="1" sqref="E4:I4" xr:uid="{D6BBD11B-05C1-4FAB-8683-80E1D3446725}">
      <formula1>$AZ$2:$BC$2</formula1>
    </dataValidation>
    <dataValidation type="list" allowBlank="1" showInputMessage="1" showErrorMessage="1" sqref="O4:R4" xr:uid="{971EE6FB-00DF-402A-B2A8-B88608FC5771}">
      <formula1>$AZ$1:$BE$1</formula1>
    </dataValidation>
  </dataValidations>
  <pageMargins left="0.70866141732283472" right="0.70866141732283472" top="0.35433070866141736" bottom="0.27559055118110237" header="0.27559055118110237" footer="0.15748031496062992"/>
  <pageSetup paperSize="9" scale="18" orientation="portrait" r:id="rId1"/>
  <headerFooter>
    <oddFooter>&amp;R&amp;8Página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CE58-EF31-4DE3-BCAD-094E0FF3BD30}">
  <dimension ref="B1:H723"/>
  <sheetViews>
    <sheetView workbookViewId="0">
      <selection activeCell="F1" sqref="F1"/>
    </sheetView>
  </sheetViews>
  <sheetFormatPr baseColWidth="10" defaultRowHeight="13.2" x14ac:dyDescent="0.25"/>
  <cols>
    <col min="4" max="4" width="13.5546875" customWidth="1"/>
    <col min="8" max="8" width="13.44140625" customWidth="1"/>
  </cols>
  <sheetData>
    <row r="1" spans="2:8" ht="14.4" x14ac:dyDescent="0.3">
      <c r="F1" s="79"/>
      <c r="G1" s="80"/>
    </row>
    <row r="2" spans="2:8" x14ac:dyDescent="0.25">
      <c r="B2" s="48" t="s">
        <v>40</v>
      </c>
      <c r="C2" s="48" t="s">
        <v>41</v>
      </c>
    </row>
    <row r="4" spans="2:8" x14ac:dyDescent="0.25">
      <c r="B4" s="69"/>
      <c r="C4" s="48"/>
      <c r="D4" t="b">
        <f>B4=C4</f>
        <v>1</v>
      </c>
      <c r="F4" t="str">
        <f>TEXT(E4,"000000")&amp;"-2024"</f>
        <v>000000-2024</v>
      </c>
      <c r="G4" s="13"/>
      <c r="H4" t="b">
        <f>F4=G4</f>
        <v>0</v>
      </c>
    </row>
    <row r="5" spans="2:8" x14ac:dyDescent="0.25">
      <c r="B5" s="69"/>
      <c r="C5" s="48"/>
      <c r="D5" t="b">
        <f t="shared" ref="D5:D68" si="0">B5=C5</f>
        <v>1</v>
      </c>
      <c r="F5" t="str">
        <f t="shared" ref="F5:F68" si="1">TEXT(E5,"000000")&amp;"-2024"</f>
        <v>000000-2024</v>
      </c>
      <c r="G5" s="13"/>
      <c r="H5" t="b">
        <f t="shared" ref="H5:H68" si="2">F5=G5</f>
        <v>0</v>
      </c>
    </row>
    <row r="6" spans="2:8" x14ac:dyDescent="0.25">
      <c r="B6" s="71"/>
      <c r="C6" s="48"/>
      <c r="D6" t="b">
        <f t="shared" si="0"/>
        <v>1</v>
      </c>
      <c r="F6" t="str">
        <f t="shared" si="1"/>
        <v>000000-2024</v>
      </c>
      <c r="G6" s="13"/>
      <c r="H6" t="b">
        <f t="shared" si="2"/>
        <v>0</v>
      </c>
    </row>
    <row r="7" spans="2:8" x14ac:dyDescent="0.25">
      <c r="B7" s="69"/>
      <c r="C7" s="48"/>
      <c r="D7" t="b">
        <f t="shared" si="0"/>
        <v>1</v>
      </c>
      <c r="F7" t="str">
        <f t="shared" si="1"/>
        <v>000000-2024</v>
      </c>
      <c r="G7" s="13"/>
      <c r="H7" t="b">
        <f t="shared" si="2"/>
        <v>0</v>
      </c>
    </row>
    <row r="8" spans="2:8" x14ac:dyDescent="0.25">
      <c r="B8" s="69"/>
      <c r="C8" s="48"/>
      <c r="D8" t="b">
        <f t="shared" si="0"/>
        <v>1</v>
      </c>
      <c r="F8" t="str">
        <f t="shared" si="1"/>
        <v>000000-2024</v>
      </c>
      <c r="G8" s="13"/>
      <c r="H8" t="b">
        <f t="shared" si="2"/>
        <v>0</v>
      </c>
    </row>
    <row r="9" spans="2:8" x14ac:dyDescent="0.25">
      <c r="B9" s="71"/>
      <c r="C9" s="48"/>
      <c r="D9" t="b">
        <f t="shared" si="0"/>
        <v>1</v>
      </c>
      <c r="F9" t="str">
        <f t="shared" si="1"/>
        <v>000000-2024</v>
      </c>
      <c r="G9" s="13"/>
      <c r="H9" t="b">
        <f t="shared" si="2"/>
        <v>0</v>
      </c>
    </row>
    <row r="10" spans="2:8" x14ac:dyDescent="0.25">
      <c r="B10" s="71"/>
      <c r="C10" s="48"/>
      <c r="D10" t="b">
        <f t="shared" si="0"/>
        <v>1</v>
      </c>
      <c r="F10" t="str">
        <f t="shared" si="1"/>
        <v>000000-2024</v>
      </c>
      <c r="G10" s="13"/>
      <c r="H10" t="b">
        <f t="shared" si="2"/>
        <v>0</v>
      </c>
    </row>
    <row r="11" spans="2:8" x14ac:dyDescent="0.25">
      <c r="B11" s="69"/>
      <c r="C11" s="48"/>
      <c r="D11" t="b">
        <f t="shared" si="0"/>
        <v>1</v>
      </c>
      <c r="F11" t="str">
        <f t="shared" si="1"/>
        <v>000000-2024</v>
      </c>
      <c r="G11" s="13"/>
      <c r="H11" t="b">
        <f t="shared" si="2"/>
        <v>0</v>
      </c>
    </row>
    <row r="12" spans="2:8" x14ac:dyDescent="0.25">
      <c r="B12" s="69"/>
      <c r="C12" s="48"/>
      <c r="D12" t="b">
        <f t="shared" si="0"/>
        <v>1</v>
      </c>
      <c r="F12" t="str">
        <f t="shared" si="1"/>
        <v>000000-2024</v>
      </c>
      <c r="G12" s="13"/>
      <c r="H12" t="b">
        <f t="shared" si="2"/>
        <v>0</v>
      </c>
    </row>
    <row r="13" spans="2:8" ht="13.8" thickBot="1" x14ac:dyDescent="0.3">
      <c r="B13" s="72"/>
      <c r="C13" s="48"/>
      <c r="D13" t="b">
        <f t="shared" si="0"/>
        <v>1</v>
      </c>
      <c r="F13" t="str">
        <f t="shared" si="1"/>
        <v>000000-2024</v>
      </c>
      <c r="G13" s="43"/>
      <c r="H13" t="b">
        <f t="shared" si="2"/>
        <v>0</v>
      </c>
    </row>
    <row r="14" spans="2:8" x14ac:dyDescent="0.25">
      <c r="B14" s="69"/>
      <c r="C14" s="48"/>
      <c r="D14" t="b">
        <f t="shared" si="0"/>
        <v>1</v>
      </c>
      <c r="F14" t="str">
        <f t="shared" si="1"/>
        <v>000000-2024</v>
      </c>
      <c r="G14" s="13"/>
      <c r="H14" t="b">
        <f t="shared" si="2"/>
        <v>0</v>
      </c>
    </row>
    <row r="15" spans="2:8" x14ac:dyDescent="0.25">
      <c r="B15" s="74"/>
      <c r="C15" s="48"/>
      <c r="D15" t="b">
        <f t="shared" si="0"/>
        <v>1</v>
      </c>
      <c r="F15" t="str">
        <f t="shared" si="1"/>
        <v>000000-2024</v>
      </c>
      <c r="G15" s="13"/>
      <c r="H15" t="b">
        <f t="shared" si="2"/>
        <v>0</v>
      </c>
    </row>
    <row r="16" spans="2:8" x14ac:dyDescent="0.25">
      <c r="B16" s="69"/>
      <c r="C16" s="48"/>
      <c r="D16" t="b">
        <f t="shared" si="0"/>
        <v>1</v>
      </c>
      <c r="F16" t="str">
        <f t="shared" si="1"/>
        <v>000000-2024</v>
      </c>
      <c r="G16" s="13"/>
      <c r="H16" t="b">
        <f t="shared" si="2"/>
        <v>0</v>
      </c>
    </row>
    <row r="17" spans="2:8" x14ac:dyDescent="0.25">
      <c r="B17" s="69"/>
      <c r="C17" s="48"/>
      <c r="D17" t="b">
        <f t="shared" si="0"/>
        <v>1</v>
      </c>
      <c r="F17" t="str">
        <f t="shared" si="1"/>
        <v>000000-2024</v>
      </c>
      <c r="G17" s="13"/>
      <c r="H17" t="b">
        <f t="shared" si="2"/>
        <v>0</v>
      </c>
    </row>
    <row r="18" spans="2:8" x14ac:dyDescent="0.25">
      <c r="B18" s="69"/>
      <c r="C18" s="48"/>
      <c r="D18" t="b">
        <f t="shared" si="0"/>
        <v>1</v>
      </c>
      <c r="F18" t="str">
        <f t="shared" si="1"/>
        <v>000000-2024</v>
      </c>
      <c r="G18" s="13"/>
      <c r="H18" t="b">
        <f t="shared" si="2"/>
        <v>0</v>
      </c>
    </row>
    <row r="19" spans="2:8" x14ac:dyDescent="0.25">
      <c r="B19" s="74"/>
      <c r="C19" s="48"/>
      <c r="D19" t="b">
        <f t="shared" si="0"/>
        <v>1</v>
      </c>
      <c r="F19" t="str">
        <f t="shared" si="1"/>
        <v>000000-2024</v>
      </c>
      <c r="G19" s="13"/>
      <c r="H19" t="b">
        <f t="shared" si="2"/>
        <v>0</v>
      </c>
    </row>
    <row r="20" spans="2:8" x14ac:dyDescent="0.25">
      <c r="B20" s="69"/>
      <c r="C20" s="48"/>
      <c r="D20" t="b">
        <f t="shared" si="0"/>
        <v>1</v>
      </c>
      <c r="F20" t="str">
        <f t="shared" si="1"/>
        <v>000000-2024</v>
      </c>
      <c r="G20" s="13"/>
      <c r="H20" t="b">
        <f t="shared" si="2"/>
        <v>0</v>
      </c>
    </row>
    <row r="21" spans="2:8" x14ac:dyDescent="0.25">
      <c r="B21" s="69"/>
      <c r="C21" s="48"/>
      <c r="D21" t="b">
        <f t="shared" si="0"/>
        <v>1</v>
      </c>
      <c r="F21" t="str">
        <f t="shared" si="1"/>
        <v>000000-2024</v>
      </c>
      <c r="G21" s="13"/>
      <c r="H21" t="b">
        <f t="shared" si="2"/>
        <v>0</v>
      </c>
    </row>
    <row r="22" spans="2:8" x14ac:dyDescent="0.25">
      <c r="B22" s="69"/>
      <c r="C22" s="48"/>
      <c r="D22" t="b">
        <f t="shared" si="0"/>
        <v>1</v>
      </c>
      <c r="F22" t="str">
        <f t="shared" si="1"/>
        <v>000000-2024</v>
      </c>
      <c r="G22" s="13"/>
      <c r="H22" t="b">
        <f t="shared" si="2"/>
        <v>0</v>
      </c>
    </row>
    <row r="23" spans="2:8" x14ac:dyDescent="0.25">
      <c r="B23" s="69"/>
      <c r="C23" s="48"/>
      <c r="D23" t="b">
        <f t="shared" si="0"/>
        <v>1</v>
      </c>
      <c r="F23" t="str">
        <f t="shared" si="1"/>
        <v>000000-2024</v>
      </c>
      <c r="G23" s="13"/>
      <c r="H23" t="b">
        <f t="shared" si="2"/>
        <v>0</v>
      </c>
    </row>
    <row r="24" spans="2:8" ht="13.8" thickBot="1" x14ac:dyDescent="0.3">
      <c r="B24" s="47"/>
      <c r="C24" s="48"/>
      <c r="D24" t="b">
        <f t="shared" si="0"/>
        <v>1</v>
      </c>
      <c r="F24" t="str">
        <f t="shared" si="1"/>
        <v>000000-2024</v>
      </c>
      <c r="G24" s="43"/>
      <c r="H24" t="b">
        <f t="shared" si="2"/>
        <v>0</v>
      </c>
    </row>
    <row r="25" spans="2:8" x14ac:dyDescent="0.25">
      <c r="B25" s="75"/>
      <c r="C25" s="48"/>
      <c r="D25" t="b">
        <f t="shared" si="0"/>
        <v>1</v>
      </c>
      <c r="F25" t="str">
        <f t="shared" si="1"/>
        <v>000000-2024</v>
      </c>
      <c r="G25" s="42"/>
      <c r="H25" t="b">
        <f t="shared" si="2"/>
        <v>0</v>
      </c>
    </row>
    <row r="26" spans="2:8" x14ac:dyDescent="0.25">
      <c r="B26" s="69"/>
      <c r="C26" s="48"/>
      <c r="D26" t="b">
        <f t="shared" si="0"/>
        <v>1</v>
      </c>
      <c r="F26" t="str">
        <f t="shared" si="1"/>
        <v>000000-2024</v>
      </c>
      <c r="G26" s="13"/>
      <c r="H26" t="b">
        <f t="shared" si="2"/>
        <v>0</v>
      </c>
    </row>
    <row r="27" spans="2:8" x14ac:dyDescent="0.25">
      <c r="B27" s="69"/>
      <c r="C27" s="48"/>
      <c r="D27" t="b">
        <f t="shared" si="0"/>
        <v>1</v>
      </c>
      <c r="F27" t="str">
        <f t="shared" si="1"/>
        <v>000000-2024</v>
      </c>
      <c r="G27" s="13"/>
      <c r="H27" t="b">
        <f t="shared" si="2"/>
        <v>0</v>
      </c>
    </row>
    <row r="28" spans="2:8" x14ac:dyDescent="0.25">
      <c r="B28" s="69"/>
      <c r="C28" s="48"/>
      <c r="D28" t="b">
        <f t="shared" si="0"/>
        <v>1</v>
      </c>
      <c r="F28" t="str">
        <f t="shared" si="1"/>
        <v>000000-2024</v>
      </c>
      <c r="G28" s="13"/>
      <c r="H28" t="b">
        <f t="shared" si="2"/>
        <v>0</v>
      </c>
    </row>
    <row r="29" spans="2:8" x14ac:dyDescent="0.25">
      <c r="B29" s="69"/>
      <c r="C29" s="48"/>
      <c r="D29" t="b">
        <f t="shared" si="0"/>
        <v>1</v>
      </c>
      <c r="F29" t="str">
        <f t="shared" si="1"/>
        <v>000000-2024</v>
      </c>
      <c r="G29" s="13"/>
      <c r="H29" t="b">
        <f t="shared" si="2"/>
        <v>0</v>
      </c>
    </row>
    <row r="30" spans="2:8" x14ac:dyDescent="0.25">
      <c r="B30" s="69"/>
      <c r="C30" s="48"/>
      <c r="D30" t="b">
        <f t="shared" si="0"/>
        <v>1</v>
      </c>
      <c r="F30" t="str">
        <f t="shared" si="1"/>
        <v>000000-2024</v>
      </c>
      <c r="G30" s="13"/>
      <c r="H30" t="b">
        <f t="shared" si="2"/>
        <v>0</v>
      </c>
    </row>
    <row r="31" spans="2:8" x14ac:dyDescent="0.25">
      <c r="B31" s="69"/>
      <c r="C31" s="48"/>
      <c r="D31" t="b">
        <f t="shared" si="0"/>
        <v>1</v>
      </c>
      <c r="F31" t="str">
        <f t="shared" si="1"/>
        <v>000000-2024</v>
      </c>
      <c r="G31" s="13"/>
      <c r="H31" t="b">
        <f t="shared" si="2"/>
        <v>0</v>
      </c>
    </row>
    <row r="32" spans="2:8" x14ac:dyDescent="0.25">
      <c r="B32" s="69"/>
      <c r="C32" s="48"/>
      <c r="D32" t="b">
        <f t="shared" si="0"/>
        <v>1</v>
      </c>
      <c r="F32" t="str">
        <f t="shared" si="1"/>
        <v>000000-2024</v>
      </c>
      <c r="G32" s="13"/>
      <c r="H32" t="b">
        <f t="shared" si="2"/>
        <v>0</v>
      </c>
    </row>
    <row r="33" spans="2:8" x14ac:dyDescent="0.25">
      <c r="B33" s="69"/>
      <c r="C33" s="48"/>
      <c r="D33" t="b">
        <f t="shared" si="0"/>
        <v>1</v>
      </c>
      <c r="F33" t="str">
        <f t="shared" si="1"/>
        <v>000000-2024</v>
      </c>
      <c r="G33" s="13"/>
      <c r="H33" t="b">
        <f t="shared" si="2"/>
        <v>0</v>
      </c>
    </row>
    <row r="34" spans="2:8" x14ac:dyDescent="0.25">
      <c r="B34" s="69"/>
      <c r="C34" s="48"/>
      <c r="D34" t="b">
        <f t="shared" si="0"/>
        <v>1</v>
      </c>
      <c r="F34" t="str">
        <f t="shared" si="1"/>
        <v>000000-2024</v>
      </c>
      <c r="G34" s="13"/>
      <c r="H34" t="b">
        <f t="shared" si="2"/>
        <v>0</v>
      </c>
    </row>
    <row r="35" spans="2:8" ht="13.8" thickBot="1" x14ac:dyDescent="0.3">
      <c r="B35" s="72"/>
      <c r="C35" s="48"/>
      <c r="D35" t="b">
        <f t="shared" si="0"/>
        <v>1</v>
      </c>
      <c r="F35" t="str">
        <f t="shared" si="1"/>
        <v>000000-2024</v>
      </c>
      <c r="G35" s="43"/>
      <c r="H35" t="b">
        <f t="shared" si="2"/>
        <v>0</v>
      </c>
    </row>
    <row r="36" spans="2:8" x14ac:dyDescent="0.25">
      <c r="B36" s="75"/>
      <c r="C36" s="48"/>
      <c r="D36" t="b">
        <f t="shared" si="0"/>
        <v>1</v>
      </c>
      <c r="F36" t="str">
        <f t="shared" si="1"/>
        <v>000000-2024</v>
      </c>
      <c r="G36" s="42"/>
      <c r="H36" t="b">
        <f t="shared" si="2"/>
        <v>0</v>
      </c>
    </row>
    <row r="37" spans="2:8" x14ac:dyDescent="0.25">
      <c r="B37" s="69"/>
      <c r="C37" s="48"/>
      <c r="D37" t="b">
        <f t="shared" si="0"/>
        <v>1</v>
      </c>
      <c r="F37" t="str">
        <f t="shared" si="1"/>
        <v>000000-2024</v>
      </c>
      <c r="G37" s="13"/>
      <c r="H37" t="b">
        <f t="shared" si="2"/>
        <v>0</v>
      </c>
    </row>
    <row r="38" spans="2:8" x14ac:dyDescent="0.25">
      <c r="B38" s="69"/>
      <c r="C38" s="48"/>
      <c r="D38" t="b">
        <f t="shared" si="0"/>
        <v>1</v>
      </c>
      <c r="F38" t="str">
        <f t="shared" si="1"/>
        <v>000000-2024</v>
      </c>
      <c r="G38" s="13"/>
      <c r="H38" t="b">
        <f t="shared" si="2"/>
        <v>0</v>
      </c>
    </row>
    <row r="39" spans="2:8" x14ac:dyDescent="0.25">
      <c r="B39" s="69"/>
      <c r="C39" s="48"/>
      <c r="D39" t="b">
        <f t="shared" si="0"/>
        <v>1</v>
      </c>
      <c r="F39" t="str">
        <f t="shared" si="1"/>
        <v>000000-2024</v>
      </c>
      <c r="G39" s="13"/>
      <c r="H39" t="b">
        <f t="shared" si="2"/>
        <v>0</v>
      </c>
    </row>
    <row r="40" spans="2:8" x14ac:dyDescent="0.25">
      <c r="B40" s="69"/>
      <c r="C40" s="48"/>
      <c r="D40" t="b">
        <f t="shared" si="0"/>
        <v>1</v>
      </c>
      <c r="F40" t="str">
        <f t="shared" si="1"/>
        <v>000000-2024</v>
      </c>
      <c r="G40" s="13"/>
      <c r="H40" t="b">
        <f t="shared" si="2"/>
        <v>0</v>
      </c>
    </row>
    <row r="41" spans="2:8" x14ac:dyDescent="0.25">
      <c r="B41" s="69"/>
      <c r="C41" s="48"/>
      <c r="D41" t="b">
        <f t="shared" si="0"/>
        <v>1</v>
      </c>
      <c r="F41" t="str">
        <f t="shared" si="1"/>
        <v>000000-2024</v>
      </c>
      <c r="G41" s="13"/>
      <c r="H41" t="b">
        <f t="shared" si="2"/>
        <v>0</v>
      </c>
    </row>
    <row r="42" spans="2:8" x14ac:dyDescent="0.25">
      <c r="B42" s="69"/>
      <c r="C42" s="48"/>
      <c r="D42" t="b">
        <f t="shared" si="0"/>
        <v>1</v>
      </c>
      <c r="F42" t="str">
        <f t="shared" si="1"/>
        <v>000000-2024</v>
      </c>
      <c r="G42" s="13"/>
      <c r="H42" t="b">
        <f t="shared" si="2"/>
        <v>0</v>
      </c>
    </row>
    <row r="43" spans="2:8" x14ac:dyDescent="0.25">
      <c r="B43" s="69"/>
      <c r="C43" s="48"/>
      <c r="D43" t="b">
        <f t="shared" si="0"/>
        <v>1</v>
      </c>
      <c r="F43" t="str">
        <f t="shared" si="1"/>
        <v>000000-2024</v>
      </c>
      <c r="G43" s="13"/>
      <c r="H43" t="b">
        <f t="shared" si="2"/>
        <v>0</v>
      </c>
    </row>
    <row r="44" spans="2:8" x14ac:dyDescent="0.25">
      <c r="B44" s="69"/>
      <c r="C44" s="48"/>
      <c r="D44" t="b">
        <f t="shared" si="0"/>
        <v>1</v>
      </c>
      <c r="F44" t="str">
        <f t="shared" si="1"/>
        <v>000000-2024</v>
      </c>
      <c r="G44" s="13"/>
      <c r="H44" t="b">
        <f t="shared" si="2"/>
        <v>0</v>
      </c>
    </row>
    <row r="45" spans="2:8" x14ac:dyDescent="0.25">
      <c r="B45" s="74"/>
      <c r="C45" s="48"/>
      <c r="D45" t="b">
        <f t="shared" si="0"/>
        <v>1</v>
      </c>
      <c r="F45" t="str">
        <f t="shared" si="1"/>
        <v>000000-2024</v>
      </c>
      <c r="G45" s="13"/>
      <c r="H45" t="b">
        <f t="shared" si="2"/>
        <v>0</v>
      </c>
    </row>
    <row r="46" spans="2:8" ht="13.8" thickBot="1" x14ac:dyDescent="0.3">
      <c r="B46" s="72"/>
      <c r="C46" s="48"/>
      <c r="D46" t="b">
        <f t="shared" si="0"/>
        <v>1</v>
      </c>
      <c r="F46" t="str">
        <f t="shared" si="1"/>
        <v>000000-2024</v>
      </c>
      <c r="G46" s="43"/>
      <c r="H46" t="b">
        <f t="shared" si="2"/>
        <v>0</v>
      </c>
    </row>
    <row r="47" spans="2:8" x14ac:dyDescent="0.25">
      <c r="B47" s="75"/>
      <c r="C47" s="48"/>
      <c r="D47" t="b">
        <f t="shared" si="0"/>
        <v>1</v>
      </c>
      <c r="F47" t="str">
        <f t="shared" si="1"/>
        <v>000000-2024</v>
      </c>
      <c r="G47" s="42"/>
      <c r="H47" t="b">
        <f t="shared" si="2"/>
        <v>0</v>
      </c>
    </row>
    <row r="48" spans="2:8" x14ac:dyDescent="0.25">
      <c r="B48" s="69"/>
      <c r="C48" s="48"/>
      <c r="D48" t="b">
        <f t="shared" si="0"/>
        <v>1</v>
      </c>
      <c r="F48" t="str">
        <f t="shared" si="1"/>
        <v>000000-2024</v>
      </c>
      <c r="G48" s="13"/>
      <c r="H48" t="b">
        <f t="shared" si="2"/>
        <v>0</v>
      </c>
    </row>
    <row r="49" spans="2:8" x14ac:dyDescent="0.25">
      <c r="B49" s="69"/>
      <c r="C49" s="48"/>
      <c r="D49" t="b">
        <f t="shared" si="0"/>
        <v>1</v>
      </c>
      <c r="F49" t="str">
        <f t="shared" si="1"/>
        <v>000000-2024</v>
      </c>
      <c r="G49" s="13"/>
      <c r="H49" t="b">
        <f t="shared" si="2"/>
        <v>0</v>
      </c>
    </row>
    <row r="50" spans="2:8" x14ac:dyDescent="0.25">
      <c r="B50" s="69"/>
      <c r="C50" s="48"/>
      <c r="D50" t="b">
        <f t="shared" si="0"/>
        <v>1</v>
      </c>
      <c r="F50" t="str">
        <f t="shared" si="1"/>
        <v>000000-2024</v>
      </c>
      <c r="G50" s="13"/>
      <c r="H50" t="b">
        <f t="shared" si="2"/>
        <v>0</v>
      </c>
    </row>
    <row r="51" spans="2:8" x14ac:dyDescent="0.25">
      <c r="B51" s="69"/>
      <c r="C51" s="48"/>
      <c r="D51" t="b">
        <f t="shared" si="0"/>
        <v>1</v>
      </c>
      <c r="F51" t="str">
        <f t="shared" si="1"/>
        <v>000000-2024</v>
      </c>
      <c r="G51" s="13"/>
      <c r="H51" t="b">
        <f t="shared" si="2"/>
        <v>0</v>
      </c>
    </row>
    <row r="52" spans="2:8" x14ac:dyDescent="0.25">
      <c r="B52" s="69"/>
      <c r="C52" s="48"/>
      <c r="D52" t="b">
        <f t="shared" si="0"/>
        <v>1</v>
      </c>
      <c r="F52" t="str">
        <f t="shared" si="1"/>
        <v>000000-2024</v>
      </c>
      <c r="G52" s="13"/>
      <c r="H52" t="b">
        <f t="shared" si="2"/>
        <v>0</v>
      </c>
    </row>
    <row r="53" spans="2:8" x14ac:dyDescent="0.25">
      <c r="B53" s="69"/>
      <c r="C53" s="48"/>
      <c r="D53" t="b">
        <f t="shared" si="0"/>
        <v>1</v>
      </c>
      <c r="F53" t="str">
        <f t="shared" si="1"/>
        <v>000000-2024</v>
      </c>
      <c r="G53" s="13"/>
      <c r="H53" t="b">
        <f t="shared" si="2"/>
        <v>0</v>
      </c>
    </row>
    <row r="54" spans="2:8" x14ac:dyDescent="0.25">
      <c r="B54" s="69"/>
      <c r="C54" s="48"/>
      <c r="D54" t="b">
        <f t="shared" si="0"/>
        <v>1</v>
      </c>
      <c r="F54" t="str">
        <f t="shared" si="1"/>
        <v>000000-2024</v>
      </c>
      <c r="G54" s="13"/>
      <c r="H54" t="b">
        <f t="shared" si="2"/>
        <v>0</v>
      </c>
    </row>
    <row r="55" spans="2:8" x14ac:dyDescent="0.25">
      <c r="B55" s="69"/>
      <c r="C55" s="48"/>
      <c r="D55" t="b">
        <f t="shared" si="0"/>
        <v>1</v>
      </c>
      <c r="F55" t="str">
        <f t="shared" si="1"/>
        <v>000000-2024</v>
      </c>
      <c r="G55" s="13"/>
      <c r="H55" t="b">
        <f t="shared" si="2"/>
        <v>0</v>
      </c>
    </row>
    <row r="56" spans="2:8" x14ac:dyDescent="0.25">
      <c r="B56" s="69"/>
      <c r="C56" s="48"/>
      <c r="D56" t="b">
        <f t="shared" si="0"/>
        <v>1</v>
      </c>
      <c r="F56" t="str">
        <f t="shared" si="1"/>
        <v>000000-2024</v>
      </c>
      <c r="G56" s="13"/>
      <c r="H56" t="b">
        <f t="shared" si="2"/>
        <v>0</v>
      </c>
    </row>
    <row r="57" spans="2:8" ht="13.8" thickBot="1" x14ac:dyDescent="0.3">
      <c r="B57" s="72"/>
      <c r="C57" s="48"/>
      <c r="D57" t="b">
        <f t="shared" si="0"/>
        <v>1</v>
      </c>
      <c r="F57" t="str">
        <f t="shared" si="1"/>
        <v>000000-2024</v>
      </c>
      <c r="G57" s="43"/>
      <c r="H57" t="b">
        <f t="shared" si="2"/>
        <v>0</v>
      </c>
    </row>
    <row r="58" spans="2:8" x14ac:dyDescent="0.25">
      <c r="B58" s="75"/>
      <c r="C58" s="48"/>
      <c r="D58" t="b">
        <f t="shared" si="0"/>
        <v>1</v>
      </c>
      <c r="F58" t="str">
        <f t="shared" si="1"/>
        <v>000000-2024</v>
      </c>
      <c r="G58" s="42"/>
      <c r="H58" t="b">
        <f t="shared" si="2"/>
        <v>0</v>
      </c>
    </row>
    <row r="59" spans="2:8" x14ac:dyDescent="0.25">
      <c r="B59" s="69"/>
      <c r="C59" s="48"/>
      <c r="D59" t="b">
        <f t="shared" si="0"/>
        <v>1</v>
      </c>
      <c r="F59" t="str">
        <f t="shared" si="1"/>
        <v>000000-2024</v>
      </c>
      <c r="G59" s="13"/>
      <c r="H59" t="b">
        <f t="shared" si="2"/>
        <v>0</v>
      </c>
    </row>
    <row r="60" spans="2:8" x14ac:dyDescent="0.25">
      <c r="B60" s="69"/>
      <c r="C60" s="48"/>
      <c r="D60" t="b">
        <f t="shared" si="0"/>
        <v>1</v>
      </c>
      <c r="F60" t="str">
        <f t="shared" si="1"/>
        <v>000000-2024</v>
      </c>
      <c r="G60" s="13"/>
      <c r="H60" t="b">
        <f t="shared" si="2"/>
        <v>0</v>
      </c>
    </row>
    <row r="61" spans="2:8" x14ac:dyDescent="0.25">
      <c r="B61" s="69"/>
      <c r="C61" s="48"/>
      <c r="D61" t="b">
        <f t="shared" si="0"/>
        <v>1</v>
      </c>
      <c r="F61" t="str">
        <f t="shared" si="1"/>
        <v>000000-2024</v>
      </c>
      <c r="G61" s="13"/>
      <c r="H61" t="b">
        <f t="shared" si="2"/>
        <v>0</v>
      </c>
    </row>
    <row r="62" spans="2:8" x14ac:dyDescent="0.25">
      <c r="B62" s="69"/>
      <c r="C62" s="48"/>
      <c r="D62" t="b">
        <f t="shared" si="0"/>
        <v>1</v>
      </c>
      <c r="F62" t="str">
        <f t="shared" si="1"/>
        <v>000000-2024</v>
      </c>
      <c r="G62" s="13"/>
      <c r="H62" t="b">
        <f t="shared" si="2"/>
        <v>0</v>
      </c>
    </row>
    <row r="63" spans="2:8" x14ac:dyDescent="0.25">
      <c r="B63" s="69"/>
      <c r="C63" s="48"/>
      <c r="D63" t="b">
        <f t="shared" si="0"/>
        <v>1</v>
      </c>
      <c r="F63" t="str">
        <f t="shared" si="1"/>
        <v>000000-2024</v>
      </c>
      <c r="G63" s="13"/>
      <c r="H63" t="b">
        <f t="shared" si="2"/>
        <v>0</v>
      </c>
    </row>
    <row r="64" spans="2:8" x14ac:dyDescent="0.25">
      <c r="B64" s="69"/>
      <c r="C64" s="48"/>
      <c r="D64" t="b">
        <f t="shared" si="0"/>
        <v>1</v>
      </c>
      <c r="F64" t="str">
        <f t="shared" si="1"/>
        <v>000000-2024</v>
      </c>
      <c r="G64" s="13"/>
      <c r="H64" t="b">
        <f t="shared" si="2"/>
        <v>0</v>
      </c>
    </row>
    <row r="65" spans="2:8" x14ac:dyDescent="0.25">
      <c r="B65" s="74"/>
      <c r="C65" s="48"/>
      <c r="D65" t="b">
        <f t="shared" si="0"/>
        <v>1</v>
      </c>
      <c r="F65" t="str">
        <f t="shared" si="1"/>
        <v>000000-2024</v>
      </c>
      <c r="G65" s="13"/>
      <c r="H65" t="b">
        <f t="shared" si="2"/>
        <v>0</v>
      </c>
    </row>
    <row r="66" spans="2:8" x14ac:dyDescent="0.25">
      <c r="B66" s="69"/>
      <c r="C66" s="48"/>
      <c r="D66" t="b">
        <f t="shared" si="0"/>
        <v>1</v>
      </c>
      <c r="F66" t="str">
        <f t="shared" si="1"/>
        <v>000000-2024</v>
      </c>
      <c r="G66" s="13"/>
      <c r="H66" t="b">
        <f t="shared" si="2"/>
        <v>0</v>
      </c>
    </row>
    <row r="67" spans="2:8" x14ac:dyDescent="0.25">
      <c r="B67" s="69"/>
      <c r="C67" s="48"/>
      <c r="D67" t="b">
        <f t="shared" si="0"/>
        <v>1</v>
      </c>
      <c r="F67" t="str">
        <f t="shared" si="1"/>
        <v>000000-2024</v>
      </c>
      <c r="G67" s="13"/>
      <c r="H67" t="b">
        <f t="shared" si="2"/>
        <v>0</v>
      </c>
    </row>
    <row r="68" spans="2:8" ht="13.8" thickBot="1" x14ac:dyDescent="0.3">
      <c r="B68" s="47"/>
      <c r="C68" s="48"/>
      <c r="D68" t="b">
        <f t="shared" si="0"/>
        <v>1</v>
      </c>
      <c r="F68" t="str">
        <f t="shared" si="1"/>
        <v>000000-2024</v>
      </c>
      <c r="G68" s="43"/>
      <c r="H68" t="b">
        <f t="shared" si="2"/>
        <v>0</v>
      </c>
    </row>
    <row r="69" spans="2:8" x14ac:dyDescent="0.25">
      <c r="B69" s="75"/>
      <c r="C69" s="48"/>
      <c r="D69" t="b">
        <f t="shared" ref="D69:D132" si="3">B69=C69</f>
        <v>1</v>
      </c>
      <c r="F69" t="str">
        <f t="shared" ref="F69:F132" si="4">TEXT(E69,"000000")&amp;"-2024"</f>
        <v>000000-2024</v>
      </c>
      <c r="G69" s="42"/>
      <c r="H69" t="b">
        <f t="shared" ref="H69:H132" si="5">F69=G69</f>
        <v>0</v>
      </c>
    </row>
    <row r="70" spans="2:8" x14ac:dyDescent="0.25">
      <c r="B70" s="69"/>
      <c r="C70" s="48"/>
      <c r="D70" t="b">
        <f t="shared" si="3"/>
        <v>1</v>
      </c>
      <c r="F70" t="str">
        <f t="shared" si="4"/>
        <v>000000-2024</v>
      </c>
      <c r="G70" s="13"/>
      <c r="H70" t="b">
        <f t="shared" si="5"/>
        <v>0</v>
      </c>
    </row>
    <row r="71" spans="2:8" x14ac:dyDescent="0.25">
      <c r="B71" s="69"/>
      <c r="C71" s="48"/>
      <c r="D71" t="b">
        <f t="shared" si="3"/>
        <v>1</v>
      </c>
      <c r="F71" t="str">
        <f t="shared" si="4"/>
        <v>000000-2024</v>
      </c>
      <c r="G71" s="13"/>
      <c r="H71" t="b">
        <f t="shared" si="5"/>
        <v>0</v>
      </c>
    </row>
    <row r="72" spans="2:8" x14ac:dyDescent="0.25">
      <c r="B72" s="69"/>
      <c r="C72" s="48"/>
      <c r="D72" t="b">
        <f t="shared" si="3"/>
        <v>1</v>
      </c>
      <c r="F72" t="str">
        <f t="shared" si="4"/>
        <v>000000-2024</v>
      </c>
      <c r="G72" s="13"/>
      <c r="H72" t="b">
        <f t="shared" si="5"/>
        <v>0</v>
      </c>
    </row>
    <row r="73" spans="2:8" x14ac:dyDescent="0.25">
      <c r="B73" s="69"/>
      <c r="C73" s="48"/>
      <c r="D73" t="b">
        <f t="shared" si="3"/>
        <v>1</v>
      </c>
      <c r="F73" t="str">
        <f t="shared" si="4"/>
        <v>000000-2024</v>
      </c>
      <c r="G73" s="13"/>
      <c r="H73" t="b">
        <f t="shared" si="5"/>
        <v>0</v>
      </c>
    </row>
    <row r="74" spans="2:8" x14ac:dyDescent="0.25">
      <c r="B74" s="69"/>
      <c r="C74" s="48"/>
      <c r="D74" t="b">
        <f t="shared" si="3"/>
        <v>1</v>
      </c>
      <c r="F74" t="str">
        <f t="shared" si="4"/>
        <v>000000-2024</v>
      </c>
      <c r="G74" s="13"/>
      <c r="H74" t="b">
        <f t="shared" si="5"/>
        <v>0</v>
      </c>
    </row>
    <row r="75" spans="2:8" x14ac:dyDescent="0.25">
      <c r="B75" s="69"/>
      <c r="C75" s="48"/>
      <c r="D75" t="b">
        <f t="shared" si="3"/>
        <v>1</v>
      </c>
      <c r="F75" t="str">
        <f t="shared" si="4"/>
        <v>000000-2024</v>
      </c>
      <c r="G75" s="13"/>
      <c r="H75" t="b">
        <f t="shared" si="5"/>
        <v>0</v>
      </c>
    </row>
    <row r="76" spans="2:8" x14ac:dyDescent="0.25">
      <c r="B76" s="69"/>
      <c r="C76" s="48"/>
      <c r="D76" t="b">
        <f t="shared" si="3"/>
        <v>1</v>
      </c>
      <c r="F76" t="str">
        <f t="shared" si="4"/>
        <v>000000-2024</v>
      </c>
      <c r="G76" s="13"/>
      <c r="H76" t="b">
        <f t="shared" si="5"/>
        <v>0</v>
      </c>
    </row>
    <row r="77" spans="2:8" x14ac:dyDescent="0.25">
      <c r="B77" s="69"/>
      <c r="C77" s="48"/>
      <c r="D77" t="b">
        <f t="shared" si="3"/>
        <v>1</v>
      </c>
      <c r="F77" t="str">
        <f t="shared" si="4"/>
        <v>000000-2024</v>
      </c>
      <c r="G77" s="13"/>
      <c r="H77" t="b">
        <f t="shared" si="5"/>
        <v>0</v>
      </c>
    </row>
    <row r="78" spans="2:8" x14ac:dyDescent="0.25">
      <c r="B78" s="69"/>
      <c r="C78" s="48"/>
      <c r="D78" t="b">
        <f t="shared" si="3"/>
        <v>1</v>
      </c>
      <c r="F78" t="str">
        <f t="shared" si="4"/>
        <v>000000-2024</v>
      </c>
      <c r="G78" s="13"/>
      <c r="H78" t="b">
        <f t="shared" si="5"/>
        <v>0</v>
      </c>
    </row>
    <row r="79" spans="2:8" ht="13.8" thickBot="1" x14ac:dyDescent="0.3">
      <c r="B79" s="47"/>
      <c r="C79" s="48"/>
      <c r="D79" t="b">
        <f t="shared" si="3"/>
        <v>1</v>
      </c>
      <c r="F79" t="str">
        <f t="shared" si="4"/>
        <v>000000-2024</v>
      </c>
      <c r="G79" s="43"/>
      <c r="H79" t="b">
        <f t="shared" si="5"/>
        <v>0</v>
      </c>
    </row>
    <row r="80" spans="2:8" x14ac:dyDescent="0.25">
      <c r="B80" s="75"/>
      <c r="C80" s="48"/>
      <c r="D80" t="b">
        <f t="shared" si="3"/>
        <v>1</v>
      </c>
      <c r="F80" t="str">
        <f t="shared" si="4"/>
        <v>000000-2024</v>
      </c>
      <c r="G80" s="42"/>
      <c r="H80" t="b">
        <f t="shared" si="5"/>
        <v>0</v>
      </c>
    </row>
    <row r="81" spans="2:8" x14ac:dyDescent="0.25">
      <c r="B81" s="69"/>
      <c r="C81" s="48"/>
      <c r="D81" t="b">
        <f t="shared" si="3"/>
        <v>1</v>
      </c>
      <c r="F81" t="str">
        <f t="shared" si="4"/>
        <v>000000-2024</v>
      </c>
      <c r="G81" s="13"/>
      <c r="H81" t="b">
        <f t="shared" si="5"/>
        <v>0</v>
      </c>
    </row>
    <row r="82" spans="2:8" x14ac:dyDescent="0.25">
      <c r="B82" s="69"/>
      <c r="C82" s="48"/>
      <c r="D82" t="b">
        <f t="shared" si="3"/>
        <v>1</v>
      </c>
      <c r="F82" t="str">
        <f t="shared" si="4"/>
        <v>000000-2024</v>
      </c>
      <c r="G82" s="13"/>
      <c r="H82" t="b">
        <f t="shared" si="5"/>
        <v>0</v>
      </c>
    </row>
    <row r="83" spans="2:8" x14ac:dyDescent="0.25">
      <c r="B83" s="69"/>
      <c r="C83" s="48"/>
      <c r="D83" t="b">
        <f t="shared" si="3"/>
        <v>1</v>
      </c>
      <c r="F83" t="str">
        <f t="shared" si="4"/>
        <v>000000-2024</v>
      </c>
      <c r="G83" s="13"/>
      <c r="H83" t="b">
        <f t="shared" si="5"/>
        <v>0</v>
      </c>
    </row>
    <row r="84" spans="2:8" x14ac:dyDescent="0.25">
      <c r="B84" s="69"/>
      <c r="C84" s="48"/>
      <c r="D84" t="b">
        <f t="shared" si="3"/>
        <v>1</v>
      </c>
      <c r="F84" t="str">
        <f t="shared" si="4"/>
        <v>000000-2024</v>
      </c>
      <c r="G84" s="13"/>
      <c r="H84" t="b">
        <f t="shared" si="5"/>
        <v>0</v>
      </c>
    </row>
    <row r="85" spans="2:8" x14ac:dyDescent="0.25">
      <c r="B85" s="69"/>
      <c r="C85" s="48"/>
      <c r="D85" t="b">
        <f t="shared" si="3"/>
        <v>1</v>
      </c>
      <c r="F85" t="str">
        <f t="shared" si="4"/>
        <v>000000-2024</v>
      </c>
      <c r="G85" s="13"/>
      <c r="H85" t="b">
        <f t="shared" si="5"/>
        <v>0</v>
      </c>
    </row>
    <row r="86" spans="2:8" x14ac:dyDescent="0.25">
      <c r="B86" s="69"/>
      <c r="C86" s="48"/>
      <c r="D86" t="b">
        <f t="shared" si="3"/>
        <v>1</v>
      </c>
      <c r="F86" t="str">
        <f t="shared" si="4"/>
        <v>000000-2024</v>
      </c>
      <c r="G86" s="13"/>
      <c r="H86" t="b">
        <f t="shared" si="5"/>
        <v>0</v>
      </c>
    </row>
    <row r="87" spans="2:8" x14ac:dyDescent="0.25">
      <c r="B87" s="69"/>
      <c r="C87" s="48"/>
      <c r="D87" t="b">
        <f t="shared" si="3"/>
        <v>1</v>
      </c>
      <c r="F87" t="str">
        <f t="shared" si="4"/>
        <v>000000-2024</v>
      </c>
      <c r="G87" s="13"/>
      <c r="H87" t="b">
        <f t="shared" si="5"/>
        <v>0</v>
      </c>
    </row>
    <row r="88" spans="2:8" x14ac:dyDescent="0.25">
      <c r="B88" s="69"/>
      <c r="C88" s="48"/>
      <c r="D88" t="b">
        <f t="shared" si="3"/>
        <v>1</v>
      </c>
      <c r="F88" t="str">
        <f t="shared" si="4"/>
        <v>000000-2024</v>
      </c>
      <c r="G88" s="13"/>
      <c r="H88" t="b">
        <f t="shared" si="5"/>
        <v>0</v>
      </c>
    </row>
    <row r="89" spans="2:8" x14ac:dyDescent="0.25">
      <c r="B89" s="74"/>
      <c r="C89" s="48"/>
      <c r="D89" t="b">
        <f t="shared" si="3"/>
        <v>1</v>
      </c>
      <c r="F89" t="str">
        <f t="shared" si="4"/>
        <v>000000-2024</v>
      </c>
      <c r="G89" s="13"/>
      <c r="H89" t="b">
        <f t="shared" si="5"/>
        <v>0</v>
      </c>
    </row>
    <row r="90" spans="2:8" ht="13.8" thickBot="1" x14ac:dyDescent="0.3">
      <c r="B90" s="72"/>
      <c r="C90" s="48"/>
      <c r="D90" t="b">
        <f t="shared" si="3"/>
        <v>1</v>
      </c>
      <c r="F90" t="str">
        <f t="shared" si="4"/>
        <v>000000-2024</v>
      </c>
      <c r="G90" s="43"/>
      <c r="H90" t="b">
        <f t="shared" si="5"/>
        <v>0</v>
      </c>
    </row>
    <row r="91" spans="2:8" x14ac:dyDescent="0.25">
      <c r="B91" s="75"/>
      <c r="C91" s="48"/>
      <c r="D91" t="b">
        <f t="shared" si="3"/>
        <v>1</v>
      </c>
      <c r="F91" t="str">
        <f t="shared" si="4"/>
        <v>000000-2024</v>
      </c>
      <c r="G91" s="42"/>
      <c r="H91" t="b">
        <f t="shared" si="5"/>
        <v>0</v>
      </c>
    </row>
    <row r="92" spans="2:8" x14ac:dyDescent="0.25">
      <c r="B92" s="69"/>
      <c r="C92" s="48"/>
      <c r="D92" t="b">
        <f t="shared" si="3"/>
        <v>1</v>
      </c>
      <c r="F92" t="str">
        <f t="shared" si="4"/>
        <v>000000-2024</v>
      </c>
      <c r="G92" s="13"/>
      <c r="H92" t="b">
        <f t="shared" si="5"/>
        <v>0</v>
      </c>
    </row>
    <row r="93" spans="2:8" x14ac:dyDescent="0.25">
      <c r="B93" s="69"/>
      <c r="C93" s="48"/>
      <c r="D93" t="b">
        <f t="shared" si="3"/>
        <v>1</v>
      </c>
      <c r="F93" t="str">
        <f t="shared" si="4"/>
        <v>000000-2024</v>
      </c>
      <c r="G93" s="13"/>
      <c r="H93" t="b">
        <f t="shared" si="5"/>
        <v>0</v>
      </c>
    </row>
    <row r="94" spans="2:8" x14ac:dyDescent="0.25">
      <c r="B94" s="69"/>
      <c r="C94" s="48"/>
      <c r="D94" t="b">
        <f t="shared" si="3"/>
        <v>1</v>
      </c>
      <c r="F94" t="str">
        <f t="shared" si="4"/>
        <v>000000-2024</v>
      </c>
      <c r="G94" s="13"/>
      <c r="H94" t="b">
        <f t="shared" si="5"/>
        <v>0</v>
      </c>
    </row>
    <row r="95" spans="2:8" x14ac:dyDescent="0.25">
      <c r="B95" s="69"/>
      <c r="C95" s="48"/>
      <c r="D95" t="b">
        <f t="shared" si="3"/>
        <v>1</v>
      </c>
      <c r="F95" t="str">
        <f t="shared" si="4"/>
        <v>000000-2024</v>
      </c>
      <c r="G95" s="13"/>
      <c r="H95" t="b">
        <f t="shared" si="5"/>
        <v>0</v>
      </c>
    </row>
    <row r="96" spans="2:8" x14ac:dyDescent="0.25">
      <c r="B96" s="69"/>
      <c r="C96" s="48"/>
      <c r="D96" t="b">
        <f t="shared" si="3"/>
        <v>1</v>
      </c>
      <c r="F96" t="str">
        <f t="shared" si="4"/>
        <v>000000-2024</v>
      </c>
      <c r="G96" s="13"/>
      <c r="H96" t="b">
        <f t="shared" si="5"/>
        <v>0</v>
      </c>
    </row>
    <row r="97" spans="2:8" x14ac:dyDescent="0.25">
      <c r="B97" s="69"/>
      <c r="C97" s="48"/>
      <c r="D97" t="b">
        <f t="shared" si="3"/>
        <v>1</v>
      </c>
      <c r="F97" t="str">
        <f t="shared" si="4"/>
        <v>000000-2024</v>
      </c>
      <c r="G97" s="13"/>
      <c r="H97" t="b">
        <f t="shared" si="5"/>
        <v>0</v>
      </c>
    </row>
    <row r="98" spans="2:8" x14ac:dyDescent="0.25">
      <c r="B98" s="69"/>
      <c r="C98" s="48"/>
      <c r="D98" t="b">
        <f t="shared" si="3"/>
        <v>1</v>
      </c>
      <c r="F98" t="str">
        <f t="shared" si="4"/>
        <v>000000-2024</v>
      </c>
      <c r="G98" s="13"/>
      <c r="H98" t="b">
        <f t="shared" si="5"/>
        <v>0</v>
      </c>
    </row>
    <row r="99" spans="2:8" x14ac:dyDescent="0.25">
      <c r="B99" s="69"/>
      <c r="C99" s="48"/>
      <c r="D99" t="b">
        <f t="shared" si="3"/>
        <v>1</v>
      </c>
      <c r="F99" t="str">
        <f t="shared" si="4"/>
        <v>000000-2024</v>
      </c>
      <c r="G99" s="13"/>
      <c r="H99" t="b">
        <f t="shared" si="5"/>
        <v>0</v>
      </c>
    </row>
    <row r="100" spans="2:8" x14ac:dyDescent="0.25">
      <c r="B100" s="69"/>
      <c r="C100" s="48"/>
      <c r="D100" t="b">
        <f t="shared" si="3"/>
        <v>1</v>
      </c>
      <c r="F100" t="str">
        <f t="shared" si="4"/>
        <v>000000-2024</v>
      </c>
      <c r="G100" s="13"/>
      <c r="H100" t="b">
        <f t="shared" si="5"/>
        <v>0</v>
      </c>
    </row>
    <row r="101" spans="2:8" ht="13.8" thickBot="1" x14ac:dyDescent="0.3">
      <c r="B101" s="72"/>
      <c r="C101" s="48"/>
      <c r="D101" t="b">
        <f t="shared" si="3"/>
        <v>1</v>
      </c>
      <c r="F101" t="str">
        <f t="shared" si="4"/>
        <v>000000-2024</v>
      </c>
      <c r="G101" s="43"/>
      <c r="H101" t="b">
        <f t="shared" si="5"/>
        <v>0</v>
      </c>
    </row>
    <row r="102" spans="2:8" x14ac:dyDescent="0.25">
      <c r="B102" s="44"/>
      <c r="C102" s="48"/>
      <c r="D102" t="b">
        <f t="shared" si="3"/>
        <v>1</v>
      </c>
      <c r="F102" t="str">
        <f t="shared" si="4"/>
        <v>000000-2024</v>
      </c>
      <c r="G102" s="42"/>
      <c r="H102" t="b">
        <f t="shared" si="5"/>
        <v>0</v>
      </c>
    </row>
    <row r="103" spans="2:8" x14ac:dyDescent="0.25">
      <c r="B103" s="69"/>
      <c r="C103" s="48"/>
      <c r="D103" t="b">
        <f t="shared" si="3"/>
        <v>1</v>
      </c>
      <c r="F103" t="str">
        <f t="shared" si="4"/>
        <v>000000-2024</v>
      </c>
      <c r="G103" s="13"/>
      <c r="H103" t="b">
        <f t="shared" si="5"/>
        <v>0</v>
      </c>
    </row>
    <row r="104" spans="2:8" x14ac:dyDescent="0.25">
      <c r="B104" s="69"/>
      <c r="C104" s="48"/>
      <c r="D104" t="b">
        <f t="shared" si="3"/>
        <v>1</v>
      </c>
      <c r="F104" t="str">
        <f t="shared" si="4"/>
        <v>000000-2024</v>
      </c>
      <c r="G104" s="13"/>
      <c r="H104" t="b">
        <f t="shared" si="5"/>
        <v>0</v>
      </c>
    </row>
    <row r="105" spans="2:8" x14ac:dyDescent="0.25">
      <c r="B105" s="69"/>
      <c r="C105" s="48"/>
      <c r="D105" t="b">
        <f t="shared" si="3"/>
        <v>1</v>
      </c>
      <c r="F105" t="str">
        <f t="shared" si="4"/>
        <v>000000-2024</v>
      </c>
      <c r="G105" s="13"/>
      <c r="H105" t="b">
        <f t="shared" si="5"/>
        <v>0</v>
      </c>
    </row>
    <row r="106" spans="2:8" x14ac:dyDescent="0.25">
      <c r="B106" s="69"/>
      <c r="C106" s="48"/>
      <c r="D106" t="b">
        <f t="shared" si="3"/>
        <v>1</v>
      </c>
      <c r="F106" t="str">
        <f t="shared" si="4"/>
        <v>000000-2024</v>
      </c>
      <c r="G106" s="13"/>
      <c r="H106" t="b">
        <f t="shared" si="5"/>
        <v>0</v>
      </c>
    </row>
    <row r="107" spans="2:8" x14ac:dyDescent="0.25">
      <c r="B107" s="69"/>
      <c r="C107" s="48"/>
      <c r="D107" t="b">
        <f t="shared" si="3"/>
        <v>1</v>
      </c>
      <c r="F107" t="str">
        <f t="shared" si="4"/>
        <v>000000-2024</v>
      </c>
      <c r="G107" s="13"/>
      <c r="H107" t="b">
        <f t="shared" si="5"/>
        <v>0</v>
      </c>
    </row>
    <row r="108" spans="2:8" x14ac:dyDescent="0.25">
      <c r="B108" s="74"/>
      <c r="C108" s="48"/>
      <c r="D108" t="b">
        <f t="shared" si="3"/>
        <v>1</v>
      </c>
      <c r="F108" t="str">
        <f t="shared" si="4"/>
        <v>000000-2024</v>
      </c>
      <c r="G108" s="13"/>
      <c r="H108" t="b">
        <f t="shared" si="5"/>
        <v>0</v>
      </c>
    </row>
    <row r="109" spans="2:8" x14ac:dyDescent="0.25">
      <c r="B109" s="69"/>
      <c r="C109" s="48"/>
      <c r="D109" t="b">
        <f t="shared" si="3"/>
        <v>1</v>
      </c>
      <c r="F109" t="str">
        <f t="shared" si="4"/>
        <v>000000-2024</v>
      </c>
      <c r="G109" s="13"/>
      <c r="H109" t="b">
        <f t="shared" si="5"/>
        <v>0</v>
      </c>
    </row>
    <row r="110" spans="2:8" x14ac:dyDescent="0.25">
      <c r="B110" s="69"/>
      <c r="C110" s="48"/>
      <c r="D110" t="b">
        <f t="shared" si="3"/>
        <v>1</v>
      </c>
      <c r="F110" t="str">
        <f t="shared" si="4"/>
        <v>000000-2024</v>
      </c>
      <c r="G110" s="13"/>
      <c r="H110" t="b">
        <f t="shared" si="5"/>
        <v>0</v>
      </c>
    </row>
    <row r="111" spans="2:8" x14ac:dyDescent="0.25">
      <c r="B111" s="69"/>
      <c r="C111" s="48"/>
      <c r="D111" t="b">
        <f t="shared" si="3"/>
        <v>1</v>
      </c>
      <c r="F111" t="str">
        <f t="shared" si="4"/>
        <v>000000-2024</v>
      </c>
      <c r="G111" s="13"/>
      <c r="H111" t="b">
        <f t="shared" si="5"/>
        <v>0</v>
      </c>
    </row>
    <row r="112" spans="2:8" ht="13.8" thickBot="1" x14ac:dyDescent="0.3">
      <c r="B112" s="72"/>
      <c r="C112" s="48"/>
      <c r="D112" t="b">
        <f t="shared" si="3"/>
        <v>1</v>
      </c>
      <c r="F112" t="str">
        <f t="shared" si="4"/>
        <v>000000-2024</v>
      </c>
      <c r="G112" s="43"/>
      <c r="H112" t="b">
        <f t="shared" si="5"/>
        <v>0</v>
      </c>
    </row>
    <row r="113" spans="2:8" x14ac:dyDescent="0.25">
      <c r="B113" s="75"/>
      <c r="C113" s="48"/>
      <c r="D113" t="b">
        <f t="shared" si="3"/>
        <v>1</v>
      </c>
      <c r="F113" t="str">
        <f t="shared" si="4"/>
        <v>000000-2024</v>
      </c>
      <c r="G113" s="42"/>
      <c r="H113" t="b">
        <f t="shared" si="5"/>
        <v>0</v>
      </c>
    </row>
    <row r="114" spans="2:8" x14ac:dyDescent="0.25">
      <c r="B114" s="69"/>
      <c r="C114" s="48"/>
      <c r="D114" t="b">
        <f t="shared" si="3"/>
        <v>1</v>
      </c>
      <c r="F114" t="str">
        <f t="shared" si="4"/>
        <v>000000-2024</v>
      </c>
      <c r="G114" s="13"/>
      <c r="H114" t="b">
        <f t="shared" si="5"/>
        <v>0</v>
      </c>
    </row>
    <row r="115" spans="2:8" x14ac:dyDescent="0.25">
      <c r="B115" s="69"/>
      <c r="C115" s="48"/>
      <c r="D115" t="b">
        <f t="shared" si="3"/>
        <v>1</v>
      </c>
      <c r="F115" t="str">
        <f t="shared" si="4"/>
        <v>000000-2024</v>
      </c>
      <c r="G115" s="13"/>
      <c r="H115" t="b">
        <f t="shared" si="5"/>
        <v>0</v>
      </c>
    </row>
    <row r="116" spans="2:8" x14ac:dyDescent="0.25">
      <c r="B116" s="69"/>
      <c r="C116" s="48"/>
      <c r="D116" t="b">
        <f t="shared" si="3"/>
        <v>1</v>
      </c>
      <c r="F116" t="str">
        <f t="shared" si="4"/>
        <v>000000-2024</v>
      </c>
      <c r="G116" s="13"/>
      <c r="H116" t="b">
        <f t="shared" si="5"/>
        <v>0</v>
      </c>
    </row>
    <row r="117" spans="2:8" x14ac:dyDescent="0.25">
      <c r="B117" s="69"/>
      <c r="C117" s="48"/>
      <c r="D117" t="b">
        <f t="shared" si="3"/>
        <v>1</v>
      </c>
      <c r="F117" t="str">
        <f t="shared" si="4"/>
        <v>000000-2024</v>
      </c>
      <c r="G117" s="13"/>
      <c r="H117" t="b">
        <f t="shared" si="5"/>
        <v>0</v>
      </c>
    </row>
    <row r="118" spans="2:8" x14ac:dyDescent="0.25">
      <c r="B118" s="69"/>
      <c r="C118" s="48"/>
      <c r="D118" t="b">
        <f t="shared" si="3"/>
        <v>1</v>
      </c>
      <c r="F118" t="str">
        <f t="shared" si="4"/>
        <v>000000-2024</v>
      </c>
      <c r="G118" s="13"/>
      <c r="H118" t="b">
        <f t="shared" si="5"/>
        <v>0</v>
      </c>
    </row>
    <row r="119" spans="2:8" x14ac:dyDescent="0.25">
      <c r="B119" s="69"/>
      <c r="C119" s="48"/>
      <c r="D119" t="b">
        <f t="shared" si="3"/>
        <v>1</v>
      </c>
      <c r="F119" t="str">
        <f t="shared" si="4"/>
        <v>000000-2024</v>
      </c>
      <c r="G119" s="13"/>
      <c r="H119" t="b">
        <f t="shared" si="5"/>
        <v>0</v>
      </c>
    </row>
    <row r="120" spans="2:8" x14ac:dyDescent="0.25">
      <c r="B120" s="69"/>
      <c r="C120" s="48"/>
      <c r="D120" t="b">
        <f t="shared" si="3"/>
        <v>1</v>
      </c>
      <c r="F120" t="str">
        <f t="shared" si="4"/>
        <v>000000-2024</v>
      </c>
      <c r="G120" s="13"/>
      <c r="H120" t="b">
        <f t="shared" si="5"/>
        <v>0</v>
      </c>
    </row>
    <row r="121" spans="2:8" x14ac:dyDescent="0.25">
      <c r="B121" s="69"/>
      <c r="C121" s="48"/>
      <c r="D121" t="b">
        <f t="shared" si="3"/>
        <v>1</v>
      </c>
      <c r="F121" t="str">
        <f t="shared" si="4"/>
        <v>000000-2024</v>
      </c>
      <c r="G121" s="13"/>
      <c r="H121" t="b">
        <f t="shared" si="5"/>
        <v>0</v>
      </c>
    </row>
    <row r="122" spans="2:8" x14ac:dyDescent="0.25">
      <c r="B122" s="69"/>
      <c r="C122" s="48"/>
      <c r="D122" t="b">
        <f t="shared" si="3"/>
        <v>1</v>
      </c>
      <c r="F122" t="str">
        <f t="shared" si="4"/>
        <v>000000-2024</v>
      </c>
      <c r="G122" s="13"/>
      <c r="H122" t="b">
        <f t="shared" si="5"/>
        <v>0</v>
      </c>
    </row>
    <row r="123" spans="2:8" ht="13.8" thickBot="1" x14ac:dyDescent="0.3">
      <c r="B123" s="72"/>
      <c r="C123" s="48"/>
      <c r="D123" t="b">
        <f t="shared" si="3"/>
        <v>1</v>
      </c>
      <c r="F123" t="str">
        <f t="shared" si="4"/>
        <v>000000-2024</v>
      </c>
      <c r="G123" s="43"/>
      <c r="H123" t="b">
        <f t="shared" si="5"/>
        <v>0</v>
      </c>
    </row>
    <row r="124" spans="2:8" x14ac:dyDescent="0.25">
      <c r="B124" s="75"/>
      <c r="C124" s="48"/>
      <c r="D124" t="b">
        <f t="shared" si="3"/>
        <v>1</v>
      </c>
      <c r="F124" t="str">
        <f t="shared" si="4"/>
        <v>000000-2024</v>
      </c>
      <c r="G124" s="42"/>
      <c r="H124" t="b">
        <f t="shared" si="5"/>
        <v>0</v>
      </c>
    </row>
    <row r="125" spans="2:8" x14ac:dyDescent="0.25">
      <c r="B125" s="69"/>
      <c r="C125" s="48"/>
      <c r="D125" t="b">
        <f t="shared" si="3"/>
        <v>1</v>
      </c>
      <c r="F125" t="str">
        <f t="shared" si="4"/>
        <v>000000-2024</v>
      </c>
      <c r="G125" s="13"/>
      <c r="H125" t="b">
        <f t="shared" si="5"/>
        <v>0</v>
      </c>
    </row>
    <row r="126" spans="2:8" x14ac:dyDescent="0.25">
      <c r="B126" s="69"/>
      <c r="C126" s="48"/>
      <c r="D126" t="b">
        <f t="shared" si="3"/>
        <v>1</v>
      </c>
      <c r="F126" t="str">
        <f t="shared" si="4"/>
        <v>000000-2024</v>
      </c>
      <c r="G126" s="13"/>
      <c r="H126" t="b">
        <f t="shared" si="5"/>
        <v>0</v>
      </c>
    </row>
    <row r="127" spans="2:8" x14ac:dyDescent="0.25">
      <c r="B127" s="69"/>
      <c r="C127" s="48"/>
      <c r="D127" t="b">
        <f t="shared" si="3"/>
        <v>1</v>
      </c>
      <c r="F127" t="str">
        <f t="shared" si="4"/>
        <v>000000-2024</v>
      </c>
      <c r="G127" s="13"/>
      <c r="H127" t="b">
        <f t="shared" si="5"/>
        <v>0</v>
      </c>
    </row>
    <row r="128" spans="2:8" x14ac:dyDescent="0.25">
      <c r="B128" s="69"/>
      <c r="C128" s="48"/>
      <c r="D128" t="b">
        <f t="shared" si="3"/>
        <v>1</v>
      </c>
      <c r="F128" t="str">
        <f t="shared" si="4"/>
        <v>000000-2024</v>
      </c>
      <c r="G128" s="13"/>
      <c r="H128" t="b">
        <f t="shared" si="5"/>
        <v>0</v>
      </c>
    </row>
    <row r="129" spans="2:8" x14ac:dyDescent="0.25">
      <c r="B129" s="69"/>
      <c r="C129" s="48"/>
      <c r="D129" t="b">
        <f t="shared" si="3"/>
        <v>1</v>
      </c>
      <c r="F129" t="str">
        <f t="shared" si="4"/>
        <v>000000-2024</v>
      </c>
      <c r="G129" s="13"/>
      <c r="H129" t="b">
        <f t="shared" si="5"/>
        <v>0</v>
      </c>
    </row>
    <row r="130" spans="2:8" x14ac:dyDescent="0.25">
      <c r="B130" s="69"/>
      <c r="C130" s="48"/>
      <c r="D130" t="b">
        <f t="shared" si="3"/>
        <v>1</v>
      </c>
      <c r="F130" t="str">
        <f t="shared" si="4"/>
        <v>000000-2024</v>
      </c>
      <c r="G130" s="13"/>
      <c r="H130" t="b">
        <f t="shared" si="5"/>
        <v>0</v>
      </c>
    </row>
    <row r="131" spans="2:8" x14ac:dyDescent="0.25">
      <c r="B131" s="74"/>
      <c r="C131" s="48"/>
      <c r="D131" t="b">
        <f t="shared" si="3"/>
        <v>1</v>
      </c>
      <c r="F131" t="str">
        <f t="shared" si="4"/>
        <v>000000-2024</v>
      </c>
      <c r="G131" s="13"/>
      <c r="H131" t="b">
        <f t="shared" si="5"/>
        <v>0</v>
      </c>
    </row>
    <row r="132" spans="2:8" x14ac:dyDescent="0.25">
      <c r="B132" s="69"/>
      <c r="C132" s="48"/>
      <c r="D132" t="b">
        <f t="shared" si="3"/>
        <v>1</v>
      </c>
      <c r="F132" t="str">
        <f t="shared" si="4"/>
        <v>000000-2024</v>
      </c>
      <c r="G132" s="13"/>
      <c r="H132" t="b">
        <f t="shared" si="5"/>
        <v>0</v>
      </c>
    </row>
    <row r="133" spans="2:8" x14ac:dyDescent="0.25">
      <c r="B133" s="69"/>
      <c r="C133" s="48"/>
      <c r="D133" t="b">
        <f t="shared" ref="D133:D196" si="6">B133=C133</f>
        <v>1</v>
      </c>
      <c r="F133" t="str">
        <f t="shared" ref="F133:F196" si="7">TEXT(E133,"000000")&amp;"-2024"</f>
        <v>000000-2024</v>
      </c>
      <c r="G133" s="13"/>
      <c r="H133" t="b">
        <f t="shared" ref="H133:H196" si="8">F133=G133</f>
        <v>0</v>
      </c>
    </row>
    <row r="134" spans="2:8" ht="13.8" thickBot="1" x14ac:dyDescent="0.3">
      <c r="B134" s="72"/>
      <c r="C134" s="48"/>
      <c r="D134" t="b">
        <f t="shared" si="6"/>
        <v>1</v>
      </c>
      <c r="F134" t="str">
        <f t="shared" si="7"/>
        <v>000000-2024</v>
      </c>
      <c r="G134" s="43"/>
      <c r="H134" t="b">
        <f t="shared" si="8"/>
        <v>0</v>
      </c>
    </row>
    <row r="135" spans="2:8" x14ac:dyDescent="0.25">
      <c r="B135" s="69"/>
      <c r="C135" s="48"/>
      <c r="D135" t="b">
        <f t="shared" si="6"/>
        <v>1</v>
      </c>
      <c r="F135" t="str">
        <f t="shared" si="7"/>
        <v>000000-2024</v>
      </c>
      <c r="G135" s="13"/>
      <c r="H135" t="b">
        <f t="shared" si="8"/>
        <v>0</v>
      </c>
    </row>
    <row r="136" spans="2:8" x14ac:dyDescent="0.25">
      <c r="B136" s="69"/>
      <c r="C136" s="48"/>
      <c r="D136" t="b">
        <f t="shared" si="6"/>
        <v>1</v>
      </c>
      <c r="F136" t="str">
        <f t="shared" si="7"/>
        <v>000000-2024</v>
      </c>
      <c r="G136" s="13"/>
      <c r="H136" t="b">
        <f t="shared" si="8"/>
        <v>0</v>
      </c>
    </row>
    <row r="137" spans="2:8" x14ac:dyDescent="0.25">
      <c r="B137" s="69"/>
      <c r="C137" s="48"/>
      <c r="D137" t="b">
        <f t="shared" si="6"/>
        <v>1</v>
      </c>
      <c r="F137" t="str">
        <f t="shared" si="7"/>
        <v>000000-2024</v>
      </c>
      <c r="G137" s="13"/>
      <c r="H137" t="b">
        <f t="shared" si="8"/>
        <v>0</v>
      </c>
    </row>
    <row r="138" spans="2:8" x14ac:dyDescent="0.25">
      <c r="B138" s="69"/>
      <c r="C138" s="48"/>
      <c r="D138" t="b">
        <f t="shared" si="6"/>
        <v>1</v>
      </c>
      <c r="F138" t="str">
        <f t="shared" si="7"/>
        <v>000000-2024</v>
      </c>
      <c r="G138" s="13"/>
      <c r="H138" t="b">
        <f t="shared" si="8"/>
        <v>0</v>
      </c>
    </row>
    <row r="139" spans="2:8" x14ac:dyDescent="0.25">
      <c r="B139" s="69"/>
      <c r="C139" s="48"/>
      <c r="D139" t="b">
        <f t="shared" si="6"/>
        <v>1</v>
      </c>
      <c r="F139" t="str">
        <f t="shared" si="7"/>
        <v>000000-2024</v>
      </c>
      <c r="G139" s="13"/>
      <c r="H139" t="b">
        <f t="shared" si="8"/>
        <v>0</v>
      </c>
    </row>
    <row r="140" spans="2:8" x14ac:dyDescent="0.25">
      <c r="B140" s="69"/>
      <c r="C140" s="48"/>
      <c r="D140" t="b">
        <f t="shared" si="6"/>
        <v>1</v>
      </c>
      <c r="F140" t="str">
        <f t="shared" si="7"/>
        <v>000000-2024</v>
      </c>
      <c r="G140" s="13"/>
      <c r="H140" t="b">
        <f t="shared" si="8"/>
        <v>0</v>
      </c>
    </row>
    <row r="141" spans="2:8" x14ac:dyDescent="0.25">
      <c r="B141" s="69"/>
      <c r="C141" s="48"/>
      <c r="D141" t="b">
        <f t="shared" si="6"/>
        <v>1</v>
      </c>
      <c r="F141" t="str">
        <f t="shared" si="7"/>
        <v>000000-2024</v>
      </c>
      <c r="G141" s="13"/>
      <c r="H141" t="b">
        <f t="shared" si="8"/>
        <v>0</v>
      </c>
    </row>
    <row r="142" spans="2:8" x14ac:dyDescent="0.25">
      <c r="B142" s="69"/>
      <c r="C142" s="48"/>
      <c r="D142" t="b">
        <f t="shared" si="6"/>
        <v>1</v>
      </c>
      <c r="F142" t="str">
        <f t="shared" si="7"/>
        <v>000000-2024</v>
      </c>
      <c r="G142" s="13"/>
      <c r="H142" t="b">
        <f t="shared" si="8"/>
        <v>0</v>
      </c>
    </row>
    <row r="143" spans="2:8" ht="13.8" thickBot="1" x14ac:dyDescent="0.3">
      <c r="B143" s="72"/>
      <c r="C143" s="48"/>
      <c r="D143" t="b">
        <f t="shared" si="6"/>
        <v>1</v>
      </c>
      <c r="F143" t="str">
        <f t="shared" si="7"/>
        <v>000000-2024</v>
      </c>
      <c r="G143" s="43"/>
      <c r="H143" t="b">
        <f t="shared" si="8"/>
        <v>0</v>
      </c>
    </row>
    <row r="144" spans="2:8" x14ac:dyDescent="0.25">
      <c r="B144" s="75"/>
      <c r="C144" s="48"/>
      <c r="D144" t="b">
        <f t="shared" si="6"/>
        <v>1</v>
      </c>
      <c r="F144" t="str">
        <f t="shared" si="7"/>
        <v>000000-2024</v>
      </c>
      <c r="G144" s="42"/>
      <c r="H144" t="b">
        <f t="shared" si="8"/>
        <v>0</v>
      </c>
    </row>
    <row r="145" spans="2:8" x14ac:dyDescent="0.25">
      <c r="B145" s="69"/>
      <c r="C145" s="48"/>
      <c r="D145" t="b">
        <f t="shared" si="6"/>
        <v>1</v>
      </c>
      <c r="F145" t="str">
        <f t="shared" si="7"/>
        <v>000000-2024</v>
      </c>
      <c r="G145" s="13"/>
      <c r="H145" t="b">
        <f t="shared" si="8"/>
        <v>0</v>
      </c>
    </row>
    <row r="146" spans="2:8" x14ac:dyDescent="0.25">
      <c r="B146" s="69"/>
      <c r="C146" s="48"/>
      <c r="D146" t="b">
        <f t="shared" si="6"/>
        <v>1</v>
      </c>
      <c r="F146" t="str">
        <f t="shared" si="7"/>
        <v>000000-2024</v>
      </c>
      <c r="G146" s="13"/>
      <c r="H146" t="b">
        <f t="shared" si="8"/>
        <v>0</v>
      </c>
    </row>
    <row r="147" spans="2:8" x14ac:dyDescent="0.25">
      <c r="B147" s="69"/>
      <c r="C147" s="48"/>
      <c r="D147" t="b">
        <f t="shared" si="6"/>
        <v>1</v>
      </c>
      <c r="F147" t="str">
        <f t="shared" si="7"/>
        <v>000000-2024</v>
      </c>
      <c r="G147" s="45"/>
      <c r="H147" t="b">
        <f t="shared" si="8"/>
        <v>0</v>
      </c>
    </row>
    <row r="148" spans="2:8" x14ac:dyDescent="0.25">
      <c r="B148" s="69"/>
      <c r="C148" s="48"/>
      <c r="D148" t="b">
        <f t="shared" si="6"/>
        <v>1</v>
      </c>
      <c r="F148" t="str">
        <f t="shared" si="7"/>
        <v>000000-2024</v>
      </c>
      <c r="G148" s="13"/>
      <c r="H148" t="b">
        <f t="shared" si="8"/>
        <v>0</v>
      </c>
    </row>
    <row r="149" spans="2:8" x14ac:dyDescent="0.25">
      <c r="B149" s="69"/>
      <c r="C149" s="48"/>
      <c r="D149" t="b">
        <f t="shared" si="6"/>
        <v>1</v>
      </c>
      <c r="F149" t="str">
        <f t="shared" si="7"/>
        <v>000000-2024</v>
      </c>
      <c r="G149" s="46"/>
      <c r="H149" t="b">
        <f t="shared" si="8"/>
        <v>0</v>
      </c>
    </row>
    <row r="150" spans="2:8" x14ac:dyDescent="0.25">
      <c r="B150" s="69"/>
      <c r="C150" s="48"/>
      <c r="D150" t="b">
        <f t="shared" si="6"/>
        <v>1</v>
      </c>
      <c r="F150" t="str">
        <f t="shared" si="7"/>
        <v>000000-2024</v>
      </c>
      <c r="G150" s="13"/>
      <c r="H150" t="b">
        <f t="shared" si="8"/>
        <v>0</v>
      </c>
    </row>
    <row r="151" spans="2:8" x14ac:dyDescent="0.25">
      <c r="B151" s="69"/>
      <c r="C151" s="48"/>
      <c r="D151" t="b">
        <f t="shared" si="6"/>
        <v>1</v>
      </c>
      <c r="F151" t="str">
        <f t="shared" si="7"/>
        <v>000000-2024</v>
      </c>
      <c r="G151" s="13"/>
      <c r="H151" t="b">
        <f t="shared" si="8"/>
        <v>0</v>
      </c>
    </row>
    <row r="152" spans="2:8" x14ac:dyDescent="0.25">
      <c r="B152" s="69"/>
      <c r="C152" s="48"/>
      <c r="D152" t="b">
        <f t="shared" si="6"/>
        <v>1</v>
      </c>
      <c r="F152" t="str">
        <f t="shared" si="7"/>
        <v>000000-2024</v>
      </c>
      <c r="G152" s="13"/>
      <c r="H152" t="b">
        <f t="shared" si="8"/>
        <v>0</v>
      </c>
    </row>
    <row r="153" spans="2:8" ht="13.8" thickBot="1" x14ac:dyDescent="0.3">
      <c r="B153" s="72"/>
      <c r="C153" s="48"/>
      <c r="D153" t="b">
        <f t="shared" si="6"/>
        <v>1</v>
      </c>
      <c r="F153" t="str">
        <f t="shared" si="7"/>
        <v>000000-2024</v>
      </c>
      <c r="G153" s="43"/>
      <c r="H153" t="b">
        <f t="shared" si="8"/>
        <v>0</v>
      </c>
    </row>
    <row r="154" spans="2:8" x14ac:dyDescent="0.25">
      <c r="B154" s="75"/>
      <c r="C154" s="48"/>
      <c r="D154" t="b">
        <f t="shared" si="6"/>
        <v>1</v>
      </c>
      <c r="F154" t="str">
        <f t="shared" si="7"/>
        <v>000000-2024</v>
      </c>
      <c r="G154" s="42"/>
      <c r="H154" t="b">
        <f t="shared" si="8"/>
        <v>0</v>
      </c>
    </row>
    <row r="155" spans="2:8" x14ac:dyDescent="0.25">
      <c r="B155" s="69"/>
      <c r="C155" s="48"/>
      <c r="D155" t="b">
        <f t="shared" si="6"/>
        <v>1</v>
      </c>
      <c r="F155" t="str">
        <f t="shared" si="7"/>
        <v>000000-2024</v>
      </c>
      <c r="G155" s="13"/>
      <c r="H155" t="b">
        <f t="shared" si="8"/>
        <v>0</v>
      </c>
    </row>
    <row r="156" spans="2:8" x14ac:dyDescent="0.25">
      <c r="B156" s="69"/>
      <c r="C156" s="48"/>
      <c r="D156" t="b">
        <f t="shared" si="6"/>
        <v>1</v>
      </c>
      <c r="F156" t="str">
        <f t="shared" si="7"/>
        <v>000000-2024</v>
      </c>
      <c r="G156" s="13"/>
      <c r="H156" t="b">
        <f t="shared" si="8"/>
        <v>0</v>
      </c>
    </row>
    <row r="157" spans="2:8" x14ac:dyDescent="0.25">
      <c r="B157" s="69"/>
      <c r="C157" s="48"/>
      <c r="D157" t="b">
        <f t="shared" si="6"/>
        <v>1</v>
      </c>
      <c r="F157" t="str">
        <f t="shared" si="7"/>
        <v>000000-2024</v>
      </c>
      <c r="G157" s="13"/>
      <c r="H157" t="b">
        <f t="shared" si="8"/>
        <v>0</v>
      </c>
    </row>
    <row r="158" spans="2:8" x14ac:dyDescent="0.25">
      <c r="B158" s="69"/>
      <c r="C158" s="48"/>
      <c r="D158" t="b">
        <f t="shared" si="6"/>
        <v>1</v>
      </c>
      <c r="F158" t="str">
        <f t="shared" si="7"/>
        <v>000000-2024</v>
      </c>
      <c r="G158" s="13"/>
      <c r="H158" t="b">
        <f t="shared" si="8"/>
        <v>0</v>
      </c>
    </row>
    <row r="159" spans="2:8" x14ac:dyDescent="0.25">
      <c r="B159" s="69"/>
      <c r="C159" s="48"/>
      <c r="D159" t="b">
        <f t="shared" si="6"/>
        <v>1</v>
      </c>
      <c r="F159" t="str">
        <f t="shared" si="7"/>
        <v>000000-2024</v>
      </c>
      <c r="G159" s="13"/>
      <c r="H159" t="b">
        <f t="shared" si="8"/>
        <v>0</v>
      </c>
    </row>
    <row r="160" spans="2:8" x14ac:dyDescent="0.25">
      <c r="B160" s="69"/>
      <c r="C160" s="48"/>
      <c r="D160" t="b">
        <f t="shared" si="6"/>
        <v>1</v>
      </c>
      <c r="F160" t="str">
        <f t="shared" si="7"/>
        <v>000000-2024</v>
      </c>
      <c r="G160" s="13"/>
      <c r="H160" t="b">
        <f t="shared" si="8"/>
        <v>0</v>
      </c>
    </row>
    <row r="161" spans="2:8" x14ac:dyDescent="0.25">
      <c r="B161" s="69"/>
      <c r="C161" s="48"/>
      <c r="D161" t="b">
        <f t="shared" si="6"/>
        <v>1</v>
      </c>
      <c r="F161" t="str">
        <f t="shared" si="7"/>
        <v>000000-2024</v>
      </c>
      <c r="G161" s="13"/>
      <c r="H161" t="b">
        <f t="shared" si="8"/>
        <v>0</v>
      </c>
    </row>
    <row r="162" spans="2:8" x14ac:dyDescent="0.25">
      <c r="B162" s="69"/>
      <c r="C162" s="48"/>
      <c r="D162" t="b">
        <f t="shared" si="6"/>
        <v>1</v>
      </c>
      <c r="F162" t="str">
        <f t="shared" si="7"/>
        <v>000000-2024</v>
      </c>
      <c r="G162" s="13"/>
      <c r="H162" t="b">
        <f t="shared" si="8"/>
        <v>0</v>
      </c>
    </row>
    <row r="163" spans="2:8" x14ac:dyDescent="0.25">
      <c r="B163" s="69"/>
      <c r="C163" s="48"/>
      <c r="D163" t="b">
        <f t="shared" si="6"/>
        <v>1</v>
      </c>
      <c r="F163" t="str">
        <f t="shared" si="7"/>
        <v>000000-2024</v>
      </c>
      <c r="G163" s="13"/>
      <c r="H163" t="b">
        <f t="shared" si="8"/>
        <v>0</v>
      </c>
    </row>
    <row r="164" spans="2:8" ht="13.8" thickBot="1" x14ac:dyDescent="0.3">
      <c r="B164" s="72"/>
      <c r="C164" s="48"/>
      <c r="D164" t="b">
        <f t="shared" si="6"/>
        <v>1</v>
      </c>
      <c r="F164" t="str">
        <f t="shared" si="7"/>
        <v>000000-2024</v>
      </c>
      <c r="G164" s="43"/>
      <c r="H164" t="b">
        <f t="shared" si="8"/>
        <v>0</v>
      </c>
    </row>
    <row r="165" spans="2:8" x14ac:dyDescent="0.25">
      <c r="B165" s="75"/>
      <c r="C165" s="48"/>
      <c r="D165" t="b">
        <f t="shared" si="6"/>
        <v>1</v>
      </c>
      <c r="F165" t="str">
        <f t="shared" si="7"/>
        <v>000000-2024</v>
      </c>
      <c r="G165" s="42"/>
      <c r="H165" t="b">
        <f t="shared" si="8"/>
        <v>0</v>
      </c>
    </row>
    <row r="166" spans="2:8" x14ac:dyDescent="0.25">
      <c r="B166" s="69"/>
      <c r="C166" s="48"/>
      <c r="D166" t="b">
        <f t="shared" si="6"/>
        <v>1</v>
      </c>
      <c r="F166" t="str">
        <f t="shared" si="7"/>
        <v>000000-2024</v>
      </c>
      <c r="G166" s="13"/>
      <c r="H166" t="b">
        <f t="shared" si="8"/>
        <v>0</v>
      </c>
    </row>
    <row r="167" spans="2:8" x14ac:dyDescent="0.25">
      <c r="B167" s="69"/>
      <c r="C167" s="48"/>
      <c r="D167" t="b">
        <f t="shared" si="6"/>
        <v>1</v>
      </c>
      <c r="F167" t="str">
        <f t="shared" si="7"/>
        <v>000000-2024</v>
      </c>
      <c r="G167" s="13"/>
      <c r="H167" t="b">
        <f t="shared" si="8"/>
        <v>0</v>
      </c>
    </row>
    <row r="168" spans="2:8" x14ac:dyDescent="0.25">
      <c r="B168" s="69"/>
      <c r="C168" s="48"/>
      <c r="D168" t="b">
        <f t="shared" si="6"/>
        <v>1</v>
      </c>
      <c r="F168" t="str">
        <f t="shared" si="7"/>
        <v>000000-2024</v>
      </c>
      <c r="G168" s="13"/>
      <c r="H168" t="b">
        <f t="shared" si="8"/>
        <v>0</v>
      </c>
    </row>
    <row r="169" spans="2:8" x14ac:dyDescent="0.25">
      <c r="B169" s="69"/>
      <c r="C169" s="48"/>
      <c r="D169" t="b">
        <f t="shared" si="6"/>
        <v>1</v>
      </c>
      <c r="F169" t="str">
        <f t="shared" si="7"/>
        <v>000000-2024</v>
      </c>
      <c r="G169" s="13"/>
      <c r="H169" t="b">
        <f t="shared" si="8"/>
        <v>0</v>
      </c>
    </row>
    <row r="170" spans="2:8" x14ac:dyDescent="0.25">
      <c r="B170" s="69"/>
      <c r="C170" s="48"/>
      <c r="D170" t="b">
        <f t="shared" si="6"/>
        <v>1</v>
      </c>
      <c r="F170" t="str">
        <f t="shared" si="7"/>
        <v>000000-2024</v>
      </c>
      <c r="G170" s="13"/>
      <c r="H170" t="b">
        <f t="shared" si="8"/>
        <v>0</v>
      </c>
    </row>
    <row r="171" spans="2:8" x14ac:dyDescent="0.25">
      <c r="B171" s="69"/>
      <c r="C171" s="48"/>
      <c r="D171" t="b">
        <f t="shared" si="6"/>
        <v>1</v>
      </c>
      <c r="F171" t="str">
        <f t="shared" si="7"/>
        <v>000000-2024</v>
      </c>
      <c r="G171" s="13"/>
      <c r="H171" t="b">
        <f t="shared" si="8"/>
        <v>0</v>
      </c>
    </row>
    <row r="172" spans="2:8" x14ac:dyDescent="0.25">
      <c r="B172" s="69"/>
      <c r="C172" s="48"/>
      <c r="D172" t="b">
        <f t="shared" si="6"/>
        <v>1</v>
      </c>
      <c r="F172" t="str">
        <f t="shared" si="7"/>
        <v>000000-2024</v>
      </c>
      <c r="G172" s="13"/>
      <c r="H172" t="b">
        <f t="shared" si="8"/>
        <v>0</v>
      </c>
    </row>
    <row r="173" spans="2:8" x14ac:dyDescent="0.25">
      <c r="B173" s="69"/>
      <c r="C173" s="48"/>
      <c r="D173" t="b">
        <f t="shared" si="6"/>
        <v>1</v>
      </c>
      <c r="F173" t="str">
        <f t="shared" si="7"/>
        <v>000000-2024</v>
      </c>
      <c r="G173" s="13"/>
      <c r="H173" t="b">
        <f t="shared" si="8"/>
        <v>0</v>
      </c>
    </row>
    <row r="174" spans="2:8" x14ac:dyDescent="0.25">
      <c r="B174" s="69"/>
      <c r="C174" s="48"/>
      <c r="D174" t="b">
        <f t="shared" si="6"/>
        <v>1</v>
      </c>
      <c r="F174" t="str">
        <f t="shared" si="7"/>
        <v>000000-2024</v>
      </c>
      <c r="G174" s="13"/>
      <c r="H174" t="b">
        <f t="shared" si="8"/>
        <v>0</v>
      </c>
    </row>
    <row r="175" spans="2:8" ht="13.8" thickBot="1" x14ac:dyDescent="0.3">
      <c r="B175" s="72"/>
      <c r="C175" s="48"/>
      <c r="D175" t="b">
        <f t="shared" si="6"/>
        <v>1</v>
      </c>
      <c r="F175" t="str">
        <f t="shared" si="7"/>
        <v>000000-2024</v>
      </c>
      <c r="G175" s="43"/>
      <c r="H175" t="b">
        <f t="shared" si="8"/>
        <v>0</v>
      </c>
    </row>
    <row r="176" spans="2:8" x14ac:dyDescent="0.25">
      <c r="B176" s="75"/>
      <c r="C176" s="48"/>
      <c r="D176" t="b">
        <f t="shared" si="6"/>
        <v>1</v>
      </c>
      <c r="F176" t="str">
        <f t="shared" si="7"/>
        <v>000000-2024</v>
      </c>
      <c r="G176" s="42"/>
      <c r="H176" t="b">
        <f t="shared" si="8"/>
        <v>0</v>
      </c>
    </row>
    <row r="177" spans="2:8" x14ac:dyDescent="0.25">
      <c r="B177" s="69"/>
      <c r="C177" s="48"/>
      <c r="D177" t="b">
        <f t="shared" si="6"/>
        <v>1</v>
      </c>
      <c r="F177" t="str">
        <f t="shared" si="7"/>
        <v>000000-2024</v>
      </c>
      <c r="G177" s="13"/>
      <c r="H177" t="b">
        <f t="shared" si="8"/>
        <v>0</v>
      </c>
    </row>
    <row r="178" spans="2:8" x14ac:dyDescent="0.25">
      <c r="B178" s="69"/>
      <c r="C178" s="48"/>
      <c r="D178" t="b">
        <f t="shared" si="6"/>
        <v>1</v>
      </c>
      <c r="F178" t="str">
        <f t="shared" si="7"/>
        <v>000000-2024</v>
      </c>
      <c r="G178" s="13"/>
      <c r="H178" t="b">
        <f t="shared" si="8"/>
        <v>0</v>
      </c>
    </row>
    <row r="179" spans="2:8" x14ac:dyDescent="0.25">
      <c r="B179" s="69"/>
      <c r="C179" s="48"/>
      <c r="D179" t="b">
        <f t="shared" si="6"/>
        <v>1</v>
      </c>
      <c r="F179" t="str">
        <f t="shared" si="7"/>
        <v>000000-2024</v>
      </c>
      <c r="G179" s="13"/>
      <c r="H179" t="b">
        <f t="shared" si="8"/>
        <v>0</v>
      </c>
    </row>
    <row r="180" spans="2:8" x14ac:dyDescent="0.25">
      <c r="B180" s="69"/>
      <c r="C180" s="48"/>
      <c r="D180" t="b">
        <f t="shared" si="6"/>
        <v>1</v>
      </c>
      <c r="F180" t="str">
        <f t="shared" si="7"/>
        <v>000000-2024</v>
      </c>
      <c r="G180" s="13"/>
      <c r="H180" t="b">
        <f t="shared" si="8"/>
        <v>0</v>
      </c>
    </row>
    <row r="181" spans="2:8" x14ac:dyDescent="0.25">
      <c r="B181" s="69"/>
      <c r="C181" s="48"/>
      <c r="D181" t="b">
        <f t="shared" si="6"/>
        <v>1</v>
      </c>
      <c r="F181" t="str">
        <f t="shared" si="7"/>
        <v>000000-2024</v>
      </c>
      <c r="G181" s="13"/>
      <c r="H181" t="b">
        <f t="shared" si="8"/>
        <v>0</v>
      </c>
    </row>
    <row r="182" spans="2:8" x14ac:dyDescent="0.25">
      <c r="B182" s="69"/>
      <c r="C182" s="48"/>
      <c r="D182" t="b">
        <f t="shared" si="6"/>
        <v>1</v>
      </c>
      <c r="F182" t="str">
        <f t="shared" si="7"/>
        <v>000000-2024</v>
      </c>
      <c r="G182" s="13"/>
      <c r="H182" t="b">
        <f t="shared" si="8"/>
        <v>0</v>
      </c>
    </row>
    <row r="183" spans="2:8" x14ac:dyDescent="0.25">
      <c r="B183" s="69"/>
      <c r="C183" s="48"/>
      <c r="D183" t="b">
        <f t="shared" si="6"/>
        <v>1</v>
      </c>
      <c r="F183" t="str">
        <f t="shared" si="7"/>
        <v>000000-2024</v>
      </c>
      <c r="G183" s="13"/>
      <c r="H183" t="b">
        <f t="shared" si="8"/>
        <v>0</v>
      </c>
    </row>
    <row r="184" spans="2:8" x14ac:dyDescent="0.25">
      <c r="B184" s="69"/>
      <c r="C184" s="48"/>
      <c r="D184" t="b">
        <f t="shared" si="6"/>
        <v>1</v>
      </c>
      <c r="F184" t="str">
        <f t="shared" si="7"/>
        <v>000000-2024</v>
      </c>
      <c r="G184" s="13"/>
      <c r="H184" t="b">
        <f t="shared" si="8"/>
        <v>0</v>
      </c>
    </row>
    <row r="185" spans="2:8" x14ac:dyDescent="0.25">
      <c r="B185" s="69"/>
      <c r="C185" s="48"/>
      <c r="D185" t="b">
        <f t="shared" si="6"/>
        <v>1</v>
      </c>
      <c r="F185" t="str">
        <f t="shared" si="7"/>
        <v>000000-2024</v>
      </c>
      <c r="G185" s="13"/>
      <c r="H185" t="b">
        <f t="shared" si="8"/>
        <v>0</v>
      </c>
    </row>
    <row r="186" spans="2:8" ht="13.8" thickBot="1" x14ac:dyDescent="0.3">
      <c r="B186" s="72"/>
      <c r="C186" s="48"/>
      <c r="D186" t="b">
        <f t="shared" si="6"/>
        <v>1</v>
      </c>
      <c r="F186" t="str">
        <f t="shared" si="7"/>
        <v>000000-2024</v>
      </c>
      <c r="G186" s="43"/>
      <c r="H186" t="b">
        <f t="shared" si="8"/>
        <v>0</v>
      </c>
    </row>
    <row r="187" spans="2:8" x14ac:dyDescent="0.25">
      <c r="B187" s="75"/>
      <c r="C187" s="48"/>
      <c r="D187" t="b">
        <f t="shared" si="6"/>
        <v>1</v>
      </c>
      <c r="F187" t="str">
        <f t="shared" si="7"/>
        <v>000000-2024</v>
      </c>
      <c r="G187" s="42"/>
      <c r="H187" t="b">
        <f t="shared" si="8"/>
        <v>0</v>
      </c>
    </row>
    <row r="188" spans="2:8" x14ac:dyDescent="0.25">
      <c r="B188" s="69"/>
      <c r="C188" s="48"/>
      <c r="D188" t="b">
        <f t="shared" si="6"/>
        <v>1</v>
      </c>
      <c r="F188" t="str">
        <f t="shared" si="7"/>
        <v>000000-2024</v>
      </c>
      <c r="G188" s="13"/>
      <c r="H188" t="b">
        <f t="shared" si="8"/>
        <v>0</v>
      </c>
    </row>
    <row r="189" spans="2:8" x14ac:dyDescent="0.25">
      <c r="B189" s="69"/>
      <c r="C189" s="48"/>
      <c r="D189" t="b">
        <f t="shared" si="6"/>
        <v>1</v>
      </c>
      <c r="F189" t="str">
        <f t="shared" si="7"/>
        <v>000000-2024</v>
      </c>
      <c r="G189" s="13"/>
      <c r="H189" t="b">
        <f t="shared" si="8"/>
        <v>0</v>
      </c>
    </row>
    <row r="190" spans="2:8" x14ac:dyDescent="0.25">
      <c r="B190" s="69"/>
      <c r="C190" s="48"/>
      <c r="D190" t="b">
        <f t="shared" si="6"/>
        <v>1</v>
      </c>
      <c r="F190" t="str">
        <f t="shared" si="7"/>
        <v>000000-2024</v>
      </c>
      <c r="G190" s="13"/>
      <c r="H190" t="b">
        <f t="shared" si="8"/>
        <v>0</v>
      </c>
    </row>
    <row r="191" spans="2:8" x14ac:dyDescent="0.25">
      <c r="B191" s="69"/>
      <c r="C191" s="48"/>
      <c r="D191" t="b">
        <f t="shared" si="6"/>
        <v>1</v>
      </c>
      <c r="F191" t="str">
        <f t="shared" si="7"/>
        <v>000000-2024</v>
      </c>
      <c r="G191" s="13"/>
      <c r="H191" t="b">
        <f t="shared" si="8"/>
        <v>0</v>
      </c>
    </row>
    <row r="192" spans="2:8" x14ac:dyDescent="0.25">
      <c r="B192" s="69"/>
      <c r="C192" s="48"/>
      <c r="D192" t="b">
        <f t="shared" si="6"/>
        <v>1</v>
      </c>
      <c r="F192" t="str">
        <f t="shared" si="7"/>
        <v>000000-2024</v>
      </c>
      <c r="G192" s="13"/>
      <c r="H192" t="b">
        <f t="shared" si="8"/>
        <v>0</v>
      </c>
    </row>
    <row r="193" spans="2:8" x14ac:dyDescent="0.25">
      <c r="B193" s="69"/>
      <c r="C193" s="48"/>
      <c r="D193" t="b">
        <f t="shared" si="6"/>
        <v>1</v>
      </c>
      <c r="F193" t="str">
        <f t="shared" si="7"/>
        <v>000000-2024</v>
      </c>
      <c r="G193" s="13"/>
      <c r="H193" t="b">
        <f t="shared" si="8"/>
        <v>0</v>
      </c>
    </row>
    <row r="194" spans="2:8" x14ac:dyDescent="0.25">
      <c r="B194" s="69"/>
      <c r="C194" s="48"/>
      <c r="D194" t="b">
        <f t="shared" si="6"/>
        <v>1</v>
      </c>
      <c r="F194" t="str">
        <f t="shared" si="7"/>
        <v>000000-2024</v>
      </c>
      <c r="G194" s="13"/>
      <c r="H194" t="b">
        <f t="shared" si="8"/>
        <v>0</v>
      </c>
    </row>
    <row r="195" spans="2:8" x14ac:dyDescent="0.25">
      <c r="B195" s="69"/>
      <c r="C195" s="48"/>
      <c r="D195" t="b">
        <f t="shared" si="6"/>
        <v>1</v>
      </c>
      <c r="F195" t="str">
        <f t="shared" si="7"/>
        <v>000000-2024</v>
      </c>
      <c r="G195" s="13"/>
      <c r="H195" t="b">
        <f t="shared" si="8"/>
        <v>0</v>
      </c>
    </row>
    <row r="196" spans="2:8" x14ac:dyDescent="0.25">
      <c r="B196" s="69"/>
      <c r="C196" s="48"/>
      <c r="D196" t="b">
        <f t="shared" si="6"/>
        <v>1</v>
      </c>
      <c r="F196" t="str">
        <f t="shared" si="7"/>
        <v>000000-2024</v>
      </c>
      <c r="G196" s="13"/>
      <c r="H196" t="b">
        <f t="shared" si="8"/>
        <v>0</v>
      </c>
    </row>
    <row r="197" spans="2:8" ht="13.8" thickBot="1" x14ac:dyDescent="0.3">
      <c r="B197" s="72"/>
      <c r="C197" s="48"/>
      <c r="D197" t="b">
        <f t="shared" ref="D197:D260" si="9">B197=C197</f>
        <v>1</v>
      </c>
      <c r="F197" t="str">
        <f t="shared" ref="F197:F260" si="10">TEXT(E197,"000000")&amp;"-2024"</f>
        <v>000000-2024</v>
      </c>
      <c r="G197" s="43"/>
      <c r="H197" t="b">
        <f t="shared" ref="H197:H260" si="11">F197=G197</f>
        <v>0</v>
      </c>
    </row>
    <row r="198" spans="2:8" x14ac:dyDescent="0.25">
      <c r="B198" s="75"/>
      <c r="C198" s="48"/>
      <c r="D198" t="b">
        <f t="shared" si="9"/>
        <v>1</v>
      </c>
      <c r="F198" t="str">
        <f t="shared" si="10"/>
        <v>000000-2024</v>
      </c>
      <c r="G198" s="42"/>
      <c r="H198" t="b">
        <f t="shared" si="11"/>
        <v>0</v>
      </c>
    </row>
    <row r="199" spans="2:8" x14ac:dyDescent="0.25">
      <c r="B199" s="69"/>
      <c r="C199" s="48"/>
      <c r="D199" t="b">
        <f t="shared" si="9"/>
        <v>1</v>
      </c>
      <c r="F199" t="str">
        <f t="shared" si="10"/>
        <v>000000-2024</v>
      </c>
      <c r="G199" s="13"/>
      <c r="H199" t="b">
        <f t="shared" si="11"/>
        <v>0</v>
      </c>
    </row>
    <row r="200" spans="2:8" x14ac:dyDescent="0.25">
      <c r="B200" s="69"/>
      <c r="C200" s="48"/>
      <c r="D200" t="b">
        <f t="shared" si="9"/>
        <v>1</v>
      </c>
      <c r="F200" t="str">
        <f t="shared" si="10"/>
        <v>000000-2024</v>
      </c>
      <c r="G200" s="13"/>
      <c r="H200" t="b">
        <f t="shared" si="11"/>
        <v>0</v>
      </c>
    </row>
    <row r="201" spans="2:8" x14ac:dyDescent="0.25">
      <c r="B201" s="69"/>
      <c r="C201" s="48"/>
      <c r="D201" t="b">
        <f t="shared" si="9"/>
        <v>1</v>
      </c>
      <c r="F201" t="str">
        <f t="shared" si="10"/>
        <v>000000-2024</v>
      </c>
      <c r="G201" s="13"/>
      <c r="H201" t="b">
        <f t="shared" si="11"/>
        <v>0</v>
      </c>
    </row>
    <row r="202" spans="2:8" x14ac:dyDescent="0.25">
      <c r="B202" s="69"/>
      <c r="C202" s="48"/>
      <c r="D202" t="b">
        <f t="shared" si="9"/>
        <v>1</v>
      </c>
      <c r="F202" t="str">
        <f t="shared" si="10"/>
        <v>000000-2024</v>
      </c>
      <c r="G202" s="13"/>
      <c r="H202" t="b">
        <f t="shared" si="11"/>
        <v>0</v>
      </c>
    </row>
    <row r="203" spans="2:8" x14ac:dyDescent="0.25">
      <c r="B203" s="69"/>
      <c r="C203" s="48"/>
      <c r="D203" t="b">
        <f t="shared" si="9"/>
        <v>1</v>
      </c>
      <c r="F203" t="str">
        <f t="shared" si="10"/>
        <v>000000-2024</v>
      </c>
      <c r="G203" s="13"/>
      <c r="H203" t="b">
        <f t="shared" si="11"/>
        <v>0</v>
      </c>
    </row>
    <row r="204" spans="2:8" x14ac:dyDescent="0.25">
      <c r="B204" s="69"/>
      <c r="C204" s="48"/>
      <c r="D204" t="b">
        <f t="shared" si="9"/>
        <v>1</v>
      </c>
      <c r="F204" t="str">
        <f t="shared" si="10"/>
        <v>000000-2024</v>
      </c>
      <c r="G204" s="13"/>
      <c r="H204" t="b">
        <f t="shared" si="11"/>
        <v>0</v>
      </c>
    </row>
    <row r="205" spans="2:8" x14ac:dyDescent="0.25">
      <c r="B205" s="69"/>
      <c r="C205" s="48"/>
      <c r="D205" t="b">
        <f t="shared" si="9"/>
        <v>1</v>
      </c>
      <c r="F205" t="str">
        <f t="shared" si="10"/>
        <v>000000-2024</v>
      </c>
      <c r="G205" s="13"/>
      <c r="H205" t="b">
        <f t="shared" si="11"/>
        <v>0</v>
      </c>
    </row>
    <row r="206" spans="2:8" x14ac:dyDescent="0.25">
      <c r="B206" s="69"/>
      <c r="C206" s="48"/>
      <c r="D206" t="b">
        <f t="shared" si="9"/>
        <v>1</v>
      </c>
      <c r="F206" t="str">
        <f t="shared" si="10"/>
        <v>000000-2024</v>
      </c>
      <c r="G206" s="13"/>
      <c r="H206" t="b">
        <f t="shared" si="11"/>
        <v>0</v>
      </c>
    </row>
    <row r="207" spans="2:8" x14ac:dyDescent="0.25">
      <c r="B207" s="69"/>
      <c r="C207" s="48"/>
      <c r="D207" t="b">
        <f t="shared" si="9"/>
        <v>1</v>
      </c>
      <c r="F207" t="str">
        <f t="shared" si="10"/>
        <v>000000-2024</v>
      </c>
      <c r="G207" s="13"/>
      <c r="H207" t="b">
        <f t="shared" si="11"/>
        <v>0</v>
      </c>
    </row>
    <row r="208" spans="2:8" ht="13.8" thickBot="1" x14ac:dyDescent="0.3">
      <c r="B208" s="72"/>
      <c r="C208" s="48"/>
      <c r="D208" t="b">
        <f t="shared" si="9"/>
        <v>1</v>
      </c>
      <c r="F208" t="str">
        <f t="shared" si="10"/>
        <v>000000-2024</v>
      </c>
      <c r="G208" s="43"/>
      <c r="H208" t="b">
        <f t="shared" si="11"/>
        <v>0</v>
      </c>
    </row>
    <row r="209" spans="2:8" x14ac:dyDescent="0.25">
      <c r="B209" s="75"/>
      <c r="C209" s="48"/>
      <c r="D209" t="b">
        <f t="shared" si="9"/>
        <v>1</v>
      </c>
      <c r="F209" t="str">
        <f t="shared" si="10"/>
        <v>000000-2024</v>
      </c>
      <c r="G209" s="42"/>
      <c r="H209" t="b">
        <f t="shared" si="11"/>
        <v>0</v>
      </c>
    </row>
    <row r="210" spans="2:8" x14ac:dyDescent="0.25">
      <c r="B210" s="69"/>
      <c r="C210" s="48"/>
      <c r="D210" t="b">
        <f t="shared" si="9"/>
        <v>1</v>
      </c>
      <c r="F210" t="str">
        <f t="shared" si="10"/>
        <v>000000-2024</v>
      </c>
      <c r="G210" s="13"/>
      <c r="H210" t="b">
        <f t="shared" si="11"/>
        <v>0</v>
      </c>
    </row>
    <row r="211" spans="2:8" x14ac:dyDescent="0.25">
      <c r="B211" s="69"/>
      <c r="C211" s="48"/>
      <c r="D211" t="b">
        <f t="shared" si="9"/>
        <v>1</v>
      </c>
      <c r="F211" t="str">
        <f t="shared" si="10"/>
        <v>000000-2024</v>
      </c>
      <c r="G211" s="13"/>
      <c r="H211" t="b">
        <f t="shared" si="11"/>
        <v>0</v>
      </c>
    </row>
    <row r="212" spans="2:8" x14ac:dyDescent="0.25">
      <c r="B212" s="69"/>
      <c r="C212" s="48"/>
      <c r="D212" t="b">
        <f t="shared" si="9"/>
        <v>1</v>
      </c>
      <c r="F212" t="str">
        <f t="shared" si="10"/>
        <v>000000-2024</v>
      </c>
      <c r="G212" s="13"/>
      <c r="H212" t="b">
        <f t="shared" si="11"/>
        <v>0</v>
      </c>
    </row>
    <row r="213" spans="2:8" x14ac:dyDescent="0.25">
      <c r="B213" s="69"/>
      <c r="C213" s="48"/>
      <c r="D213" t="b">
        <f t="shared" si="9"/>
        <v>1</v>
      </c>
      <c r="F213" t="str">
        <f t="shared" si="10"/>
        <v>000000-2024</v>
      </c>
      <c r="G213" s="13"/>
      <c r="H213" t="b">
        <f t="shared" si="11"/>
        <v>0</v>
      </c>
    </row>
    <row r="214" spans="2:8" x14ac:dyDescent="0.25">
      <c r="B214" s="69"/>
      <c r="C214" s="48"/>
      <c r="D214" t="b">
        <f t="shared" si="9"/>
        <v>1</v>
      </c>
      <c r="F214" t="str">
        <f t="shared" si="10"/>
        <v>000000-2024</v>
      </c>
      <c r="G214" s="13"/>
      <c r="H214" t="b">
        <f t="shared" si="11"/>
        <v>0</v>
      </c>
    </row>
    <row r="215" spans="2:8" x14ac:dyDescent="0.25">
      <c r="B215" s="69"/>
      <c r="C215" s="48"/>
      <c r="D215" t="b">
        <f t="shared" si="9"/>
        <v>1</v>
      </c>
      <c r="F215" t="str">
        <f t="shared" si="10"/>
        <v>000000-2024</v>
      </c>
      <c r="G215" s="13"/>
      <c r="H215" t="b">
        <f t="shared" si="11"/>
        <v>0</v>
      </c>
    </row>
    <row r="216" spans="2:8" x14ac:dyDescent="0.25">
      <c r="B216" s="69"/>
      <c r="C216" s="48"/>
      <c r="D216" t="b">
        <f t="shared" si="9"/>
        <v>1</v>
      </c>
      <c r="F216" t="str">
        <f t="shared" si="10"/>
        <v>000000-2024</v>
      </c>
      <c r="G216" s="13"/>
      <c r="H216" t="b">
        <f t="shared" si="11"/>
        <v>0</v>
      </c>
    </row>
    <row r="217" spans="2:8" x14ac:dyDescent="0.25">
      <c r="B217" s="69"/>
      <c r="C217" s="48"/>
      <c r="D217" t="b">
        <f t="shared" si="9"/>
        <v>1</v>
      </c>
      <c r="F217" t="str">
        <f t="shared" si="10"/>
        <v>000000-2024</v>
      </c>
      <c r="G217" s="13"/>
      <c r="H217" t="b">
        <f t="shared" si="11"/>
        <v>0</v>
      </c>
    </row>
    <row r="218" spans="2:8" x14ac:dyDescent="0.25">
      <c r="B218" s="69"/>
      <c r="C218" s="48"/>
      <c r="D218" t="b">
        <f t="shared" si="9"/>
        <v>1</v>
      </c>
      <c r="F218" t="str">
        <f t="shared" si="10"/>
        <v>000000-2024</v>
      </c>
      <c r="G218" s="13"/>
      <c r="H218" t="b">
        <f t="shared" si="11"/>
        <v>0</v>
      </c>
    </row>
    <row r="219" spans="2:8" ht="13.8" thickBot="1" x14ac:dyDescent="0.3">
      <c r="B219" s="72"/>
      <c r="C219" s="48"/>
      <c r="D219" t="b">
        <f t="shared" si="9"/>
        <v>1</v>
      </c>
      <c r="F219" t="str">
        <f t="shared" si="10"/>
        <v>000000-2024</v>
      </c>
      <c r="G219" s="43"/>
      <c r="H219" t="b">
        <f t="shared" si="11"/>
        <v>0</v>
      </c>
    </row>
    <row r="220" spans="2:8" x14ac:dyDescent="0.25">
      <c r="B220" s="75"/>
      <c r="C220" s="48"/>
      <c r="D220" t="b">
        <f t="shared" si="9"/>
        <v>1</v>
      </c>
      <c r="F220" t="str">
        <f t="shared" si="10"/>
        <v>000000-2024</v>
      </c>
      <c r="G220" s="42"/>
      <c r="H220" t="b">
        <f t="shared" si="11"/>
        <v>0</v>
      </c>
    </row>
    <row r="221" spans="2:8" x14ac:dyDescent="0.25">
      <c r="B221" s="69"/>
      <c r="C221" s="48"/>
      <c r="D221" t="b">
        <f t="shared" si="9"/>
        <v>1</v>
      </c>
      <c r="F221" t="str">
        <f t="shared" si="10"/>
        <v>000000-2024</v>
      </c>
      <c r="G221" s="13"/>
      <c r="H221" t="b">
        <f t="shared" si="11"/>
        <v>0</v>
      </c>
    </row>
    <row r="222" spans="2:8" x14ac:dyDescent="0.25">
      <c r="B222" s="69"/>
      <c r="C222" s="48"/>
      <c r="D222" t="b">
        <f t="shared" si="9"/>
        <v>1</v>
      </c>
      <c r="F222" t="str">
        <f t="shared" si="10"/>
        <v>000000-2024</v>
      </c>
      <c r="G222" s="13"/>
      <c r="H222" t="b">
        <f t="shared" si="11"/>
        <v>0</v>
      </c>
    </row>
    <row r="223" spans="2:8" x14ac:dyDescent="0.25">
      <c r="B223" s="69"/>
      <c r="C223" s="48"/>
      <c r="D223" t="b">
        <f t="shared" si="9"/>
        <v>1</v>
      </c>
      <c r="F223" t="str">
        <f t="shared" si="10"/>
        <v>000000-2024</v>
      </c>
      <c r="G223" s="13"/>
      <c r="H223" t="b">
        <f t="shared" si="11"/>
        <v>0</v>
      </c>
    </row>
    <row r="224" spans="2:8" x14ac:dyDescent="0.25">
      <c r="B224" s="69"/>
      <c r="C224" s="48"/>
      <c r="D224" t="b">
        <f t="shared" si="9"/>
        <v>1</v>
      </c>
      <c r="F224" t="str">
        <f t="shared" si="10"/>
        <v>000000-2024</v>
      </c>
      <c r="G224" s="13"/>
      <c r="H224" t="b">
        <f t="shared" si="11"/>
        <v>0</v>
      </c>
    </row>
    <row r="225" spans="2:8" x14ac:dyDescent="0.25">
      <c r="B225" s="69"/>
      <c r="C225" s="48"/>
      <c r="D225" t="b">
        <f t="shared" si="9"/>
        <v>1</v>
      </c>
      <c r="F225" t="str">
        <f t="shared" si="10"/>
        <v>000000-2024</v>
      </c>
      <c r="G225" s="13"/>
      <c r="H225" t="b">
        <f t="shared" si="11"/>
        <v>0</v>
      </c>
    </row>
    <row r="226" spans="2:8" x14ac:dyDescent="0.25">
      <c r="B226" s="69"/>
      <c r="C226" s="48"/>
      <c r="D226" t="b">
        <f t="shared" si="9"/>
        <v>1</v>
      </c>
      <c r="F226" t="str">
        <f t="shared" si="10"/>
        <v>000000-2024</v>
      </c>
      <c r="G226" s="13"/>
      <c r="H226" t="b">
        <f t="shared" si="11"/>
        <v>0</v>
      </c>
    </row>
    <row r="227" spans="2:8" x14ac:dyDescent="0.25">
      <c r="B227" s="69"/>
      <c r="C227" s="48"/>
      <c r="D227" t="b">
        <f t="shared" si="9"/>
        <v>1</v>
      </c>
      <c r="F227" t="str">
        <f t="shared" si="10"/>
        <v>000000-2024</v>
      </c>
      <c r="G227" s="13"/>
      <c r="H227" t="b">
        <f t="shared" si="11"/>
        <v>0</v>
      </c>
    </row>
    <row r="228" spans="2:8" x14ac:dyDescent="0.25">
      <c r="B228" s="69"/>
      <c r="C228" s="48"/>
      <c r="D228" t="b">
        <f t="shared" si="9"/>
        <v>1</v>
      </c>
      <c r="F228" t="str">
        <f t="shared" si="10"/>
        <v>000000-2024</v>
      </c>
      <c r="G228" s="13"/>
      <c r="H228" t="b">
        <f t="shared" si="11"/>
        <v>0</v>
      </c>
    </row>
    <row r="229" spans="2:8" x14ac:dyDescent="0.25">
      <c r="B229" s="69"/>
      <c r="C229" s="48"/>
      <c r="D229" t="b">
        <f t="shared" si="9"/>
        <v>1</v>
      </c>
      <c r="F229" t="str">
        <f t="shared" si="10"/>
        <v>000000-2024</v>
      </c>
      <c r="G229" s="13"/>
      <c r="H229" t="b">
        <f t="shared" si="11"/>
        <v>0</v>
      </c>
    </row>
    <row r="230" spans="2:8" ht="13.8" thickBot="1" x14ac:dyDescent="0.3">
      <c r="B230" s="72"/>
      <c r="C230" s="48"/>
      <c r="D230" t="b">
        <f t="shared" si="9"/>
        <v>1</v>
      </c>
      <c r="F230" t="str">
        <f t="shared" si="10"/>
        <v>000000-2024</v>
      </c>
      <c r="G230" s="43"/>
      <c r="H230" t="b">
        <f t="shared" si="11"/>
        <v>0</v>
      </c>
    </row>
    <row r="231" spans="2:8" x14ac:dyDescent="0.25">
      <c r="B231" s="75"/>
      <c r="C231" s="48"/>
      <c r="D231" t="b">
        <f t="shared" si="9"/>
        <v>1</v>
      </c>
      <c r="F231" t="str">
        <f t="shared" si="10"/>
        <v>000000-2024</v>
      </c>
      <c r="G231" s="42"/>
      <c r="H231" t="b">
        <f t="shared" si="11"/>
        <v>0</v>
      </c>
    </row>
    <row r="232" spans="2:8" x14ac:dyDescent="0.25">
      <c r="B232" s="69"/>
      <c r="C232" s="48"/>
      <c r="D232" t="b">
        <f t="shared" si="9"/>
        <v>1</v>
      </c>
      <c r="F232" t="str">
        <f t="shared" si="10"/>
        <v>000000-2024</v>
      </c>
      <c r="G232" s="13"/>
      <c r="H232" t="b">
        <f t="shared" si="11"/>
        <v>0</v>
      </c>
    </row>
    <row r="233" spans="2:8" x14ac:dyDescent="0.25">
      <c r="B233" s="69"/>
      <c r="C233" s="48"/>
      <c r="D233" t="b">
        <f t="shared" si="9"/>
        <v>1</v>
      </c>
      <c r="F233" t="str">
        <f t="shared" si="10"/>
        <v>000000-2024</v>
      </c>
      <c r="G233" s="13"/>
      <c r="H233" t="b">
        <f t="shared" si="11"/>
        <v>0</v>
      </c>
    </row>
    <row r="234" spans="2:8" x14ac:dyDescent="0.25">
      <c r="B234" s="69"/>
      <c r="C234" s="48"/>
      <c r="D234" t="b">
        <f t="shared" si="9"/>
        <v>1</v>
      </c>
      <c r="F234" t="str">
        <f t="shared" si="10"/>
        <v>000000-2024</v>
      </c>
      <c r="G234" s="13"/>
      <c r="H234" t="b">
        <f t="shared" si="11"/>
        <v>0</v>
      </c>
    </row>
    <row r="235" spans="2:8" x14ac:dyDescent="0.25">
      <c r="B235" s="69"/>
      <c r="C235" s="48"/>
      <c r="D235" t="b">
        <f t="shared" si="9"/>
        <v>1</v>
      </c>
      <c r="F235" t="str">
        <f t="shared" si="10"/>
        <v>000000-2024</v>
      </c>
      <c r="G235" s="13"/>
      <c r="H235" t="b">
        <f t="shared" si="11"/>
        <v>0</v>
      </c>
    </row>
    <row r="236" spans="2:8" x14ac:dyDescent="0.25">
      <c r="B236" s="69"/>
      <c r="C236" s="48"/>
      <c r="D236" t="b">
        <f t="shared" si="9"/>
        <v>1</v>
      </c>
      <c r="F236" t="str">
        <f t="shared" si="10"/>
        <v>000000-2024</v>
      </c>
      <c r="G236" s="13"/>
      <c r="H236" t="b">
        <f t="shared" si="11"/>
        <v>0</v>
      </c>
    </row>
    <row r="237" spans="2:8" x14ac:dyDescent="0.25">
      <c r="B237" s="69"/>
      <c r="C237" s="48"/>
      <c r="D237" t="b">
        <f t="shared" si="9"/>
        <v>1</v>
      </c>
      <c r="F237" t="str">
        <f t="shared" si="10"/>
        <v>000000-2024</v>
      </c>
      <c r="G237" s="13"/>
      <c r="H237" t="b">
        <f t="shared" si="11"/>
        <v>0</v>
      </c>
    </row>
    <row r="238" spans="2:8" x14ac:dyDescent="0.25">
      <c r="B238" s="69"/>
      <c r="C238" s="48"/>
      <c r="D238" t="b">
        <f t="shared" si="9"/>
        <v>1</v>
      </c>
      <c r="F238" t="str">
        <f t="shared" si="10"/>
        <v>000000-2024</v>
      </c>
      <c r="G238" s="13"/>
      <c r="H238" t="b">
        <f t="shared" si="11"/>
        <v>0</v>
      </c>
    </row>
    <row r="239" spans="2:8" x14ac:dyDescent="0.25">
      <c r="B239" s="69"/>
      <c r="C239" s="48"/>
      <c r="D239" t="b">
        <f t="shared" si="9"/>
        <v>1</v>
      </c>
      <c r="F239" t="str">
        <f t="shared" si="10"/>
        <v>000000-2024</v>
      </c>
      <c r="G239" s="13"/>
      <c r="H239" t="b">
        <f t="shared" si="11"/>
        <v>0</v>
      </c>
    </row>
    <row r="240" spans="2:8" x14ac:dyDescent="0.25">
      <c r="B240" s="69"/>
      <c r="C240" s="48"/>
      <c r="D240" t="b">
        <f t="shared" si="9"/>
        <v>1</v>
      </c>
      <c r="F240" t="str">
        <f t="shared" si="10"/>
        <v>000000-2024</v>
      </c>
      <c r="G240" s="13"/>
      <c r="H240" t="b">
        <f t="shared" si="11"/>
        <v>0</v>
      </c>
    </row>
    <row r="241" spans="2:8" ht="13.8" thickBot="1" x14ac:dyDescent="0.3">
      <c r="B241" s="72"/>
      <c r="C241" s="48"/>
      <c r="D241" t="b">
        <f t="shared" si="9"/>
        <v>1</v>
      </c>
      <c r="F241" t="str">
        <f t="shared" si="10"/>
        <v>000000-2024</v>
      </c>
      <c r="G241" s="43"/>
      <c r="H241" t="b">
        <f t="shared" si="11"/>
        <v>0</v>
      </c>
    </row>
    <row r="242" spans="2:8" x14ac:dyDescent="0.25">
      <c r="B242" s="75"/>
      <c r="C242" s="48"/>
      <c r="D242" t="b">
        <f t="shared" si="9"/>
        <v>1</v>
      </c>
      <c r="F242" t="str">
        <f t="shared" si="10"/>
        <v>000000-2024</v>
      </c>
      <c r="G242" s="42"/>
      <c r="H242" t="b">
        <f t="shared" si="11"/>
        <v>0</v>
      </c>
    </row>
    <row r="243" spans="2:8" x14ac:dyDescent="0.25">
      <c r="B243" s="69"/>
      <c r="C243" s="48"/>
      <c r="D243" t="b">
        <f t="shared" si="9"/>
        <v>1</v>
      </c>
      <c r="F243" t="str">
        <f t="shared" si="10"/>
        <v>000000-2024</v>
      </c>
      <c r="G243" s="13"/>
      <c r="H243" t="b">
        <f t="shared" si="11"/>
        <v>0</v>
      </c>
    </row>
    <row r="244" spans="2:8" x14ac:dyDescent="0.25">
      <c r="B244" s="69"/>
      <c r="C244" s="48"/>
      <c r="D244" t="b">
        <f t="shared" si="9"/>
        <v>1</v>
      </c>
      <c r="F244" t="str">
        <f t="shared" si="10"/>
        <v>000000-2024</v>
      </c>
      <c r="G244" s="13"/>
      <c r="H244" t="b">
        <f t="shared" si="11"/>
        <v>0</v>
      </c>
    </row>
    <row r="245" spans="2:8" x14ac:dyDescent="0.25">
      <c r="B245" s="69"/>
      <c r="C245" s="48"/>
      <c r="D245" t="b">
        <f t="shared" si="9"/>
        <v>1</v>
      </c>
      <c r="F245" t="str">
        <f t="shared" si="10"/>
        <v>000000-2024</v>
      </c>
      <c r="G245" s="13"/>
      <c r="H245" t="b">
        <f t="shared" si="11"/>
        <v>0</v>
      </c>
    </row>
    <row r="246" spans="2:8" x14ac:dyDescent="0.25">
      <c r="B246" s="69"/>
      <c r="C246" s="48"/>
      <c r="D246" t="b">
        <f t="shared" si="9"/>
        <v>1</v>
      </c>
      <c r="F246" t="str">
        <f t="shared" si="10"/>
        <v>000000-2024</v>
      </c>
      <c r="G246" s="13"/>
      <c r="H246" t="b">
        <f t="shared" si="11"/>
        <v>0</v>
      </c>
    </row>
    <row r="247" spans="2:8" x14ac:dyDescent="0.25">
      <c r="B247" s="69"/>
      <c r="C247" s="48"/>
      <c r="D247" t="b">
        <f t="shared" si="9"/>
        <v>1</v>
      </c>
      <c r="F247" t="str">
        <f t="shared" si="10"/>
        <v>000000-2024</v>
      </c>
      <c r="G247" s="13"/>
      <c r="H247" t="b">
        <f t="shared" si="11"/>
        <v>0</v>
      </c>
    </row>
    <row r="248" spans="2:8" x14ac:dyDescent="0.25">
      <c r="B248" s="69"/>
      <c r="C248" s="48"/>
      <c r="D248" t="b">
        <f t="shared" si="9"/>
        <v>1</v>
      </c>
      <c r="F248" t="str">
        <f t="shared" si="10"/>
        <v>000000-2024</v>
      </c>
      <c r="G248" s="13"/>
      <c r="H248" t="b">
        <f t="shared" si="11"/>
        <v>0</v>
      </c>
    </row>
    <row r="249" spans="2:8" x14ac:dyDescent="0.25">
      <c r="B249" s="69"/>
      <c r="C249" s="48"/>
      <c r="D249" t="b">
        <f t="shared" si="9"/>
        <v>1</v>
      </c>
      <c r="F249" t="str">
        <f t="shared" si="10"/>
        <v>000000-2024</v>
      </c>
      <c r="G249" s="13"/>
      <c r="H249" t="b">
        <f t="shared" si="11"/>
        <v>0</v>
      </c>
    </row>
    <row r="250" spans="2:8" x14ac:dyDescent="0.25">
      <c r="B250" s="69"/>
      <c r="C250" s="48"/>
      <c r="D250" t="b">
        <f t="shared" si="9"/>
        <v>1</v>
      </c>
      <c r="F250" t="str">
        <f t="shared" si="10"/>
        <v>000000-2024</v>
      </c>
      <c r="G250" s="13"/>
      <c r="H250" t="b">
        <f t="shared" si="11"/>
        <v>0</v>
      </c>
    </row>
    <row r="251" spans="2:8" x14ac:dyDescent="0.25">
      <c r="B251" s="69"/>
      <c r="C251" s="48"/>
      <c r="D251" t="b">
        <f t="shared" si="9"/>
        <v>1</v>
      </c>
      <c r="F251" t="str">
        <f t="shared" si="10"/>
        <v>000000-2024</v>
      </c>
      <c r="G251" s="13"/>
      <c r="H251" t="b">
        <f t="shared" si="11"/>
        <v>0</v>
      </c>
    </row>
    <row r="252" spans="2:8" ht="13.8" thickBot="1" x14ac:dyDescent="0.3">
      <c r="B252" s="72"/>
      <c r="C252" s="48"/>
      <c r="D252" t="b">
        <f t="shared" si="9"/>
        <v>1</v>
      </c>
      <c r="F252" t="str">
        <f t="shared" si="10"/>
        <v>000000-2024</v>
      </c>
      <c r="G252" s="43"/>
      <c r="H252" t="b">
        <f t="shared" si="11"/>
        <v>0</v>
      </c>
    </row>
    <row r="253" spans="2:8" x14ac:dyDescent="0.25">
      <c r="B253" s="75"/>
      <c r="C253" s="48"/>
      <c r="D253" t="b">
        <f t="shared" si="9"/>
        <v>1</v>
      </c>
      <c r="F253" t="str">
        <f t="shared" si="10"/>
        <v>000000-2024</v>
      </c>
      <c r="G253" s="42"/>
      <c r="H253" t="b">
        <f t="shared" si="11"/>
        <v>0</v>
      </c>
    </row>
    <row r="254" spans="2:8" x14ac:dyDescent="0.25">
      <c r="B254" s="69"/>
      <c r="C254" s="48"/>
      <c r="D254" t="b">
        <f t="shared" si="9"/>
        <v>1</v>
      </c>
      <c r="F254" t="str">
        <f t="shared" si="10"/>
        <v>000000-2024</v>
      </c>
      <c r="G254" s="13"/>
      <c r="H254" t="b">
        <f t="shared" si="11"/>
        <v>0</v>
      </c>
    </row>
    <row r="255" spans="2:8" x14ac:dyDescent="0.25">
      <c r="B255" s="69"/>
      <c r="C255" s="48"/>
      <c r="D255" t="b">
        <f t="shared" si="9"/>
        <v>1</v>
      </c>
      <c r="F255" t="str">
        <f t="shared" si="10"/>
        <v>000000-2024</v>
      </c>
      <c r="G255" s="13"/>
      <c r="H255" t="b">
        <f t="shared" si="11"/>
        <v>0</v>
      </c>
    </row>
    <row r="256" spans="2:8" x14ac:dyDescent="0.25">
      <c r="B256" s="69"/>
      <c r="C256" s="48"/>
      <c r="D256" t="b">
        <f t="shared" si="9"/>
        <v>1</v>
      </c>
      <c r="F256" t="str">
        <f t="shared" si="10"/>
        <v>000000-2024</v>
      </c>
      <c r="G256" s="13"/>
      <c r="H256" t="b">
        <f t="shared" si="11"/>
        <v>0</v>
      </c>
    </row>
    <row r="257" spans="2:8" x14ac:dyDescent="0.25">
      <c r="B257" s="69"/>
      <c r="C257" s="48"/>
      <c r="D257" t="b">
        <f t="shared" si="9"/>
        <v>1</v>
      </c>
      <c r="F257" t="str">
        <f t="shared" si="10"/>
        <v>000000-2024</v>
      </c>
      <c r="G257" s="13"/>
      <c r="H257" t="b">
        <f t="shared" si="11"/>
        <v>0</v>
      </c>
    </row>
    <row r="258" spans="2:8" x14ac:dyDescent="0.25">
      <c r="B258" s="69"/>
      <c r="C258" s="48"/>
      <c r="D258" t="b">
        <f t="shared" si="9"/>
        <v>1</v>
      </c>
      <c r="F258" t="str">
        <f t="shared" si="10"/>
        <v>000000-2024</v>
      </c>
      <c r="G258" s="13"/>
      <c r="H258" t="b">
        <f t="shared" si="11"/>
        <v>0</v>
      </c>
    </row>
    <row r="259" spans="2:8" x14ac:dyDescent="0.25">
      <c r="B259" s="69"/>
      <c r="C259" s="48"/>
      <c r="D259" t="b">
        <f t="shared" si="9"/>
        <v>1</v>
      </c>
      <c r="F259" t="str">
        <f t="shared" si="10"/>
        <v>000000-2024</v>
      </c>
      <c r="G259" s="13"/>
      <c r="H259" t="b">
        <f t="shared" si="11"/>
        <v>0</v>
      </c>
    </row>
    <row r="260" spans="2:8" x14ac:dyDescent="0.25">
      <c r="B260" s="69"/>
      <c r="C260" s="48"/>
      <c r="D260" t="b">
        <f t="shared" si="9"/>
        <v>1</v>
      </c>
      <c r="F260" t="str">
        <f t="shared" si="10"/>
        <v>000000-2024</v>
      </c>
      <c r="G260" s="13"/>
      <c r="H260" t="b">
        <f t="shared" si="11"/>
        <v>0</v>
      </c>
    </row>
    <row r="261" spans="2:8" x14ac:dyDescent="0.25">
      <c r="B261" s="69"/>
      <c r="C261" s="48"/>
      <c r="D261" t="b">
        <f t="shared" ref="D261:D324" si="12">B261=C261</f>
        <v>1</v>
      </c>
      <c r="F261" t="str">
        <f t="shared" ref="F261:F324" si="13">TEXT(E261,"000000")&amp;"-2024"</f>
        <v>000000-2024</v>
      </c>
      <c r="G261" s="13"/>
      <c r="H261" t="b">
        <f t="shared" ref="H261:H324" si="14">F261=G261</f>
        <v>0</v>
      </c>
    </row>
    <row r="262" spans="2:8" x14ac:dyDescent="0.25">
      <c r="B262" s="69"/>
      <c r="C262" s="48"/>
      <c r="D262" t="b">
        <f t="shared" si="12"/>
        <v>1</v>
      </c>
      <c r="F262" t="str">
        <f t="shared" si="13"/>
        <v>000000-2024</v>
      </c>
      <c r="G262" s="13"/>
      <c r="H262" t="b">
        <f t="shared" si="14"/>
        <v>0</v>
      </c>
    </row>
    <row r="263" spans="2:8" ht="13.8" thickBot="1" x14ac:dyDescent="0.3">
      <c r="B263" s="72"/>
      <c r="C263" s="48"/>
      <c r="D263" t="b">
        <f t="shared" si="12"/>
        <v>1</v>
      </c>
      <c r="F263" t="str">
        <f t="shared" si="13"/>
        <v>000000-2024</v>
      </c>
      <c r="G263" s="43"/>
      <c r="H263" t="b">
        <f t="shared" si="14"/>
        <v>0</v>
      </c>
    </row>
    <row r="264" spans="2:8" x14ac:dyDescent="0.25">
      <c r="B264" s="75"/>
      <c r="C264" s="48"/>
      <c r="D264" t="b">
        <f t="shared" si="12"/>
        <v>1</v>
      </c>
      <c r="F264" t="str">
        <f t="shared" si="13"/>
        <v>000000-2024</v>
      </c>
      <c r="G264" s="42"/>
      <c r="H264" t="b">
        <f t="shared" si="14"/>
        <v>0</v>
      </c>
    </row>
    <row r="265" spans="2:8" x14ac:dyDescent="0.25">
      <c r="B265" s="69"/>
      <c r="C265" s="48"/>
      <c r="D265" t="b">
        <f t="shared" si="12"/>
        <v>1</v>
      </c>
      <c r="F265" t="str">
        <f t="shared" si="13"/>
        <v>000000-2024</v>
      </c>
      <c r="G265" s="13"/>
      <c r="H265" t="b">
        <f t="shared" si="14"/>
        <v>0</v>
      </c>
    </row>
    <row r="266" spans="2:8" x14ac:dyDescent="0.25">
      <c r="B266" s="69"/>
      <c r="C266" s="48"/>
      <c r="D266" t="b">
        <f t="shared" si="12"/>
        <v>1</v>
      </c>
      <c r="F266" t="str">
        <f t="shared" si="13"/>
        <v>000000-2024</v>
      </c>
      <c r="G266" s="13"/>
      <c r="H266" t="b">
        <f t="shared" si="14"/>
        <v>0</v>
      </c>
    </row>
    <row r="267" spans="2:8" x14ac:dyDescent="0.25">
      <c r="B267" s="69"/>
      <c r="C267" s="48"/>
      <c r="D267" t="b">
        <f t="shared" si="12"/>
        <v>1</v>
      </c>
      <c r="F267" t="str">
        <f t="shared" si="13"/>
        <v>000000-2024</v>
      </c>
      <c r="G267" s="13"/>
      <c r="H267" t="b">
        <f t="shared" si="14"/>
        <v>0</v>
      </c>
    </row>
    <row r="268" spans="2:8" x14ac:dyDescent="0.25">
      <c r="B268" s="69"/>
      <c r="C268" s="48"/>
      <c r="D268" t="b">
        <f t="shared" si="12"/>
        <v>1</v>
      </c>
      <c r="F268" t="str">
        <f t="shared" si="13"/>
        <v>000000-2024</v>
      </c>
      <c r="G268" s="13"/>
      <c r="H268" t="b">
        <f t="shared" si="14"/>
        <v>0</v>
      </c>
    </row>
    <row r="269" spans="2:8" x14ac:dyDescent="0.25">
      <c r="B269" s="69"/>
      <c r="C269" s="48"/>
      <c r="D269" t="b">
        <f t="shared" si="12"/>
        <v>1</v>
      </c>
      <c r="F269" t="str">
        <f t="shared" si="13"/>
        <v>000000-2024</v>
      </c>
      <c r="G269" s="13"/>
      <c r="H269" t="b">
        <f t="shared" si="14"/>
        <v>0</v>
      </c>
    </row>
    <row r="270" spans="2:8" x14ac:dyDescent="0.25">
      <c r="B270" s="69"/>
      <c r="C270" s="48"/>
      <c r="D270" t="b">
        <f t="shared" si="12"/>
        <v>1</v>
      </c>
      <c r="F270" t="str">
        <f t="shared" si="13"/>
        <v>000000-2024</v>
      </c>
      <c r="G270" s="13"/>
      <c r="H270" t="b">
        <f t="shared" si="14"/>
        <v>0</v>
      </c>
    </row>
    <row r="271" spans="2:8" x14ac:dyDescent="0.25">
      <c r="B271" s="69"/>
      <c r="C271" s="48"/>
      <c r="D271" t="b">
        <f t="shared" si="12"/>
        <v>1</v>
      </c>
      <c r="F271" t="str">
        <f t="shared" si="13"/>
        <v>000000-2024</v>
      </c>
      <c r="G271" s="13"/>
      <c r="H271" t="b">
        <f t="shared" si="14"/>
        <v>0</v>
      </c>
    </row>
    <row r="272" spans="2:8" x14ac:dyDescent="0.25">
      <c r="B272" s="69"/>
      <c r="C272" s="48"/>
      <c r="D272" t="b">
        <f t="shared" si="12"/>
        <v>1</v>
      </c>
      <c r="F272" t="str">
        <f t="shared" si="13"/>
        <v>000000-2024</v>
      </c>
      <c r="G272" s="13"/>
      <c r="H272" t="b">
        <f t="shared" si="14"/>
        <v>0</v>
      </c>
    </row>
    <row r="273" spans="2:8" x14ac:dyDescent="0.25">
      <c r="B273" s="69"/>
      <c r="C273" s="48"/>
      <c r="D273" t="b">
        <f t="shared" si="12"/>
        <v>1</v>
      </c>
      <c r="F273" t="str">
        <f t="shared" si="13"/>
        <v>000000-2024</v>
      </c>
      <c r="G273" s="13"/>
      <c r="H273" t="b">
        <f t="shared" si="14"/>
        <v>0</v>
      </c>
    </row>
    <row r="274" spans="2:8" ht="13.8" thickBot="1" x14ac:dyDescent="0.3">
      <c r="B274" s="72"/>
      <c r="C274" s="48"/>
      <c r="D274" t="b">
        <f t="shared" si="12"/>
        <v>1</v>
      </c>
      <c r="F274" t="str">
        <f t="shared" si="13"/>
        <v>000000-2024</v>
      </c>
      <c r="G274" s="43"/>
      <c r="H274" t="b">
        <f t="shared" si="14"/>
        <v>0</v>
      </c>
    </row>
    <row r="275" spans="2:8" x14ac:dyDescent="0.25">
      <c r="B275" s="76"/>
      <c r="C275" s="48"/>
      <c r="D275" t="b">
        <f t="shared" si="12"/>
        <v>1</v>
      </c>
      <c r="F275" t="str">
        <f t="shared" si="13"/>
        <v>000000-2024</v>
      </c>
      <c r="G275" s="46"/>
      <c r="H275" t="b">
        <f t="shared" si="14"/>
        <v>0</v>
      </c>
    </row>
    <row r="276" spans="2:8" x14ac:dyDescent="0.25">
      <c r="B276" s="69"/>
      <c r="C276" s="48"/>
      <c r="D276" t="b">
        <f t="shared" si="12"/>
        <v>1</v>
      </c>
      <c r="F276" t="str">
        <f t="shared" si="13"/>
        <v>000000-2024</v>
      </c>
      <c r="G276" s="13"/>
      <c r="H276" t="b">
        <f t="shared" si="14"/>
        <v>0</v>
      </c>
    </row>
    <row r="277" spans="2:8" x14ac:dyDescent="0.25">
      <c r="B277" s="69"/>
      <c r="C277" s="48"/>
      <c r="D277" t="b">
        <f t="shared" si="12"/>
        <v>1</v>
      </c>
      <c r="F277" t="str">
        <f t="shared" si="13"/>
        <v>000000-2024</v>
      </c>
      <c r="G277" s="13"/>
      <c r="H277" t="b">
        <f t="shared" si="14"/>
        <v>0</v>
      </c>
    </row>
    <row r="278" spans="2:8" x14ac:dyDescent="0.25">
      <c r="B278" s="69"/>
      <c r="C278" s="48"/>
      <c r="D278" t="b">
        <f t="shared" si="12"/>
        <v>1</v>
      </c>
      <c r="F278" t="str">
        <f t="shared" si="13"/>
        <v>000000-2024</v>
      </c>
      <c r="G278" s="13"/>
      <c r="H278" t="b">
        <f t="shared" si="14"/>
        <v>0</v>
      </c>
    </row>
    <row r="279" spans="2:8" x14ac:dyDescent="0.25">
      <c r="B279" s="69"/>
      <c r="C279" s="48"/>
      <c r="D279" t="b">
        <f t="shared" si="12"/>
        <v>1</v>
      </c>
      <c r="F279" t="str">
        <f t="shared" si="13"/>
        <v>000000-2024</v>
      </c>
      <c r="G279" s="13"/>
      <c r="H279" t="b">
        <f t="shared" si="14"/>
        <v>0</v>
      </c>
    </row>
    <row r="280" spans="2:8" x14ac:dyDescent="0.25">
      <c r="B280" s="69"/>
      <c r="C280" s="48"/>
      <c r="D280" t="b">
        <f t="shared" si="12"/>
        <v>1</v>
      </c>
      <c r="F280" t="str">
        <f t="shared" si="13"/>
        <v>000000-2024</v>
      </c>
      <c r="G280" s="13"/>
      <c r="H280" t="b">
        <f t="shared" si="14"/>
        <v>0</v>
      </c>
    </row>
    <row r="281" spans="2:8" x14ac:dyDescent="0.25">
      <c r="B281" s="69"/>
      <c r="C281" s="48"/>
      <c r="D281" t="b">
        <f t="shared" si="12"/>
        <v>1</v>
      </c>
      <c r="F281" t="str">
        <f t="shared" si="13"/>
        <v>000000-2024</v>
      </c>
      <c r="G281" s="13"/>
      <c r="H281" t="b">
        <f t="shared" si="14"/>
        <v>0</v>
      </c>
    </row>
    <row r="282" spans="2:8" x14ac:dyDescent="0.25">
      <c r="B282" s="69"/>
      <c r="C282" s="48"/>
      <c r="D282" t="b">
        <f t="shared" si="12"/>
        <v>1</v>
      </c>
      <c r="F282" t="str">
        <f t="shared" si="13"/>
        <v>000000-2024</v>
      </c>
      <c r="G282" s="13"/>
      <c r="H282" t="b">
        <f t="shared" si="14"/>
        <v>0</v>
      </c>
    </row>
    <row r="283" spans="2:8" ht="13.8" thickBot="1" x14ac:dyDescent="0.3">
      <c r="B283" s="69"/>
      <c r="C283" s="48"/>
      <c r="D283" t="b">
        <f t="shared" si="12"/>
        <v>1</v>
      </c>
      <c r="F283" t="str">
        <f t="shared" si="13"/>
        <v>000000-2024</v>
      </c>
      <c r="G283" s="13"/>
      <c r="H283" t="b">
        <f t="shared" si="14"/>
        <v>0</v>
      </c>
    </row>
    <row r="284" spans="2:8" x14ac:dyDescent="0.25">
      <c r="B284" s="75"/>
      <c r="C284" s="48"/>
      <c r="D284" t="b">
        <f t="shared" si="12"/>
        <v>1</v>
      </c>
      <c r="F284" t="str">
        <f t="shared" si="13"/>
        <v>000000-2024</v>
      </c>
      <c r="G284" s="42"/>
      <c r="H284" t="b">
        <f t="shared" si="14"/>
        <v>0</v>
      </c>
    </row>
    <row r="285" spans="2:8" x14ac:dyDescent="0.25">
      <c r="B285" s="69"/>
      <c r="C285" s="48"/>
      <c r="D285" t="b">
        <f t="shared" si="12"/>
        <v>1</v>
      </c>
      <c r="F285" t="str">
        <f t="shared" si="13"/>
        <v>000000-2024</v>
      </c>
      <c r="G285" s="13"/>
      <c r="H285" t="b">
        <f t="shared" si="14"/>
        <v>0</v>
      </c>
    </row>
    <row r="286" spans="2:8" x14ac:dyDescent="0.25">
      <c r="B286" s="69"/>
      <c r="C286" s="48"/>
      <c r="D286" t="b">
        <f t="shared" si="12"/>
        <v>1</v>
      </c>
      <c r="F286" t="str">
        <f t="shared" si="13"/>
        <v>000000-2024</v>
      </c>
      <c r="G286" s="13"/>
      <c r="H286" t="b">
        <f t="shared" si="14"/>
        <v>0</v>
      </c>
    </row>
    <row r="287" spans="2:8" x14ac:dyDescent="0.25">
      <c r="B287" s="69"/>
      <c r="C287" s="48"/>
      <c r="D287" t="b">
        <f t="shared" si="12"/>
        <v>1</v>
      </c>
      <c r="F287" t="str">
        <f t="shared" si="13"/>
        <v>000000-2024</v>
      </c>
      <c r="G287" s="13"/>
      <c r="H287" t="b">
        <f t="shared" si="14"/>
        <v>0</v>
      </c>
    </row>
    <row r="288" spans="2:8" ht="13.8" thickBot="1" x14ac:dyDescent="0.3">
      <c r="B288" s="72"/>
      <c r="C288" s="48"/>
      <c r="D288" t="b">
        <f t="shared" si="12"/>
        <v>1</v>
      </c>
      <c r="F288" t="str">
        <f t="shared" si="13"/>
        <v>000000-2024</v>
      </c>
      <c r="G288" s="43"/>
      <c r="H288" t="b">
        <f t="shared" si="14"/>
        <v>0</v>
      </c>
    </row>
    <row r="289" spans="2:8" x14ac:dyDescent="0.25">
      <c r="B289" s="75"/>
      <c r="C289" s="48"/>
      <c r="D289" t="b">
        <f t="shared" si="12"/>
        <v>1</v>
      </c>
      <c r="F289" t="str">
        <f t="shared" si="13"/>
        <v>000000-2024</v>
      </c>
      <c r="G289" s="42"/>
      <c r="H289" t="b">
        <f t="shared" si="14"/>
        <v>0</v>
      </c>
    </row>
    <row r="290" spans="2:8" x14ac:dyDescent="0.25">
      <c r="B290" s="69"/>
      <c r="C290" s="48"/>
      <c r="D290" t="b">
        <f t="shared" si="12"/>
        <v>1</v>
      </c>
      <c r="F290" t="str">
        <f t="shared" si="13"/>
        <v>000000-2024</v>
      </c>
      <c r="G290" s="13"/>
      <c r="H290" t="b">
        <f t="shared" si="14"/>
        <v>0</v>
      </c>
    </row>
    <row r="291" spans="2:8" x14ac:dyDescent="0.25">
      <c r="B291" s="69"/>
      <c r="C291" s="48"/>
      <c r="D291" t="b">
        <f t="shared" si="12"/>
        <v>1</v>
      </c>
      <c r="F291" t="str">
        <f t="shared" si="13"/>
        <v>000000-2024</v>
      </c>
      <c r="G291" s="13"/>
      <c r="H291" t="b">
        <f t="shared" si="14"/>
        <v>0</v>
      </c>
    </row>
    <row r="292" spans="2:8" x14ac:dyDescent="0.25">
      <c r="B292" s="69"/>
      <c r="C292" s="48"/>
      <c r="D292" t="b">
        <f t="shared" si="12"/>
        <v>1</v>
      </c>
      <c r="F292" t="str">
        <f t="shared" si="13"/>
        <v>000000-2024</v>
      </c>
      <c r="G292" s="13"/>
      <c r="H292" t="b">
        <f t="shared" si="14"/>
        <v>0</v>
      </c>
    </row>
    <row r="293" spans="2:8" x14ac:dyDescent="0.25">
      <c r="B293" s="69"/>
      <c r="C293" s="48"/>
      <c r="D293" t="b">
        <f t="shared" si="12"/>
        <v>1</v>
      </c>
      <c r="F293" t="str">
        <f t="shared" si="13"/>
        <v>000000-2024</v>
      </c>
      <c r="G293" s="13"/>
      <c r="H293" t="b">
        <f t="shared" si="14"/>
        <v>0</v>
      </c>
    </row>
    <row r="294" spans="2:8" x14ac:dyDescent="0.25">
      <c r="B294" s="69"/>
      <c r="C294" s="48"/>
      <c r="D294" t="b">
        <f t="shared" si="12"/>
        <v>1</v>
      </c>
      <c r="F294" t="str">
        <f t="shared" si="13"/>
        <v>000000-2024</v>
      </c>
      <c r="G294" s="13"/>
      <c r="H294" t="b">
        <f t="shared" si="14"/>
        <v>0</v>
      </c>
    </row>
    <row r="295" spans="2:8" x14ac:dyDescent="0.25">
      <c r="B295" s="69"/>
      <c r="C295" s="48"/>
      <c r="D295" t="b">
        <f t="shared" si="12"/>
        <v>1</v>
      </c>
      <c r="F295" t="str">
        <f t="shared" si="13"/>
        <v>000000-2024</v>
      </c>
      <c r="G295" s="13"/>
      <c r="H295" t="b">
        <f t="shared" si="14"/>
        <v>0</v>
      </c>
    </row>
    <row r="296" spans="2:8" x14ac:dyDescent="0.25">
      <c r="B296" s="69"/>
      <c r="C296" s="48"/>
      <c r="D296" t="b">
        <f t="shared" si="12"/>
        <v>1</v>
      </c>
      <c r="F296" t="str">
        <f t="shared" si="13"/>
        <v>000000-2024</v>
      </c>
      <c r="G296" s="13"/>
      <c r="H296" t="b">
        <f t="shared" si="14"/>
        <v>0</v>
      </c>
    </row>
    <row r="297" spans="2:8" x14ac:dyDescent="0.25">
      <c r="B297" s="69"/>
      <c r="C297" s="48"/>
      <c r="D297" t="b">
        <f t="shared" si="12"/>
        <v>1</v>
      </c>
      <c r="F297" t="str">
        <f t="shared" si="13"/>
        <v>000000-2024</v>
      </c>
      <c r="G297" s="13"/>
      <c r="H297" t="b">
        <f t="shared" si="14"/>
        <v>0</v>
      </c>
    </row>
    <row r="298" spans="2:8" x14ac:dyDescent="0.25">
      <c r="B298" s="69"/>
      <c r="C298" s="48"/>
      <c r="D298" t="b">
        <f t="shared" si="12"/>
        <v>1</v>
      </c>
      <c r="F298" t="str">
        <f t="shared" si="13"/>
        <v>000000-2024</v>
      </c>
      <c r="G298" s="13"/>
      <c r="H298" t="b">
        <f t="shared" si="14"/>
        <v>0</v>
      </c>
    </row>
    <row r="299" spans="2:8" x14ac:dyDescent="0.25">
      <c r="B299" s="69"/>
      <c r="C299" s="48"/>
      <c r="D299" t="b">
        <f t="shared" si="12"/>
        <v>1</v>
      </c>
      <c r="F299" t="str">
        <f t="shared" si="13"/>
        <v>000000-2024</v>
      </c>
      <c r="G299" s="13"/>
      <c r="H299" t="b">
        <f t="shared" si="14"/>
        <v>0</v>
      </c>
    </row>
    <row r="300" spans="2:8" x14ac:dyDescent="0.25">
      <c r="B300" s="69"/>
      <c r="C300" s="48"/>
      <c r="D300" t="b">
        <f t="shared" si="12"/>
        <v>1</v>
      </c>
      <c r="F300" t="str">
        <f t="shared" si="13"/>
        <v>000000-2024</v>
      </c>
      <c r="G300" s="13"/>
      <c r="H300" t="b">
        <f t="shared" si="14"/>
        <v>0</v>
      </c>
    </row>
    <row r="301" spans="2:8" x14ac:dyDescent="0.25">
      <c r="B301" s="69"/>
      <c r="C301" s="48"/>
      <c r="D301" t="b">
        <f t="shared" si="12"/>
        <v>1</v>
      </c>
      <c r="F301" t="str">
        <f t="shared" si="13"/>
        <v>000000-2024</v>
      </c>
      <c r="G301" s="13"/>
      <c r="H301" t="b">
        <f t="shared" si="14"/>
        <v>0</v>
      </c>
    </row>
    <row r="302" spans="2:8" x14ac:dyDescent="0.25">
      <c r="B302" s="69"/>
      <c r="C302" s="48"/>
      <c r="D302" t="b">
        <f t="shared" si="12"/>
        <v>1</v>
      </c>
      <c r="F302" t="str">
        <f t="shared" si="13"/>
        <v>000000-2024</v>
      </c>
      <c r="G302" s="13"/>
      <c r="H302" t="b">
        <f t="shared" si="14"/>
        <v>0</v>
      </c>
    </row>
    <row r="303" spans="2:8" ht="13.8" thickBot="1" x14ac:dyDescent="0.3">
      <c r="B303" s="72"/>
      <c r="C303" s="48"/>
      <c r="D303" t="b">
        <f t="shared" si="12"/>
        <v>1</v>
      </c>
      <c r="F303" t="str">
        <f t="shared" si="13"/>
        <v>000000-2024</v>
      </c>
      <c r="G303" s="43"/>
      <c r="H303" t="b">
        <f t="shared" si="14"/>
        <v>0</v>
      </c>
    </row>
    <row r="304" spans="2:8" x14ac:dyDescent="0.25">
      <c r="B304" s="75"/>
      <c r="C304" s="48"/>
      <c r="D304" t="b">
        <f t="shared" si="12"/>
        <v>1</v>
      </c>
      <c r="F304" t="str">
        <f t="shared" si="13"/>
        <v>000000-2024</v>
      </c>
      <c r="G304" s="42"/>
      <c r="H304" t="b">
        <f t="shared" si="14"/>
        <v>0</v>
      </c>
    </row>
    <row r="305" spans="2:8" x14ac:dyDescent="0.25">
      <c r="B305" s="69"/>
      <c r="C305" s="48"/>
      <c r="D305" t="b">
        <f t="shared" si="12"/>
        <v>1</v>
      </c>
      <c r="F305" t="str">
        <f t="shared" si="13"/>
        <v>000000-2024</v>
      </c>
      <c r="G305" s="13"/>
      <c r="H305" t="b">
        <f t="shared" si="14"/>
        <v>0</v>
      </c>
    </row>
    <row r="306" spans="2:8" x14ac:dyDescent="0.25">
      <c r="B306" s="69"/>
      <c r="C306" s="48"/>
      <c r="D306" t="b">
        <f t="shared" si="12"/>
        <v>1</v>
      </c>
      <c r="F306" t="str">
        <f t="shared" si="13"/>
        <v>000000-2024</v>
      </c>
      <c r="G306" s="13"/>
      <c r="H306" t="b">
        <f t="shared" si="14"/>
        <v>0</v>
      </c>
    </row>
    <row r="307" spans="2:8" x14ac:dyDescent="0.25">
      <c r="B307" s="69"/>
      <c r="C307" s="48"/>
      <c r="D307" t="b">
        <f t="shared" si="12"/>
        <v>1</v>
      </c>
      <c r="F307" t="str">
        <f t="shared" si="13"/>
        <v>000000-2024</v>
      </c>
      <c r="G307" s="13"/>
      <c r="H307" t="b">
        <f t="shared" si="14"/>
        <v>0</v>
      </c>
    </row>
    <row r="308" spans="2:8" x14ac:dyDescent="0.25">
      <c r="B308" s="69"/>
      <c r="C308" s="48"/>
      <c r="D308" t="b">
        <f t="shared" si="12"/>
        <v>1</v>
      </c>
      <c r="F308" t="str">
        <f t="shared" si="13"/>
        <v>000000-2024</v>
      </c>
      <c r="G308" s="13"/>
      <c r="H308" t="b">
        <f t="shared" si="14"/>
        <v>0</v>
      </c>
    </row>
    <row r="309" spans="2:8" x14ac:dyDescent="0.25">
      <c r="B309" s="69"/>
      <c r="C309" s="48"/>
      <c r="D309" t="b">
        <f t="shared" si="12"/>
        <v>1</v>
      </c>
      <c r="F309" t="str">
        <f t="shared" si="13"/>
        <v>000000-2024</v>
      </c>
      <c r="G309" s="13"/>
      <c r="H309" t="b">
        <f t="shared" si="14"/>
        <v>0</v>
      </c>
    </row>
    <row r="310" spans="2:8" x14ac:dyDescent="0.25">
      <c r="B310" s="69"/>
      <c r="C310" s="48"/>
      <c r="D310" t="b">
        <f t="shared" si="12"/>
        <v>1</v>
      </c>
      <c r="F310" t="str">
        <f t="shared" si="13"/>
        <v>000000-2024</v>
      </c>
      <c r="G310" s="13"/>
      <c r="H310" t="b">
        <f t="shared" si="14"/>
        <v>0</v>
      </c>
    </row>
    <row r="311" spans="2:8" x14ac:dyDescent="0.25">
      <c r="B311" s="69"/>
      <c r="C311" s="48"/>
      <c r="D311" t="b">
        <f t="shared" si="12"/>
        <v>1</v>
      </c>
      <c r="F311" t="str">
        <f t="shared" si="13"/>
        <v>000000-2024</v>
      </c>
      <c r="G311" s="13"/>
      <c r="H311" t="b">
        <f t="shared" si="14"/>
        <v>0</v>
      </c>
    </row>
    <row r="312" spans="2:8" x14ac:dyDescent="0.25">
      <c r="B312" s="69"/>
      <c r="C312" s="48"/>
      <c r="D312" t="b">
        <f t="shared" si="12"/>
        <v>1</v>
      </c>
      <c r="F312" t="str">
        <f t="shared" si="13"/>
        <v>000000-2024</v>
      </c>
      <c r="G312" s="13"/>
      <c r="H312" t="b">
        <f t="shared" si="14"/>
        <v>0</v>
      </c>
    </row>
    <row r="313" spans="2:8" x14ac:dyDescent="0.25">
      <c r="B313" s="69"/>
      <c r="C313" s="48"/>
      <c r="D313" t="b">
        <f t="shared" si="12"/>
        <v>1</v>
      </c>
      <c r="F313" t="str">
        <f t="shared" si="13"/>
        <v>000000-2024</v>
      </c>
      <c r="G313" s="13"/>
      <c r="H313" t="b">
        <f t="shared" si="14"/>
        <v>0</v>
      </c>
    </row>
    <row r="314" spans="2:8" x14ac:dyDescent="0.25">
      <c r="B314" s="69"/>
      <c r="C314" s="48"/>
      <c r="D314" t="b">
        <f t="shared" si="12"/>
        <v>1</v>
      </c>
      <c r="F314" t="str">
        <f t="shared" si="13"/>
        <v>000000-2024</v>
      </c>
      <c r="G314" s="13"/>
      <c r="H314" t="b">
        <f t="shared" si="14"/>
        <v>0</v>
      </c>
    </row>
    <row r="315" spans="2:8" x14ac:dyDescent="0.25">
      <c r="B315" s="69"/>
      <c r="C315" s="48"/>
      <c r="D315" t="b">
        <f t="shared" si="12"/>
        <v>1</v>
      </c>
      <c r="F315" t="str">
        <f t="shared" si="13"/>
        <v>000000-2024</v>
      </c>
      <c r="G315" s="13"/>
      <c r="H315" t="b">
        <f t="shared" si="14"/>
        <v>0</v>
      </c>
    </row>
    <row r="316" spans="2:8" x14ac:dyDescent="0.25">
      <c r="B316" s="69"/>
      <c r="C316" s="48"/>
      <c r="D316" t="b">
        <f t="shared" si="12"/>
        <v>1</v>
      </c>
      <c r="F316" t="str">
        <f t="shared" si="13"/>
        <v>000000-2024</v>
      </c>
      <c r="G316" s="13"/>
      <c r="H316" t="b">
        <f t="shared" si="14"/>
        <v>0</v>
      </c>
    </row>
    <row r="317" spans="2:8" x14ac:dyDescent="0.25">
      <c r="B317" s="69"/>
      <c r="C317" s="48"/>
      <c r="D317" t="b">
        <f t="shared" si="12"/>
        <v>1</v>
      </c>
      <c r="F317" t="str">
        <f t="shared" si="13"/>
        <v>000000-2024</v>
      </c>
      <c r="G317" s="13"/>
      <c r="H317" t="b">
        <f t="shared" si="14"/>
        <v>0</v>
      </c>
    </row>
    <row r="318" spans="2:8" ht="13.8" thickBot="1" x14ac:dyDescent="0.3">
      <c r="B318" s="72"/>
      <c r="C318" s="48"/>
      <c r="D318" t="b">
        <f t="shared" si="12"/>
        <v>1</v>
      </c>
      <c r="F318" t="str">
        <f t="shared" si="13"/>
        <v>000000-2024</v>
      </c>
      <c r="G318" s="43"/>
      <c r="H318" t="b">
        <f t="shared" si="14"/>
        <v>0</v>
      </c>
    </row>
    <row r="319" spans="2:8" x14ac:dyDescent="0.25">
      <c r="B319" s="75"/>
      <c r="C319" s="48"/>
      <c r="D319" t="b">
        <f t="shared" si="12"/>
        <v>1</v>
      </c>
      <c r="F319" t="str">
        <f t="shared" si="13"/>
        <v>000000-2024</v>
      </c>
      <c r="G319" s="42"/>
      <c r="H319" t="b">
        <f t="shared" si="14"/>
        <v>0</v>
      </c>
    </row>
    <row r="320" spans="2:8" x14ac:dyDescent="0.25">
      <c r="B320" s="69"/>
      <c r="C320" s="48"/>
      <c r="D320" t="b">
        <f t="shared" si="12"/>
        <v>1</v>
      </c>
      <c r="F320" t="str">
        <f t="shared" si="13"/>
        <v>000000-2024</v>
      </c>
      <c r="G320" s="13"/>
      <c r="H320" t="b">
        <f t="shared" si="14"/>
        <v>0</v>
      </c>
    </row>
    <row r="321" spans="2:8" x14ac:dyDescent="0.25">
      <c r="B321" s="69"/>
      <c r="C321" s="48"/>
      <c r="D321" t="b">
        <f t="shared" si="12"/>
        <v>1</v>
      </c>
      <c r="F321" t="str">
        <f t="shared" si="13"/>
        <v>000000-2024</v>
      </c>
      <c r="G321" s="13"/>
      <c r="H321" t="b">
        <f t="shared" si="14"/>
        <v>0</v>
      </c>
    </row>
    <row r="322" spans="2:8" x14ac:dyDescent="0.25">
      <c r="B322" s="69"/>
      <c r="C322" s="48"/>
      <c r="D322" t="b">
        <f t="shared" si="12"/>
        <v>1</v>
      </c>
      <c r="F322" t="str">
        <f t="shared" si="13"/>
        <v>000000-2024</v>
      </c>
      <c r="G322" s="13"/>
      <c r="H322" t="b">
        <f t="shared" si="14"/>
        <v>0</v>
      </c>
    </row>
    <row r="323" spans="2:8" x14ac:dyDescent="0.25">
      <c r="B323" s="69"/>
      <c r="C323" s="48"/>
      <c r="D323" t="b">
        <f t="shared" si="12"/>
        <v>1</v>
      </c>
      <c r="F323" t="str">
        <f t="shared" si="13"/>
        <v>000000-2024</v>
      </c>
      <c r="G323" s="13"/>
      <c r="H323" t="b">
        <f t="shared" si="14"/>
        <v>0</v>
      </c>
    </row>
    <row r="324" spans="2:8" x14ac:dyDescent="0.25">
      <c r="B324" s="69"/>
      <c r="C324" s="48"/>
      <c r="D324" t="b">
        <f t="shared" si="12"/>
        <v>1</v>
      </c>
      <c r="F324" t="str">
        <f t="shared" si="13"/>
        <v>000000-2024</v>
      </c>
      <c r="G324" s="13"/>
      <c r="H324" t="b">
        <f t="shared" si="14"/>
        <v>0</v>
      </c>
    </row>
    <row r="325" spans="2:8" x14ac:dyDescent="0.25">
      <c r="B325" s="69"/>
      <c r="C325" s="48"/>
      <c r="D325" t="b">
        <f t="shared" ref="D325:D388" si="15">B325=C325</f>
        <v>1</v>
      </c>
      <c r="F325" t="str">
        <f t="shared" ref="F325:F388" si="16">TEXT(E325,"000000")&amp;"-2024"</f>
        <v>000000-2024</v>
      </c>
      <c r="G325" s="13"/>
      <c r="H325" t="b">
        <f t="shared" ref="H325:H388" si="17">F325=G325</f>
        <v>0</v>
      </c>
    </row>
    <row r="326" spans="2:8" x14ac:dyDescent="0.25">
      <c r="B326" s="69"/>
      <c r="C326" s="48"/>
      <c r="D326" t="b">
        <f t="shared" si="15"/>
        <v>1</v>
      </c>
      <c r="F326" t="str">
        <f t="shared" si="16"/>
        <v>000000-2024</v>
      </c>
      <c r="G326" s="13"/>
      <c r="H326" t="b">
        <f t="shared" si="17"/>
        <v>0</v>
      </c>
    </row>
    <row r="327" spans="2:8" x14ac:dyDescent="0.25">
      <c r="B327" s="69"/>
      <c r="C327" s="48"/>
      <c r="D327" t="b">
        <f t="shared" si="15"/>
        <v>1</v>
      </c>
      <c r="F327" t="str">
        <f t="shared" si="16"/>
        <v>000000-2024</v>
      </c>
      <c r="G327" s="13"/>
      <c r="H327" t="b">
        <f t="shared" si="17"/>
        <v>0</v>
      </c>
    </row>
    <row r="328" spans="2:8" x14ac:dyDescent="0.25">
      <c r="B328" s="69"/>
      <c r="C328" s="48"/>
      <c r="D328" t="b">
        <f t="shared" si="15"/>
        <v>1</v>
      </c>
      <c r="F328" t="str">
        <f t="shared" si="16"/>
        <v>000000-2024</v>
      </c>
      <c r="G328" s="13"/>
      <c r="H328" t="b">
        <f t="shared" si="17"/>
        <v>0</v>
      </c>
    </row>
    <row r="329" spans="2:8" x14ac:dyDescent="0.25">
      <c r="B329" s="69"/>
      <c r="C329" s="48"/>
      <c r="D329" t="b">
        <f t="shared" si="15"/>
        <v>1</v>
      </c>
      <c r="F329" t="str">
        <f t="shared" si="16"/>
        <v>000000-2024</v>
      </c>
      <c r="G329" s="13"/>
      <c r="H329" t="b">
        <f t="shared" si="17"/>
        <v>0</v>
      </c>
    </row>
    <row r="330" spans="2:8" x14ac:dyDescent="0.25">
      <c r="B330" s="69"/>
      <c r="C330" s="48"/>
      <c r="D330" t="b">
        <f t="shared" si="15"/>
        <v>1</v>
      </c>
      <c r="F330" t="str">
        <f t="shared" si="16"/>
        <v>000000-2024</v>
      </c>
      <c r="G330" s="13"/>
      <c r="H330" t="b">
        <f t="shared" si="17"/>
        <v>0</v>
      </c>
    </row>
    <row r="331" spans="2:8" x14ac:dyDescent="0.25">
      <c r="B331" s="69"/>
      <c r="C331" s="48"/>
      <c r="D331" t="b">
        <f t="shared" si="15"/>
        <v>1</v>
      </c>
      <c r="F331" t="str">
        <f t="shared" si="16"/>
        <v>000000-2024</v>
      </c>
      <c r="G331" s="13"/>
      <c r="H331" t="b">
        <f t="shared" si="17"/>
        <v>0</v>
      </c>
    </row>
    <row r="332" spans="2:8" x14ac:dyDescent="0.25">
      <c r="B332" s="69"/>
      <c r="C332" s="48"/>
      <c r="D332" t="b">
        <f t="shared" si="15"/>
        <v>1</v>
      </c>
      <c r="F332" t="str">
        <f t="shared" si="16"/>
        <v>000000-2024</v>
      </c>
      <c r="G332" s="13"/>
      <c r="H332" t="b">
        <f t="shared" si="17"/>
        <v>0</v>
      </c>
    </row>
    <row r="333" spans="2:8" ht="13.8" thickBot="1" x14ac:dyDescent="0.3">
      <c r="B333" s="72"/>
      <c r="C333" s="48"/>
      <c r="D333" t="b">
        <f t="shared" si="15"/>
        <v>1</v>
      </c>
      <c r="F333" t="str">
        <f t="shared" si="16"/>
        <v>000000-2024</v>
      </c>
      <c r="G333" s="43"/>
      <c r="H333" t="b">
        <f t="shared" si="17"/>
        <v>0</v>
      </c>
    </row>
    <row r="334" spans="2:8" x14ac:dyDescent="0.25">
      <c r="B334" s="75"/>
      <c r="C334" s="48"/>
      <c r="D334" t="b">
        <f t="shared" si="15"/>
        <v>1</v>
      </c>
      <c r="F334" t="str">
        <f t="shared" si="16"/>
        <v>000000-2024</v>
      </c>
      <c r="G334" s="42"/>
      <c r="H334" t="b">
        <f t="shared" si="17"/>
        <v>0</v>
      </c>
    </row>
    <row r="335" spans="2:8" x14ac:dyDescent="0.25">
      <c r="B335" s="69"/>
      <c r="C335" s="48"/>
      <c r="D335" t="b">
        <f t="shared" si="15"/>
        <v>1</v>
      </c>
      <c r="F335" t="str">
        <f t="shared" si="16"/>
        <v>000000-2024</v>
      </c>
      <c r="G335" s="13"/>
      <c r="H335" t="b">
        <f t="shared" si="17"/>
        <v>0</v>
      </c>
    </row>
    <row r="336" spans="2:8" x14ac:dyDescent="0.25">
      <c r="B336" s="69"/>
      <c r="C336" s="48"/>
      <c r="D336" t="b">
        <f t="shared" si="15"/>
        <v>1</v>
      </c>
      <c r="F336" t="str">
        <f t="shared" si="16"/>
        <v>000000-2024</v>
      </c>
      <c r="G336" s="13"/>
      <c r="H336" t="b">
        <f t="shared" si="17"/>
        <v>0</v>
      </c>
    </row>
    <row r="337" spans="2:8" x14ac:dyDescent="0.25">
      <c r="B337" s="77"/>
      <c r="C337" s="48"/>
      <c r="D337" t="b">
        <f t="shared" si="15"/>
        <v>1</v>
      </c>
      <c r="F337" t="str">
        <f t="shared" si="16"/>
        <v>000000-2024</v>
      </c>
      <c r="G337" s="45"/>
      <c r="H337" t="b">
        <f t="shared" si="17"/>
        <v>0</v>
      </c>
    </row>
    <row r="338" spans="2:8" x14ac:dyDescent="0.25">
      <c r="B338" s="69"/>
      <c r="C338" s="48"/>
      <c r="D338" t="b">
        <f t="shared" si="15"/>
        <v>1</v>
      </c>
      <c r="F338" t="str">
        <f t="shared" si="16"/>
        <v>000000-2024</v>
      </c>
      <c r="G338" s="13"/>
      <c r="H338" t="b">
        <f t="shared" si="17"/>
        <v>0</v>
      </c>
    </row>
    <row r="339" spans="2:8" x14ac:dyDescent="0.25">
      <c r="B339" s="76"/>
      <c r="C339" s="48"/>
      <c r="D339" t="b">
        <f t="shared" si="15"/>
        <v>1</v>
      </c>
      <c r="F339" t="str">
        <f t="shared" si="16"/>
        <v>000000-2024</v>
      </c>
      <c r="G339" s="46"/>
      <c r="H339" t="b">
        <f t="shared" si="17"/>
        <v>0</v>
      </c>
    </row>
    <row r="340" spans="2:8" x14ac:dyDescent="0.25">
      <c r="B340" s="69"/>
      <c r="C340" s="48"/>
      <c r="D340" t="b">
        <f t="shared" si="15"/>
        <v>1</v>
      </c>
      <c r="F340" t="str">
        <f t="shared" si="16"/>
        <v>000000-2024</v>
      </c>
      <c r="G340" s="13"/>
      <c r="H340" t="b">
        <f t="shared" si="17"/>
        <v>0</v>
      </c>
    </row>
    <row r="341" spans="2:8" x14ac:dyDescent="0.25">
      <c r="B341" s="69"/>
      <c r="C341" s="48"/>
      <c r="D341" t="b">
        <f t="shared" si="15"/>
        <v>1</v>
      </c>
      <c r="F341" t="str">
        <f t="shared" si="16"/>
        <v>000000-2024</v>
      </c>
      <c r="G341" s="13"/>
      <c r="H341" t="b">
        <f t="shared" si="17"/>
        <v>0</v>
      </c>
    </row>
    <row r="342" spans="2:8" x14ac:dyDescent="0.25">
      <c r="B342" s="69"/>
      <c r="C342" s="48"/>
      <c r="D342" t="b">
        <f t="shared" si="15"/>
        <v>1</v>
      </c>
      <c r="F342" t="str">
        <f t="shared" si="16"/>
        <v>000000-2024</v>
      </c>
      <c r="G342" s="13"/>
      <c r="H342" t="b">
        <f t="shared" si="17"/>
        <v>0</v>
      </c>
    </row>
    <row r="343" spans="2:8" x14ac:dyDescent="0.25">
      <c r="B343" s="69"/>
      <c r="C343" s="48"/>
      <c r="D343" t="b">
        <f t="shared" si="15"/>
        <v>1</v>
      </c>
      <c r="F343" t="str">
        <f t="shared" si="16"/>
        <v>000000-2024</v>
      </c>
      <c r="G343" s="13"/>
      <c r="H343" t="b">
        <f t="shared" si="17"/>
        <v>0</v>
      </c>
    </row>
    <row r="344" spans="2:8" x14ac:dyDescent="0.25">
      <c r="B344" s="69"/>
      <c r="C344" s="48"/>
      <c r="D344" t="b">
        <f t="shared" si="15"/>
        <v>1</v>
      </c>
      <c r="F344" t="str">
        <f t="shared" si="16"/>
        <v>000000-2024</v>
      </c>
      <c r="G344" s="13"/>
      <c r="H344" t="b">
        <f t="shared" si="17"/>
        <v>0</v>
      </c>
    </row>
    <row r="345" spans="2:8" x14ac:dyDescent="0.25">
      <c r="B345" s="69"/>
      <c r="C345" s="48"/>
      <c r="D345" t="b">
        <f t="shared" si="15"/>
        <v>1</v>
      </c>
      <c r="F345" t="str">
        <f t="shared" si="16"/>
        <v>000000-2024</v>
      </c>
      <c r="G345" s="13"/>
      <c r="H345" t="b">
        <f t="shared" si="17"/>
        <v>0</v>
      </c>
    </row>
    <row r="346" spans="2:8" x14ac:dyDescent="0.25">
      <c r="B346" s="69"/>
      <c r="C346" s="48"/>
      <c r="D346" t="b">
        <f t="shared" si="15"/>
        <v>1</v>
      </c>
      <c r="F346" t="str">
        <f t="shared" si="16"/>
        <v>000000-2024</v>
      </c>
      <c r="G346" s="13"/>
      <c r="H346" t="b">
        <f t="shared" si="17"/>
        <v>0</v>
      </c>
    </row>
    <row r="347" spans="2:8" x14ac:dyDescent="0.25">
      <c r="B347" s="69"/>
      <c r="C347" s="48"/>
      <c r="D347" t="b">
        <f t="shared" si="15"/>
        <v>1</v>
      </c>
      <c r="F347" t="str">
        <f t="shared" si="16"/>
        <v>000000-2024</v>
      </c>
      <c r="G347" s="13"/>
      <c r="H347" t="b">
        <f t="shared" si="17"/>
        <v>0</v>
      </c>
    </row>
    <row r="348" spans="2:8" ht="13.8" thickBot="1" x14ac:dyDescent="0.3">
      <c r="B348" s="72"/>
      <c r="C348" s="48"/>
      <c r="D348" t="b">
        <f t="shared" si="15"/>
        <v>1</v>
      </c>
      <c r="F348" t="str">
        <f t="shared" si="16"/>
        <v>000000-2024</v>
      </c>
      <c r="G348" s="43"/>
      <c r="H348" t="b">
        <f t="shared" si="17"/>
        <v>0</v>
      </c>
    </row>
    <row r="349" spans="2:8" x14ac:dyDescent="0.25">
      <c r="B349" s="75"/>
      <c r="C349" s="48"/>
      <c r="D349" t="b">
        <f t="shared" si="15"/>
        <v>1</v>
      </c>
      <c r="F349" t="str">
        <f t="shared" si="16"/>
        <v>000000-2024</v>
      </c>
      <c r="G349" s="42"/>
      <c r="H349" t="b">
        <f t="shared" si="17"/>
        <v>0</v>
      </c>
    </row>
    <row r="350" spans="2:8" x14ac:dyDescent="0.25">
      <c r="B350" s="69"/>
      <c r="C350" s="48"/>
      <c r="D350" t="b">
        <f t="shared" si="15"/>
        <v>1</v>
      </c>
      <c r="F350" t="str">
        <f t="shared" si="16"/>
        <v>000000-2024</v>
      </c>
      <c r="G350" s="13"/>
      <c r="H350" t="b">
        <f t="shared" si="17"/>
        <v>0</v>
      </c>
    </row>
    <row r="351" spans="2:8" x14ac:dyDescent="0.25">
      <c r="B351" s="69"/>
      <c r="C351" s="48"/>
      <c r="D351" t="b">
        <f t="shared" si="15"/>
        <v>1</v>
      </c>
      <c r="F351" t="str">
        <f t="shared" si="16"/>
        <v>000000-2024</v>
      </c>
      <c r="G351" s="13"/>
      <c r="H351" t="b">
        <f t="shared" si="17"/>
        <v>0</v>
      </c>
    </row>
    <row r="352" spans="2:8" x14ac:dyDescent="0.25">
      <c r="B352" s="69"/>
      <c r="C352" s="48"/>
      <c r="D352" t="b">
        <f t="shared" si="15"/>
        <v>1</v>
      </c>
      <c r="F352" t="str">
        <f t="shared" si="16"/>
        <v>000000-2024</v>
      </c>
      <c r="G352" s="13"/>
      <c r="H352" t="b">
        <f t="shared" si="17"/>
        <v>0</v>
      </c>
    </row>
    <row r="353" spans="2:8" x14ac:dyDescent="0.25">
      <c r="B353" s="69"/>
      <c r="C353" s="48"/>
      <c r="D353" t="b">
        <f t="shared" si="15"/>
        <v>1</v>
      </c>
      <c r="F353" t="str">
        <f t="shared" si="16"/>
        <v>000000-2024</v>
      </c>
      <c r="G353" s="13"/>
      <c r="H353" t="b">
        <f t="shared" si="17"/>
        <v>0</v>
      </c>
    </row>
    <row r="354" spans="2:8" x14ac:dyDescent="0.25">
      <c r="B354" s="69"/>
      <c r="C354" s="48"/>
      <c r="D354" t="b">
        <f t="shared" si="15"/>
        <v>1</v>
      </c>
      <c r="F354" t="str">
        <f t="shared" si="16"/>
        <v>000000-2024</v>
      </c>
      <c r="G354" s="13"/>
      <c r="H354" t="b">
        <f t="shared" si="17"/>
        <v>0</v>
      </c>
    </row>
    <row r="355" spans="2:8" x14ac:dyDescent="0.25">
      <c r="B355" s="69"/>
      <c r="C355" s="48"/>
      <c r="D355" t="b">
        <f t="shared" si="15"/>
        <v>1</v>
      </c>
      <c r="F355" t="str">
        <f t="shared" si="16"/>
        <v>000000-2024</v>
      </c>
      <c r="G355" s="13"/>
      <c r="H355" t="b">
        <f t="shared" si="17"/>
        <v>0</v>
      </c>
    </row>
    <row r="356" spans="2:8" x14ac:dyDescent="0.25">
      <c r="B356" s="69"/>
      <c r="C356" s="48"/>
      <c r="D356" t="b">
        <f t="shared" si="15"/>
        <v>1</v>
      </c>
      <c r="F356" t="str">
        <f t="shared" si="16"/>
        <v>000000-2024</v>
      </c>
      <c r="G356" s="13"/>
      <c r="H356" t="b">
        <f t="shared" si="17"/>
        <v>0</v>
      </c>
    </row>
    <row r="357" spans="2:8" x14ac:dyDescent="0.25">
      <c r="B357" s="69"/>
      <c r="C357" s="48"/>
      <c r="D357" t="b">
        <f t="shared" si="15"/>
        <v>1</v>
      </c>
      <c r="F357" t="str">
        <f t="shared" si="16"/>
        <v>000000-2024</v>
      </c>
      <c r="G357" s="13"/>
      <c r="H357" t="b">
        <f t="shared" si="17"/>
        <v>0</v>
      </c>
    </row>
    <row r="358" spans="2:8" x14ac:dyDescent="0.25">
      <c r="B358" s="69"/>
      <c r="C358" s="48"/>
      <c r="D358" t="b">
        <f t="shared" si="15"/>
        <v>1</v>
      </c>
      <c r="F358" t="str">
        <f t="shared" si="16"/>
        <v>000000-2024</v>
      </c>
      <c r="G358" s="13"/>
      <c r="H358" t="b">
        <f t="shared" si="17"/>
        <v>0</v>
      </c>
    </row>
    <row r="359" spans="2:8" x14ac:dyDescent="0.25">
      <c r="B359" s="69"/>
      <c r="C359" s="48"/>
      <c r="D359" t="b">
        <f t="shared" si="15"/>
        <v>1</v>
      </c>
      <c r="F359" t="str">
        <f t="shared" si="16"/>
        <v>000000-2024</v>
      </c>
      <c r="G359" s="13"/>
      <c r="H359" t="b">
        <f t="shared" si="17"/>
        <v>0</v>
      </c>
    </row>
    <row r="360" spans="2:8" x14ac:dyDescent="0.25">
      <c r="B360" s="69"/>
      <c r="C360" s="48"/>
      <c r="D360" t="b">
        <f t="shared" si="15"/>
        <v>1</v>
      </c>
      <c r="F360" t="str">
        <f t="shared" si="16"/>
        <v>000000-2024</v>
      </c>
      <c r="G360" s="13"/>
      <c r="H360" t="b">
        <f t="shared" si="17"/>
        <v>0</v>
      </c>
    </row>
    <row r="361" spans="2:8" x14ac:dyDescent="0.25">
      <c r="B361" s="69"/>
      <c r="C361" s="48"/>
      <c r="D361" t="b">
        <f t="shared" si="15"/>
        <v>1</v>
      </c>
      <c r="F361" t="str">
        <f t="shared" si="16"/>
        <v>000000-2024</v>
      </c>
      <c r="G361" s="13"/>
      <c r="H361" t="b">
        <f t="shared" si="17"/>
        <v>0</v>
      </c>
    </row>
    <row r="362" spans="2:8" x14ac:dyDescent="0.25">
      <c r="B362" s="69"/>
      <c r="C362" s="48"/>
      <c r="D362" t="b">
        <f t="shared" si="15"/>
        <v>1</v>
      </c>
      <c r="F362" t="str">
        <f t="shared" si="16"/>
        <v>000000-2024</v>
      </c>
      <c r="G362" s="13"/>
      <c r="H362" t="b">
        <f t="shared" si="17"/>
        <v>0</v>
      </c>
    </row>
    <row r="363" spans="2:8" ht="13.8" thickBot="1" x14ac:dyDescent="0.3">
      <c r="B363" s="72"/>
      <c r="C363" s="48"/>
      <c r="D363" t="b">
        <f t="shared" si="15"/>
        <v>1</v>
      </c>
      <c r="F363" t="str">
        <f t="shared" si="16"/>
        <v>000000-2024</v>
      </c>
      <c r="G363" s="43"/>
      <c r="H363" t="b">
        <f t="shared" si="17"/>
        <v>0</v>
      </c>
    </row>
    <row r="364" spans="2:8" x14ac:dyDescent="0.25">
      <c r="B364" s="74"/>
      <c r="C364" s="48"/>
      <c r="D364" t="b">
        <f t="shared" si="15"/>
        <v>1</v>
      </c>
      <c r="F364" t="str">
        <f t="shared" si="16"/>
        <v>000000-2024</v>
      </c>
      <c r="G364" s="13"/>
      <c r="H364" t="b">
        <f t="shared" si="17"/>
        <v>0</v>
      </c>
    </row>
    <row r="365" spans="2:8" x14ac:dyDescent="0.25">
      <c r="B365" s="69"/>
      <c r="C365" s="48"/>
      <c r="D365" t="b">
        <f t="shared" si="15"/>
        <v>1</v>
      </c>
      <c r="F365" t="str">
        <f t="shared" si="16"/>
        <v>000000-2024</v>
      </c>
      <c r="G365" s="13"/>
      <c r="H365" t="b">
        <f t="shared" si="17"/>
        <v>0</v>
      </c>
    </row>
    <row r="366" spans="2:8" x14ac:dyDescent="0.25">
      <c r="B366" s="69"/>
      <c r="C366" s="48"/>
      <c r="D366" t="b">
        <f t="shared" si="15"/>
        <v>1</v>
      </c>
      <c r="F366" t="str">
        <f t="shared" si="16"/>
        <v>000000-2024</v>
      </c>
      <c r="G366" s="13"/>
      <c r="H366" t="b">
        <f t="shared" si="17"/>
        <v>0</v>
      </c>
    </row>
    <row r="367" spans="2:8" x14ac:dyDescent="0.25">
      <c r="B367" s="69"/>
      <c r="C367" s="48"/>
      <c r="D367" t="b">
        <f t="shared" si="15"/>
        <v>1</v>
      </c>
      <c r="F367" t="str">
        <f t="shared" si="16"/>
        <v>000000-2024</v>
      </c>
      <c r="G367" s="45"/>
      <c r="H367" t="b">
        <f t="shared" si="17"/>
        <v>0</v>
      </c>
    </row>
    <row r="368" spans="2:8" x14ac:dyDescent="0.25">
      <c r="B368" s="69"/>
      <c r="C368" s="48"/>
      <c r="D368" t="b">
        <f t="shared" si="15"/>
        <v>1</v>
      </c>
      <c r="F368" t="str">
        <f t="shared" si="16"/>
        <v>000000-2024</v>
      </c>
      <c r="G368" s="13"/>
      <c r="H368" t="b">
        <f t="shared" si="17"/>
        <v>0</v>
      </c>
    </row>
    <row r="369" spans="2:8" x14ac:dyDescent="0.25">
      <c r="B369" s="69"/>
      <c r="C369" s="48"/>
      <c r="D369" t="b">
        <f t="shared" si="15"/>
        <v>1</v>
      </c>
      <c r="F369" t="str">
        <f t="shared" si="16"/>
        <v>000000-2024</v>
      </c>
      <c r="G369" s="46"/>
      <c r="H369" t="b">
        <f t="shared" si="17"/>
        <v>0</v>
      </c>
    </row>
    <row r="370" spans="2:8" x14ac:dyDescent="0.25">
      <c r="B370" s="69"/>
      <c r="C370" s="48"/>
      <c r="D370" t="b">
        <f t="shared" si="15"/>
        <v>1</v>
      </c>
      <c r="F370" t="str">
        <f t="shared" si="16"/>
        <v>000000-2024</v>
      </c>
      <c r="G370" s="13"/>
      <c r="H370" t="b">
        <f t="shared" si="17"/>
        <v>0</v>
      </c>
    </row>
    <row r="371" spans="2:8" ht="13.8" thickBot="1" x14ac:dyDescent="0.3">
      <c r="B371" s="72"/>
      <c r="C371" s="48"/>
      <c r="D371" t="b">
        <f t="shared" si="15"/>
        <v>1</v>
      </c>
      <c r="F371" t="str">
        <f t="shared" si="16"/>
        <v>000000-2024</v>
      </c>
      <c r="G371" s="43"/>
      <c r="H371" t="b">
        <f t="shared" si="17"/>
        <v>0</v>
      </c>
    </row>
    <row r="372" spans="2:8" x14ac:dyDescent="0.25">
      <c r="B372" s="75"/>
      <c r="C372" s="48"/>
      <c r="D372" t="b">
        <f t="shared" si="15"/>
        <v>1</v>
      </c>
      <c r="F372" t="str">
        <f t="shared" si="16"/>
        <v>000000-2024</v>
      </c>
      <c r="G372" s="42"/>
      <c r="H372" t="b">
        <f t="shared" si="17"/>
        <v>0</v>
      </c>
    </row>
    <row r="373" spans="2:8" x14ac:dyDescent="0.25">
      <c r="B373" s="69"/>
      <c r="C373" s="48"/>
      <c r="D373" t="b">
        <f t="shared" si="15"/>
        <v>1</v>
      </c>
      <c r="F373" t="str">
        <f t="shared" si="16"/>
        <v>000000-2024</v>
      </c>
      <c r="G373" s="13"/>
      <c r="H373" t="b">
        <f t="shared" si="17"/>
        <v>0</v>
      </c>
    </row>
    <row r="374" spans="2:8" x14ac:dyDescent="0.25">
      <c r="B374" s="69"/>
      <c r="C374" s="48"/>
      <c r="D374" t="b">
        <f t="shared" si="15"/>
        <v>1</v>
      </c>
      <c r="F374" t="str">
        <f t="shared" si="16"/>
        <v>000000-2024</v>
      </c>
      <c r="G374" s="13"/>
      <c r="H374" t="b">
        <f t="shared" si="17"/>
        <v>0</v>
      </c>
    </row>
    <row r="375" spans="2:8" x14ac:dyDescent="0.25">
      <c r="B375" s="69"/>
      <c r="C375" s="48"/>
      <c r="D375" t="b">
        <f t="shared" si="15"/>
        <v>1</v>
      </c>
      <c r="F375" t="str">
        <f t="shared" si="16"/>
        <v>000000-2024</v>
      </c>
      <c r="G375" s="13"/>
      <c r="H375" t="b">
        <f t="shared" si="17"/>
        <v>0</v>
      </c>
    </row>
    <row r="376" spans="2:8" x14ac:dyDescent="0.25">
      <c r="B376" s="69"/>
      <c r="C376" s="48"/>
      <c r="D376" t="b">
        <f t="shared" si="15"/>
        <v>1</v>
      </c>
      <c r="F376" t="str">
        <f t="shared" si="16"/>
        <v>000000-2024</v>
      </c>
      <c r="G376" s="13"/>
      <c r="H376" t="b">
        <f t="shared" si="17"/>
        <v>0</v>
      </c>
    </row>
    <row r="377" spans="2:8" x14ac:dyDescent="0.25">
      <c r="B377" s="69"/>
      <c r="C377" s="48"/>
      <c r="D377" t="b">
        <f t="shared" si="15"/>
        <v>1</v>
      </c>
      <c r="F377" t="str">
        <f t="shared" si="16"/>
        <v>000000-2024</v>
      </c>
      <c r="G377" s="13"/>
      <c r="H377" t="b">
        <f t="shared" si="17"/>
        <v>0</v>
      </c>
    </row>
    <row r="378" spans="2:8" x14ac:dyDescent="0.25">
      <c r="B378" s="69"/>
      <c r="C378" s="48"/>
      <c r="D378" t="b">
        <f t="shared" si="15"/>
        <v>1</v>
      </c>
      <c r="F378" t="str">
        <f t="shared" si="16"/>
        <v>000000-2024</v>
      </c>
      <c r="G378" s="13"/>
      <c r="H378" t="b">
        <f t="shared" si="17"/>
        <v>0</v>
      </c>
    </row>
    <row r="379" spans="2:8" x14ac:dyDescent="0.25">
      <c r="B379" s="69"/>
      <c r="C379" s="48"/>
      <c r="D379" t="b">
        <f t="shared" si="15"/>
        <v>1</v>
      </c>
      <c r="F379" t="str">
        <f t="shared" si="16"/>
        <v>000000-2024</v>
      </c>
      <c r="G379" s="13"/>
      <c r="H379" t="b">
        <f t="shared" si="17"/>
        <v>0</v>
      </c>
    </row>
    <row r="380" spans="2:8" x14ac:dyDescent="0.25">
      <c r="B380" s="69"/>
      <c r="C380" s="48"/>
      <c r="D380" t="b">
        <f t="shared" si="15"/>
        <v>1</v>
      </c>
      <c r="F380" t="str">
        <f t="shared" si="16"/>
        <v>000000-2024</v>
      </c>
      <c r="G380" s="13"/>
      <c r="H380" t="b">
        <f t="shared" si="17"/>
        <v>0</v>
      </c>
    </row>
    <row r="381" spans="2:8" x14ac:dyDescent="0.25">
      <c r="B381" s="69"/>
      <c r="C381" s="48"/>
      <c r="D381" t="b">
        <f t="shared" si="15"/>
        <v>1</v>
      </c>
      <c r="F381" t="str">
        <f t="shared" si="16"/>
        <v>000000-2024</v>
      </c>
      <c r="G381" s="13"/>
      <c r="H381" t="b">
        <f t="shared" si="17"/>
        <v>0</v>
      </c>
    </row>
    <row r="382" spans="2:8" x14ac:dyDescent="0.25">
      <c r="B382" s="69"/>
      <c r="C382" s="48"/>
      <c r="D382" t="b">
        <f t="shared" si="15"/>
        <v>1</v>
      </c>
      <c r="F382" t="str">
        <f t="shared" si="16"/>
        <v>000000-2024</v>
      </c>
      <c r="G382" s="13"/>
      <c r="H382" t="b">
        <f t="shared" si="17"/>
        <v>0</v>
      </c>
    </row>
    <row r="383" spans="2:8" x14ac:dyDescent="0.25">
      <c r="B383" s="69"/>
      <c r="C383" s="48"/>
      <c r="D383" t="b">
        <f t="shared" si="15"/>
        <v>1</v>
      </c>
      <c r="F383" t="str">
        <f t="shared" si="16"/>
        <v>000000-2024</v>
      </c>
      <c r="G383" s="13"/>
      <c r="H383" t="b">
        <f t="shared" si="17"/>
        <v>0</v>
      </c>
    </row>
    <row r="384" spans="2:8" x14ac:dyDescent="0.25">
      <c r="B384" s="69"/>
      <c r="C384" s="48"/>
      <c r="D384" t="b">
        <f t="shared" si="15"/>
        <v>1</v>
      </c>
      <c r="F384" t="str">
        <f t="shared" si="16"/>
        <v>000000-2024</v>
      </c>
      <c r="G384" s="13"/>
      <c r="H384" t="b">
        <f t="shared" si="17"/>
        <v>0</v>
      </c>
    </row>
    <row r="385" spans="2:8" x14ac:dyDescent="0.25">
      <c r="B385" s="69"/>
      <c r="C385" s="48"/>
      <c r="D385" t="b">
        <f t="shared" si="15"/>
        <v>1</v>
      </c>
      <c r="F385" t="str">
        <f t="shared" si="16"/>
        <v>000000-2024</v>
      </c>
      <c r="G385" s="13"/>
      <c r="H385" t="b">
        <f t="shared" si="17"/>
        <v>0</v>
      </c>
    </row>
    <row r="386" spans="2:8" x14ac:dyDescent="0.25">
      <c r="B386" s="69"/>
      <c r="C386" s="48"/>
      <c r="D386" t="b">
        <f t="shared" si="15"/>
        <v>1</v>
      </c>
      <c r="F386" t="str">
        <f t="shared" si="16"/>
        <v>000000-2024</v>
      </c>
      <c r="G386" s="13"/>
      <c r="H386" t="b">
        <f t="shared" si="17"/>
        <v>0</v>
      </c>
    </row>
    <row r="387" spans="2:8" ht="13.8" thickBot="1" x14ac:dyDescent="0.3">
      <c r="B387" s="72"/>
      <c r="C387" s="48"/>
      <c r="D387" t="b">
        <f t="shared" si="15"/>
        <v>1</v>
      </c>
      <c r="F387" t="str">
        <f t="shared" si="16"/>
        <v>000000-2024</v>
      </c>
      <c r="G387" s="43"/>
      <c r="H387" t="b">
        <f t="shared" si="17"/>
        <v>0</v>
      </c>
    </row>
    <row r="388" spans="2:8" x14ac:dyDescent="0.25">
      <c r="B388" s="75"/>
      <c r="C388" s="48"/>
      <c r="D388" t="b">
        <f t="shared" si="15"/>
        <v>1</v>
      </c>
      <c r="F388" t="str">
        <f t="shared" si="16"/>
        <v>000000-2024</v>
      </c>
      <c r="G388" s="42"/>
      <c r="H388" t="b">
        <f t="shared" si="17"/>
        <v>0</v>
      </c>
    </row>
    <row r="389" spans="2:8" x14ac:dyDescent="0.25">
      <c r="B389" s="69"/>
      <c r="C389" s="48"/>
      <c r="D389" t="b">
        <f t="shared" ref="D389:D452" si="18">B389=C389</f>
        <v>1</v>
      </c>
      <c r="F389" t="str">
        <f t="shared" ref="F389:F452" si="19">TEXT(E389,"000000")&amp;"-2024"</f>
        <v>000000-2024</v>
      </c>
      <c r="G389" s="13"/>
      <c r="H389" t="b">
        <f t="shared" ref="H389:H452" si="20">F389=G389</f>
        <v>0</v>
      </c>
    </row>
    <row r="390" spans="2:8" x14ac:dyDescent="0.25">
      <c r="B390" s="69"/>
      <c r="C390" s="48"/>
      <c r="D390" t="b">
        <f t="shared" si="18"/>
        <v>1</v>
      </c>
      <c r="F390" t="str">
        <f t="shared" si="19"/>
        <v>000000-2024</v>
      </c>
      <c r="G390" s="13"/>
      <c r="H390" t="b">
        <f t="shared" si="20"/>
        <v>0</v>
      </c>
    </row>
    <row r="391" spans="2:8" x14ac:dyDescent="0.25">
      <c r="B391" s="69"/>
      <c r="C391" s="48"/>
      <c r="D391" t="b">
        <f t="shared" si="18"/>
        <v>1</v>
      </c>
      <c r="F391" t="str">
        <f t="shared" si="19"/>
        <v>000000-2024</v>
      </c>
      <c r="G391" s="13"/>
      <c r="H391" t="b">
        <f t="shared" si="20"/>
        <v>0</v>
      </c>
    </row>
    <row r="392" spans="2:8" x14ac:dyDescent="0.25">
      <c r="B392" s="69"/>
      <c r="C392" s="48"/>
      <c r="D392" t="b">
        <f t="shared" si="18"/>
        <v>1</v>
      </c>
      <c r="F392" t="str">
        <f t="shared" si="19"/>
        <v>000000-2024</v>
      </c>
      <c r="G392" s="13"/>
      <c r="H392" t="b">
        <f t="shared" si="20"/>
        <v>0</v>
      </c>
    </row>
    <row r="393" spans="2:8" x14ac:dyDescent="0.25">
      <c r="B393" s="69"/>
      <c r="C393" s="48"/>
      <c r="D393" t="b">
        <f t="shared" si="18"/>
        <v>1</v>
      </c>
      <c r="F393" t="str">
        <f t="shared" si="19"/>
        <v>000000-2024</v>
      </c>
      <c r="G393" s="13"/>
      <c r="H393" t="b">
        <f t="shared" si="20"/>
        <v>0</v>
      </c>
    </row>
    <row r="394" spans="2:8" x14ac:dyDescent="0.25">
      <c r="B394" s="69"/>
      <c r="C394" s="48"/>
      <c r="D394" t="b">
        <f t="shared" si="18"/>
        <v>1</v>
      </c>
      <c r="F394" t="str">
        <f t="shared" si="19"/>
        <v>000000-2024</v>
      </c>
      <c r="G394" s="13"/>
      <c r="H394" t="b">
        <f t="shared" si="20"/>
        <v>0</v>
      </c>
    </row>
    <row r="395" spans="2:8" x14ac:dyDescent="0.25">
      <c r="B395" s="69"/>
      <c r="C395" s="48"/>
      <c r="D395" t="b">
        <f t="shared" si="18"/>
        <v>1</v>
      </c>
      <c r="F395" t="str">
        <f t="shared" si="19"/>
        <v>000000-2024</v>
      </c>
      <c r="G395" s="13"/>
      <c r="H395" t="b">
        <f t="shared" si="20"/>
        <v>0</v>
      </c>
    </row>
    <row r="396" spans="2:8" x14ac:dyDescent="0.25">
      <c r="B396" s="69"/>
      <c r="C396" s="48"/>
      <c r="D396" t="b">
        <f t="shared" si="18"/>
        <v>1</v>
      </c>
      <c r="F396" t="str">
        <f t="shared" si="19"/>
        <v>000000-2024</v>
      </c>
      <c r="G396" s="13"/>
      <c r="H396" t="b">
        <f t="shared" si="20"/>
        <v>0</v>
      </c>
    </row>
    <row r="397" spans="2:8" x14ac:dyDescent="0.25">
      <c r="B397" s="69"/>
      <c r="C397" s="48"/>
      <c r="D397" t="b">
        <f t="shared" si="18"/>
        <v>1</v>
      </c>
      <c r="F397" t="str">
        <f t="shared" si="19"/>
        <v>000000-2024</v>
      </c>
      <c r="G397" s="13"/>
      <c r="H397" t="b">
        <f t="shared" si="20"/>
        <v>0</v>
      </c>
    </row>
    <row r="398" spans="2:8" x14ac:dyDescent="0.25">
      <c r="B398" s="69"/>
      <c r="C398" s="48"/>
      <c r="D398" t="b">
        <f t="shared" si="18"/>
        <v>1</v>
      </c>
      <c r="F398" t="str">
        <f t="shared" si="19"/>
        <v>000000-2024</v>
      </c>
      <c r="G398" s="13"/>
      <c r="H398" t="b">
        <f t="shared" si="20"/>
        <v>0</v>
      </c>
    </row>
    <row r="399" spans="2:8" x14ac:dyDescent="0.25">
      <c r="B399" s="69"/>
      <c r="C399" s="48"/>
      <c r="D399" t="b">
        <f t="shared" si="18"/>
        <v>1</v>
      </c>
      <c r="F399" t="str">
        <f t="shared" si="19"/>
        <v>000000-2024</v>
      </c>
      <c r="G399" s="13"/>
      <c r="H399" t="b">
        <f t="shared" si="20"/>
        <v>0</v>
      </c>
    </row>
    <row r="400" spans="2:8" x14ac:dyDescent="0.25">
      <c r="B400" s="69"/>
      <c r="C400" s="48"/>
      <c r="D400" t="b">
        <f t="shared" si="18"/>
        <v>1</v>
      </c>
      <c r="F400" t="str">
        <f t="shared" si="19"/>
        <v>000000-2024</v>
      </c>
      <c r="G400" s="13"/>
      <c r="H400" t="b">
        <f t="shared" si="20"/>
        <v>0</v>
      </c>
    </row>
    <row r="401" spans="2:8" x14ac:dyDescent="0.25">
      <c r="B401" s="69"/>
      <c r="C401" s="48"/>
      <c r="D401" t="b">
        <f t="shared" si="18"/>
        <v>1</v>
      </c>
      <c r="F401" t="str">
        <f t="shared" si="19"/>
        <v>000000-2024</v>
      </c>
      <c r="G401" s="13"/>
      <c r="H401" t="b">
        <f t="shared" si="20"/>
        <v>0</v>
      </c>
    </row>
    <row r="402" spans="2:8" x14ac:dyDescent="0.25">
      <c r="B402" s="69"/>
      <c r="C402" s="48"/>
      <c r="D402" t="b">
        <f t="shared" si="18"/>
        <v>1</v>
      </c>
      <c r="F402" t="str">
        <f t="shared" si="19"/>
        <v>000000-2024</v>
      </c>
      <c r="G402" s="13"/>
      <c r="H402" t="b">
        <f t="shared" si="20"/>
        <v>0</v>
      </c>
    </row>
    <row r="403" spans="2:8" ht="13.8" thickBot="1" x14ac:dyDescent="0.3">
      <c r="B403" s="72"/>
      <c r="C403" s="48"/>
      <c r="D403" t="b">
        <f t="shared" si="18"/>
        <v>1</v>
      </c>
      <c r="F403" t="str">
        <f t="shared" si="19"/>
        <v>000000-2024</v>
      </c>
      <c r="G403" s="43"/>
      <c r="H403" t="b">
        <f t="shared" si="20"/>
        <v>0</v>
      </c>
    </row>
    <row r="404" spans="2:8" x14ac:dyDescent="0.25">
      <c r="B404" s="75"/>
      <c r="C404" s="48"/>
      <c r="D404" t="b">
        <f t="shared" si="18"/>
        <v>1</v>
      </c>
      <c r="F404" t="str">
        <f t="shared" si="19"/>
        <v>000000-2024</v>
      </c>
      <c r="G404" s="42"/>
      <c r="H404" t="b">
        <f t="shared" si="20"/>
        <v>0</v>
      </c>
    </row>
    <row r="405" spans="2:8" x14ac:dyDescent="0.25">
      <c r="B405" s="69"/>
      <c r="C405" s="48"/>
      <c r="D405" t="b">
        <f t="shared" si="18"/>
        <v>1</v>
      </c>
      <c r="F405" t="str">
        <f t="shared" si="19"/>
        <v>000000-2024</v>
      </c>
      <c r="G405" s="13"/>
      <c r="H405" t="b">
        <f t="shared" si="20"/>
        <v>0</v>
      </c>
    </row>
    <row r="406" spans="2:8" x14ac:dyDescent="0.25">
      <c r="B406" s="69"/>
      <c r="C406" s="48"/>
      <c r="D406" t="b">
        <f t="shared" si="18"/>
        <v>1</v>
      </c>
      <c r="F406" t="str">
        <f t="shared" si="19"/>
        <v>000000-2024</v>
      </c>
      <c r="G406" s="13"/>
      <c r="H406" t="b">
        <f t="shared" si="20"/>
        <v>0</v>
      </c>
    </row>
    <row r="407" spans="2:8" x14ac:dyDescent="0.25">
      <c r="B407" s="69"/>
      <c r="C407" s="48"/>
      <c r="D407" t="b">
        <f t="shared" si="18"/>
        <v>1</v>
      </c>
      <c r="F407" t="str">
        <f t="shared" si="19"/>
        <v>000000-2024</v>
      </c>
      <c r="G407" s="13"/>
      <c r="H407" t="b">
        <f t="shared" si="20"/>
        <v>0</v>
      </c>
    </row>
    <row r="408" spans="2:8" x14ac:dyDescent="0.25">
      <c r="B408" s="69"/>
      <c r="C408" s="48"/>
      <c r="D408" t="b">
        <f t="shared" si="18"/>
        <v>1</v>
      </c>
      <c r="F408" t="str">
        <f t="shared" si="19"/>
        <v>000000-2024</v>
      </c>
      <c r="G408" s="13"/>
      <c r="H408" t="b">
        <f t="shared" si="20"/>
        <v>0</v>
      </c>
    </row>
    <row r="409" spans="2:8" x14ac:dyDescent="0.25">
      <c r="B409" s="69"/>
      <c r="C409" s="48"/>
      <c r="D409" t="b">
        <f t="shared" si="18"/>
        <v>1</v>
      </c>
      <c r="F409" t="str">
        <f t="shared" si="19"/>
        <v>000000-2024</v>
      </c>
      <c r="G409" s="13"/>
      <c r="H409" t="b">
        <f t="shared" si="20"/>
        <v>0</v>
      </c>
    </row>
    <row r="410" spans="2:8" x14ac:dyDescent="0.25">
      <c r="B410" s="69"/>
      <c r="C410" s="48"/>
      <c r="D410" t="b">
        <f t="shared" si="18"/>
        <v>1</v>
      </c>
      <c r="F410" t="str">
        <f t="shared" si="19"/>
        <v>000000-2024</v>
      </c>
      <c r="G410" s="13"/>
      <c r="H410" t="b">
        <f t="shared" si="20"/>
        <v>0</v>
      </c>
    </row>
    <row r="411" spans="2:8" x14ac:dyDescent="0.25">
      <c r="B411" s="69"/>
      <c r="C411" s="48"/>
      <c r="D411" t="b">
        <f t="shared" si="18"/>
        <v>1</v>
      </c>
      <c r="F411" t="str">
        <f t="shared" si="19"/>
        <v>000000-2024</v>
      </c>
      <c r="G411" s="13"/>
      <c r="H411" t="b">
        <f t="shared" si="20"/>
        <v>0</v>
      </c>
    </row>
    <row r="412" spans="2:8" x14ac:dyDescent="0.25">
      <c r="B412" s="69"/>
      <c r="C412" s="48"/>
      <c r="D412" t="b">
        <f t="shared" si="18"/>
        <v>1</v>
      </c>
      <c r="F412" t="str">
        <f t="shared" si="19"/>
        <v>000000-2024</v>
      </c>
      <c r="G412" s="13"/>
      <c r="H412" t="b">
        <f t="shared" si="20"/>
        <v>0</v>
      </c>
    </row>
    <row r="413" spans="2:8" x14ac:dyDescent="0.25">
      <c r="B413" s="69"/>
      <c r="C413" s="48"/>
      <c r="D413" t="b">
        <f t="shared" si="18"/>
        <v>1</v>
      </c>
      <c r="F413" t="str">
        <f t="shared" si="19"/>
        <v>000000-2024</v>
      </c>
      <c r="G413" s="13"/>
      <c r="H413" t="b">
        <f t="shared" si="20"/>
        <v>0</v>
      </c>
    </row>
    <row r="414" spans="2:8" x14ac:dyDescent="0.25">
      <c r="B414" s="69"/>
      <c r="C414" s="48"/>
      <c r="D414" t="b">
        <f t="shared" si="18"/>
        <v>1</v>
      </c>
      <c r="F414" t="str">
        <f t="shared" si="19"/>
        <v>000000-2024</v>
      </c>
      <c r="G414" s="13"/>
      <c r="H414" t="b">
        <f t="shared" si="20"/>
        <v>0</v>
      </c>
    </row>
    <row r="415" spans="2:8" x14ac:dyDescent="0.25">
      <c r="B415" s="69"/>
      <c r="C415" s="48"/>
      <c r="D415" t="b">
        <f t="shared" si="18"/>
        <v>1</v>
      </c>
      <c r="F415" t="str">
        <f t="shared" si="19"/>
        <v>000000-2024</v>
      </c>
      <c r="G415" s="13"/>
      <c r="H415" t="b">
        <f t="shared" si="20"/>
        <v>0</v>
      </c>
    </row>
    <row r="416" spans="2:8" x14ac:dyDescent="0.25">
      <c r="B416" s="69"/>
      <c r="C416" s="48"/>
      <c r="D416" t="b">
        <f t="shared" si="18"/>
        <v>1</v>
      </c>
      <c r="F416" t="str">
        <f t="shared" si="19"/>
        <v>000000-2024</v>
      </c>
      <c r="G416" s="13"/>
      <c r="H416" t="b">
        <f t="shared" si="20"/>
        <v>0</v>
      </c>
    </row>
    <row r="417" spans="2:8" x14ac:dyDescent="0.25">
      <c r="B417" s="69"/>
      <c r="C417" s="48"/>
      <c r="D417" t="b">
        <f t="shared" si="18"/>
        <v>1</v>
      </c>
      <c r="F417" t="str">
        <f t="shared" si="19"/>
        <v>000000-2024</v>
      </c>
      <c r="G417" s="13"/>
      <c r="H417" t="b">
        <f t="shared" si="20"/>
        <v>0</v>
      </c>
    </row>
    <row r="418" spans="2:8" x14ac:dyDescent="0.25">
      <c r="B418" s="69"/>
      <c r="C418" s="48"/>
      <c r="D418" t="b">
        <f t="shared" si="18"/>
        <v>1</v>
      </c>
      <c r="F418" t="str">
        <f t="shared" si="19"/>
        <v>000000-2024</v>
      </c>
      <c r="G418" s="13"/>
      <c r="H418" t="b">
        <f t="shared" si="20"/>
        <v>0</v>
      </c>
    </row>
    <row r="419" spans="2:8" ht="13.8" thickBot="1" x14ac:dyDescent="0.3">
      <c r="B419" s="72"/>
      <c r="C419" s="48"/>
      <c r="D419" t="b">
        <f t="shared" si="18"/>
        <v>1</v>
      </c>
      <c r="F419" t="str">
        <f t="shared" si="19"/>
        <v>000000-2024</v>
      </c>
      <c r="G419" s="43"/>
      <c r="H419" t="b">
        <f t="shared" si="20"/>
        <v>0</v>
      </c>
    </row>
    <row r="420" spans="2:8" x14ac:dyDescent="0.25">
      <c r="B420" s="75"/>
      <c r="C420" s="48"/>
      <c r="D420" t="b">
        <f t="shared" si="18"/>
        <v>1</v>
      </c>
      <c r="F420" t="str">
        <f t="shared" si="19"/>
        <v>000000-2024</v>
      </c>
      <c r="G420" s="42"/>
      <c r="H420" t="b">
        <f t="shared" si="20"/>
        <v>0</v>
      </c>
    </row>
    <row r="421" spans="2:8" x14ac:dyDescent="0.25">
      <c r="B421" s="69"/>
      <c r="C421" s="48"/>
      <c r="D421" t="b">
        <f t="shared" si="18"/>
        <v>1</v>
      </c>
      <c r="F421" t="str">
        <f t="shared" si="19"/>
        <v>000000-2024</v>
      </c>
      <c r="G421" s="13"/>
      <c r="H421" t="b">
        <f t="shared" si="20"/>
        <v>0</v>
      </c>
    </row>
    <row r="422" spans="2:8" x14ac:dyDescent="0.25">
      <c r="B422" s="69"/>
      <c r="C422" s="48"/>
      <c r="D422" t="b">
        <f t="shared" si="18"/>
        <v>1</v>
      </c>
      <c r="F422" t="str">
        <f t="shared" si="19"/>
        <v>000000-2024</v>
      </c>
      <c r="G422" s="13"/>
      <c r="H422" t="b">
        <f t="shared" si="20"/>
        <v>0</v>
      </c>
    </row>
    <row r="423" spans="2:8" x14ac:dyDescent="0.25">
      <c r="B423" s="69"/>
      <c r="C423" s="48"/>
      <c r="D423" t="b">
        <f t="shared" si="18"/>
        <v>1</v>
      </c>
      <c r="F423" t="str">
        <f t="shared" si="19"/>
        <v>000000-2024</v>
      </c>
      <c r="G423" s="13"/>
      <c r="H423" t="b">
        <f t="shared" si="20"/>
        <v>0</v>
      </c>
    </row>
    <row r="424" spans="2:8" x14ac:dyDescent="0.25">
      <c r="B424" s="74"/>
      <c r="C424" s="48"/>
      <c r="D424" t="b">
        <f t="shared" si="18"/>
        <v>1</v>
      </c>
      <c r="F424" t="str">
        <f t="shared" si="19"/>
        <v>000000-2024</v>
      </c>
      <c r="G424" s="13"/>
      <c r="H424" t="b">
        <f t="shared" si="20"/>
        <v>0</v>
      </c>
    </row>
    <row r="425" spans="2:8" x14ac:dyDescent="0.25">
      <c r="B425" s="69"/>
      <c r="C425" s="48"/>
      <c r="D425" t="b">
        <f t="shared" si="18"/>
        <v>1</v>
      </c>
      <c r="F425" t="str">
        <f t="shared" si="19"/>
        <v>000000-2024</v>
      </c>
      <c r="G425" s="13"/>
      <c r="H425" t="b">
        <f t="shared" si="20"/>
        <v>0</v>
      </c>
    </row>
    <row r="426" spans="2:8" x14ac:dyDescent="0.25">
      <c r="B426" s="69"/>
      <c r="C426" s="48"/>
      <c r="D426" t="b">
        <f t="shared" si="18"/>
        <v>1</v>
      </c>
      <c r="F426" t="str">
        <f t="shared" si="19"/>
        <v>000000-2024</v>
      </c>
      <c r="G426" s="13"/>
      <c r="H426" t="b">
        <f t="shared" si="20"/>
        <v>0</v>
      </c>
    </row>
    <row r="427" spans="2:8" x14ac:dyDescent="0.25">
      <c r="B427" s="69"/>
      <c r="C427" s="48"/>
      <c r="D427" t="b">
        <f t="shared" si="18"/>
        <v>1</v>
      </c>
      <c r="F427" t="str">
        <f t="shared" si="19"/>
        <v>000000-2024</v>
      </c>
      <c r="G427" s="13"/>
      <c r="H427" t="b">
        <f t="shared" si="20"/>
        <v>0</v>
      </c>
    </row>
    <row r="428" spans="2:8" x14ac:dyDescent="0.25">
      <c r="B428" s="69"/>
      <c r="C428" s="48"/>
      <c r="D428" t="b">
        <f t="shared" si="18"/>
        <v>1</v>
      </c>
      <c r="F428" t="str">
        <f t="shared" si="19"/>
        <v>000000-2024</v>
      </c>
      <c r="G428" s="13"/>
      <c r="H428" t="b">
        <f t="shared" si="20"/>
        <v>0</v>
      </c>
    </row>
    <row r="429" spans="2:8" x14ac:dyDescent="0.25">
      <c r="B429" s="69"/>
      <c r="C429" s="48"/>
      <c r="D429" t="b">
        <f t="shared" si="18"/>
        <v>1</v>
      </c>
      <c r="F429" t="str">
        <f t="shared" si="19"/>
        <v>000000-2024</v>
      </c>
      <c r="G429" s="13"/>
      <c r="H429" t="b">
        <f t="shared" si="20"/>
        <v>0</v>
      </c>
    </row>
    <row r="430" spans="2:8" x14ac:dyDescent="0.25">
      <c r="B430" s="69"/>
      <c r="C430" s="48"/>
      <c r="D430" t="b">
        <f t="shared" si="18"/>
        <v>1</v>
      </c>
      <c r="F430" t="str">
        <f t="shared" si="19"/>
        <v>000000-2024</v>
      </c>
      <c r="G430" s="13"/>
      <c r="H430" t="b">
        <f t="shared" si="20"/>
        <v>0</v>
      </c>
    </row>
    <row r="431" spans="2:8" x14ac:dyDescent="0.25">
      <c r="B431" s="69"/>
      <c r="C431" s="48"/>
      <c r="D431" t="b">
        <f t="shared" si="18"/>
        <v>1</v>
      </c>
      <c r="F431" t="str">
        <f t="shared" si="19"/>
        <v>000000-2024</v>
      </c>
      <c r="G431" s="13"/>
      <c r="H431" t="b">
        <f t="shared" si="20"/>
        <v>0</v>
      </c>
    </row>
    <row r="432" spans="2:8" x14ac:dyDescent="0.25">
      <c r="B432" s="69"/>
      <c r="C432" s="48"/>
      <c r="D432" t="b">
        <f t="shared" si="18"/>
        <v>1</v>
      </c>
      <c r="F432" t="str">
        <f t="shared" si="19"/>
        <v>000000-2024</v>
      </c>
      <c r="G432" s="13"/>
      <c r="H432" t="b">
        <f t="shared" si="20"/>
        <v>0</v>
      </c>
    </row>
    <row r="433" spans="2:8" x14ac:dyDescent="0.25">
      <c r="B433" s="69"/>
      <c r="C433" s="48"/>
      <c r="D433" t="b">
        <f t="shared" si="18"/>
        <v>1</v>
      </c>
      <c r="F433" t="str">
        <f t="shared" si="19"/>
        <v>000000-2024</v>
      </c>
      <c r="G433" s="13"/>
      <c r="H433" t="b">
        <f t="shared" si="20"/>
        <v>0</v>
      </c>
    </row>
    <row r="434" spans="2:8" x14ac:dyDescent="0.25">
      <c r="B434" s="69"/>
      <c r="C434" s="48"/>
      <c r="D434" t="b">
        <f t="shared" si="18"/>
        <v>1</v>
      </c>
      <c r="F434" t="str">
        <f t="shared" si="19"/>
        <v>000000-2024</v>
      </c>
      <c r="G434" s="13"/>
      <c r="H434" t="b">
        <f t="shared" si="20"/>
        <v>0</v>
      </c>
    </row>
    <row r="435" spans="2:8" ht="13.8" thickBot="1" x14ac:dyDescent="0.3">
      <c r="B435" s="47"/>
      <c r="C435" s="48"/>
      <c r="D435" t="b">
        <f t="shared" si="18"/>
        <v>1</v>
      </c>
      <c r="F435" t="str">
        <f t="shared" si="19"/>
        <v>000000-2024</v>
      </c>
      <c r="G435" s="43"/>
      <c r="H435" t="b">
        <f t="shared" si="20"/>
        <v>0</v>
      </c>
    </row>
    <row r="436" spans="2:8" x14ac:dyDescent="0.25">
      <c r="B436" s="75"/>
      <c r="C436" s="48"/>
      <c r="D436" t="b">
        <f t="shared" si="18"/>
        <v>1</v>
      </c>
      <c r="F436" t="str">
        <f t="shared" si="19"/>
        <v>000000-2024</v>
      </c>
      <c r="G436" s="42"/>
      <c r="H436" t="b">
        <f t="shared" si="20"/>
        <v>0</v>
      </c>
    </row>
    <row r="437" spans="2:8" x14ac:dyDescent="0.25">
      <c r="B437" s="69"/>
      <c r="C437" s="48"/>
      <c r="D437" t="b">
        <f t="shared" si="18"/>
        <v>1</v>
      </c>
      <c r="F437" t="str">
        <f t="shared" si="19"/>
        <v>000000-2024</v>
      </c>
      <c r="G437" s="13"/>
      <c r="H437" t="b">
        <f t="shared" si="20"/>
        <v>0</v>
      </c>
    </row>
    <row r="438" spans="2:8" x14ac:dyDescent="0.25">
      <c r="B438" s="69"/>
      <c r="C438" s="48"/>
      <c r="D438" t="b">
        <f t="shared" si="18"/>
        <v>1</v>
      </c>
      <c r="F438" t="str">
        <f t="shared" si="19"/>
        <v>000000-2024</v>
      </c>
      <c r="G438" s="13"/>
      <c r="H438" t="b">
        <f t="shared" si="20"/>
        <v>0</v>
      </c>
    </row>
    <row r="439" spans="2:8" x14ac:dyDescent="0.25">
      <c r="B439" s="69"/>
      <c r="C439" s="48"/>
      <c r="D439" t="b">
        <f t="shared" si="18"/>
        <v>1</v>
      </c>
      <c r="F439" t="str">
        <f t="shared" si="19"/>
        <v>000000-2024</v>
      </c>
      <c r="G439" s="13"/>
      <c r="H439" t="b">
        <f t="shared" si="20"/>
        <v>0</v>
      </c>
    </row>
    <row r="440" spans="2:8" x14ac:dyDescent="0.25">
      <c r="B440" s="69"/>
      <c r="C440" s="48"/>
      <c r="D440" t="b">
        <f t="shared" si="18"/>
        <v>1</v>
      </c>
      <c r="F440" t="str">
        <f t="shared" si="19"/>
        <v>000000-2024</v>
      </c>
      <c r="G440" s="13"/>
      <c r="H440" t="b">
        <f t="shared" si="20"/>
        <v>0</v>
      </c>
    </row>
    <row r="441" spans="2:8" x14ac:dyDescent="0.25">
      <c r="B441" s="69"/>
      <c r="C441" s="48"/>
      <c r="D441" t="b">
        <f t="shared" si="18"/>
        <v>1</v>
      </c>
      <c r="F441" t="str">
        <f t="shared" si="19"/>
        <v>000000-2024</v>
      </c>
      <c r="G441" s="13"/>
      <c r="H441" t="b">
        <f t="shared" si="20"/>
        <v>0</v>
      </c>
    </row>
    <row r="442" spans="2:8" x14ac:dyDescent="0.25">
      <c r="B442" s="69"/>
      <c r="C442" s="48"/>
      <c r="D442" t="b">
        <f t="shared" si="18"/>
        <v>1</v>
      </c>
      <c r="F442" t="str">
        <f t="shared" si="19"/>
        <v>000000-2024</v>
      </c>
      <c r="G442" s="13"/>
      <c r="H442" t="b">
        <f t="shared" si="20"/>
        <v>0</v>
      </c>
    </row>
    <row r="443" spans="2:8" x14ac:dyDescent="0.25">
      <c r="B443" s="69"/>
      <c r="C443" s="48"/>
      <c r="D443" t="b">
        <f t="shared" si="18"/>
        <v>1</v>
      </c>
      <c r="F443" t="str">
        <f t="shared" si="19"/>
        <v>000000-2024</v>
      </c>
      <c r="G443" s="13"/>
      <c r="H443" t="b">
        <f t="shared" si="20"/>
        <v>0</v>
      </c>
    </row>
    <row r="444" spans="2:8" x14ac:dyDescent="0.25">
      <c r="B444" s="69"/>
      <c r="C444" s="48"/>
      <c r="D444" t="b">
        <f t="shared" si="18"/>
        <v>1</v>
      </c>
      <c r="F444" t="str">
        <f t="shared" si="19"/>
        <v>000000-2024</v>
      </c>
      <c r="G444" s="13"/>
      <c r="H444" t="b">
        <f t="shared" si="20"/>
        <v>0</v>
      </c>
    </row>
    <row r="445" spans="2:8" x14ac:dyDescent="0.25">
      <c r="B445" s="69"/>
      <c r="C445" s="48"/>
      <c r="D445" t="b">
        <f t="shared" si="18"/>
        <v>1</v>
      </c>
      <c r="F445" t="str">
        <f t="shared" si="19"/>
        <v>000000-2024</v>
      </c>
      <c r="G445" s="13"/>
      <c r="H445" t="b">
        <f t="shared" si="20"/>
        <v>0</v>
      </c>
    </row>
    <row r="446" spans="2:8" x14ac:dyDescent="0.25">
      <c r="B446" s="69"/>
      <c r="C446" s="48"/>
      <c r="D446" t="b">
        <f t="shared" si="18"/>
        <v>1</v>
      </c>
      <c r="F446" t="str">
        <f t="shared" si="19"/>
        <v>000000-2024</v>
      </c>
      <c r="G446" s="13"/>
      <c r="H446" t="b">
        <f t="shared" si="20"/>
        <v>0</v>
      </c>
    </row>
    <row r="447" spans="2:8" x14ac:dyDescent="0.25">
      <c r="B447" s="69"/>
      <c r="C447" s="48"/>
      <c r="D447" t="b">
        <f t="shared" si="18"/>
        <v>1</v>
      </c>
      <c r="F447" t="str">
        <f t="shared" si="19"/>
        <v>000000-2024</v>
      </c>
      <c r="G447" s="13"/>
      <c r="H447" t="b">
        <f t="shared" si="20"/>
        <v>0</v>
      </c>
    </row>
    <row r="448" spans="2:8" x14ac:dyDescent="0.25">
      <c r="B448" s="69"/>
      <c r="C448" s="48"/>
      <c r="D448" t="b">
        <f t="shared" si="18"/>
        <v>1</v>
      </c>
      <c r="F448" t="str">
        <f t="shared" si="19"/>
        <v>000000-2024</v>
      </c>
      <c r="G448" s="13"/>
      <c r="H448" t="b">
        <f t="shared" si="20"/>
        <v>0</v>
      </c>
    </row>
    <row r="449" spans="2:8" x14ac:dyDescent="0.25">
      <c r="B449" s="69"/>
      <c r="C449" s="48"/>
      <c r="D449" t="b">
        <f t="shared" si="18"/>
        <v>1</v>
      </c>
      <c r="F449" t="str">
        <f t="shared" si="19"/>
        <v>000000-2024</v>
      </c>
      <c r="G449" s="13"/>
      <c r="H449" t="b">
        <f t="shared" si="20"/>
        <v>0</v>
      </c>
    </row>
    <row r="450" spans="2:8" x14ac:dyDescent="0.25">
      <c r="B450" s="69"/>
      <c r="C450" s="48"/>
      <c r="D450" t="b">
        <f t="shared" si="18"/>
        <v>1</v>
      </c>
      <c r="F450" t="str">
        <f t="shared" si="19"/>
        <v>000000-2024</v>
      </c>
      <c r="G450" s="13"/>
      <c r="H450" t="b">
        <f t="shared" si="20"/>
        <v>0</v>
      </c>
    </row>
    <row r="451" spans="2:8" ht="13.8" thickBot="1" x14ac:dyDescent="0.3">
      <c r="B451" s="72"/>
      <c r="C451" s="48"/>
      <c r="D451" t="b">
        <f t="shared" si="18"/>
        <v>1</v>
      </c>
      <c r="F451" t="str">
        <f t="shared" si="19"/>
        <v>000000-2024</v>
      </c>
      <c r="G451" s="43"/>
      <c r="H451" t="b">
        <f t="shared" si="20"/>
        <v>0</v>
      </c>
    </row>
    <row r="452" spans="2:8" x14ac:dyDescent="0.25">
      <c r="B452" s="75"/>
      <c r="C452" s="48"/>
      <c r="D452" t="b">
        <f t="shared" si="18"/>
        <v>1</v>
      </c>
      <c r="F452" t="str">
        <f t="shared" si="19"/>
        <v>000000-2024</v>
      </c>
      <c r="G452" s="42"/>
      <c r="H452" t="b">
        <f t="shared" si="20"/>
        <v>0</v>
      </c>
    </row>
    <row r="453" spans="2:8" x14ac:dyDescent="0.25">
      <c r="B453" s="69"/>
      <c r="C453" s="48"/>
      <c r="D453" t="b">
        <f t="shared" ref="D453:D516" si="21">B453=C453</f>
        <v>1</v>
      </c>
      <c r="F453" t="str">
        <f t="shared" ref="F453:F516" si="22">TEXT(E453,"000000")&amp;"-2024"</f>
        <v>000000-2024</v>
      </c>
      <c r="G453" s="13"/>
      <c r="H453" t="b">
        <f t="shared" ref="H453:H516" si="23">F453=G453</f>
        <v>0</v>
      </c>
    </row>
    <row r="454" spans="2:8" x14ac:dyDescent="0.25">
      <c r="B454" s="69"/>
      <c r="C454" s="48"/>
      <c r="D454" t="b">
        <f t="shared" si="21"/>
        <v>1</v>
      </c>
      <c r="F454" t="str">
        <f t="shared" si="22"/>
        <v>000000-2024</v>
      </c>
      <c r="G454" s="13"/>
      <c r="H454" t="b">
        <f t="shared" si="23"/>
        <v>0</v>
      </c>
    </row>
    <row r="455" spans="2:8" x14ac:dyDescent="0.25">
      <c r="B455" s="69"/>
      <c r="C455" s="48"/>
      <c r="D455" t="b">
        <f t="shared" si="21"/>
        <v>1</v>
      </c>
      <c r="F455" t="str">
        <f t="shared" si="22"/>
        <v>000000-2024</v>
      </c>
      <c r="G455" s="13"/>
      <c r="H455" t="b">
        <f t="shared" si="23"/>
        <v>0</v>
      </c>
    </row>
    <row r="456" spans="2:8" x14ac:dyDescent="0.25">
      <c r="B456" s="69"/>
      <c r="C456" s="48"/>
      <c r="D456" t="b">
        <f t="shared" si="21"/>
        <v>1</v>
      </c>
      <c r="F456" t="str">
        <f t="shared" si="22"/>
        <v>000000-2024</v>
      </c>
      <c r="G456" s="13"/>
      <c r="H456" t="b">
        <f t="shared" si="23"/>
        <v>0</v>
      </c>
    </row>
    <row r="457" spans="2:8" x14ac:dyDescent="0.25">
      <c r="B457" s="69"/>
      <c r="C457" s="48"/>
      <c r="D457" t="b">
        <f t="shared" si="21"/>
        <v>1</v>
      </c>
      <c r="F457" t="str">
        <f t="shared" si="22"/>
        <v>000000-2024</v>
      </c>
      <c r="G457" s="13"/>
      <c r="H457" t="b">
        <f t="shared" si="23"/>
        <v>0</v>
      </c>
    </row>
    <row r="458" spans="2:8" x14ac:dyDescent="0.25">
      <c r="B458" s="69"/>
      <c r="C458" s="48"/>
      <c r="D458" t="b">
        <f t="shared" si="21"/>
        <v>1</v>
      </c>
      <c r="F458" t="str">
        <f t="shared" si="22"/>
        <v>000000-2024</v>
      </c>
      <c r="G458" s="13"/>
      <c r="H458" t="b">
        <f t="shared" si="23"/>
        <v>0</v>
      </c>
    </row>
    <row r="459" spans="2:8" x14ac:dyDescent="0.25">
      <c r="B459" s="69"/>
      <c r="C459" s="48"/>
      <c r="D459" t="b">
        <f t="shared" si="21"/>
        <v>1</v>
      </c>
      <c r="F459" t="str">
        <f t="shared" si="22"/>
        <v>000000-2024</v>
      </c>
      <c r="G459" s="13"/>
      <c r="H459" t="b">
        <f t="shared" si="23"/>
        <v>0</v>
      </c>
    </row>
    <row r="460" spans="2:8" x14ac:dyDescent="0.25">
      <c r="B460" s="69"/>
      <c r="C460" s="48"/>
      <c r="D460" t="b">
        <f t="shared" si="21"/>
        <v>1</v>
      </c>
      <c r="F460" t="str">
        <f t="shared" si="22"/>
        <v>000000-2024</v>
      </c>
      <c r="G460" s="13"/>
      <c r="H460" t="b">
        <f t="shared" si="23"/>
        <v>0</v>
      </c>
    </row>
    <row r="461" spans="2:8" x14ac:dyDescent="0.25">
      <c r="B461" s="69"/>
      <c r="C461" s="48"/>
      <c r="D461" t="b">
        <f t="shared" si="21"/>
        <v>1</v>
      </c>
      <c r="F461" t="str">
        <f t="shared" si="22"/>
        <v>000000-2024</v>
      </c>
      <c r="G461" s="13"/>
      <c r="H461" t="b">
        <f t="shared" si="23"/>
        <v>0</v>
      </c>
    </row>
    <row r="462" spans="2:8" x14ac:dyDescent="0.25">
      <c r="B462" s="69"/>
      <c r="C462" s="48"/>
      <c r="D462" t="b">
        <f t="shared" si="21"/>
        <v>1</v>
      </c>
      <c r="F462" t="str">
        <f t="shared" si="22"/>
        <v>000000-2024</v>
      </c>
      <c r="G462" s="13"/>
      <c r="H462" t="b">
        <f t="shared" si="23"/>
        <v>0</v>
      </c>
    </row>
    <row r="463" spans="2:8" x14ac:dyDescent="0.25">
      <c r="B463" s="69"/>
      <c r="C463" s="48"/>
      <c r="D463" t="b">
        <f t="shared" si="21"/>
        <v>1</v>
      </c>
      <c r="F463" t="str">
        <f t="shared" si="22"/>
        <v>000000-2024</v>
      </c>
      <c r="G463" s="13"/>
      <c r="H463" t="b">
        <f t="shared" si="23"/>
        <v>0</v>
      </c>
    </row>
    <row r="464" spans="2:8" x14ac:dyDescent="0.25">
      <c r="B464" s="69"/>
      <c r="C464" s="48"/>
      <c r="D464" t="b">
        <f t="shared" si="21"/>
        <v>1</v>
      </c>
      <c r="F464" t="str">
        <f t="shared" si="22"/>
        <v>000000-2024</v>
      </c>
      <c r="G464" s="13"/>
      <c r="H464" t="b">
        <f t="shared" si="23"/>
        <v>0</v>
      </c>
    </row>
    <row r="465" spans="2:8" x14ac:dyDescent="0.25">
      <c r="B465" s="69"/>
      <c r="C465" s="48"/>
      <c r="D465" t="b">
        <f t="shared" si="21"/>
        <v>1</v>
      </c>
      <c r="F465" t="str">
        <f t="shared" si="22"/>
        <v>000000-2024</v>
      </c>
      <c r="G465" s="13"/>
      <c r="H465" t="b">
        <f t="shared" si="23"/>
        <v>0</v>
      </c>
    </row>
    <row r="466" spans="2:8" x14ac:dyDescent="0.25">
      <c r="B466" s="69"/>
      <c r="C466" s="48"/>
      <c r="D466" t="b">
        <f t="shared" si="21"/>
        <v>1</v>
      </c>
      <c r="F466" t="str">
        <f t="shared" si="22"/>
        <v>000000-2024</v>
      </c>
      <c r="G466" s="13"/>
      <c r="H466" t="b">
        <f t="shared" si="23"/>
        <v>0</v>
      </c>
    </row>
    <row r="467" spans="2:8" ht="13.8" thickBot="1" x14ac:dyDescent="0.3">
      <c r="B467" s="72"/>
      <c r="C467" s="48"/>
      <c r="D467" t="b">
        <f t="shared" si="21"/>
        <v>1</v>
      </c>
      <c r="F467" t="str">
        <f t="shared" si="22"/>
        <v>000000-2024</v>
      </c>
      <c r="G467" s="43"/>
      <c r="H467" t="b">
        <f t="shared" si="23"/>
        <v>0</v>
      </c>
    </row>
    <row r="468" spans="2:8" x14ac:dyDescent="0.25">
      <c r="B468" s="75"/>
      <c r="C468" s="48"/>
      <c r="D468" t="b">
        <f t="shared" si="21"/>
        <v>1</v>
      </c>
      <c r="F468" t="str">
        <f t="shared" si="22"/>
        <v>000000-2024</v>
      </c>
      <c r="G468" s="42"/>
      <c r="H468" t="b">
        <f t="shared" si="23"/>
        <v>0</v>
      </c>
    </row>
    <row r="469" spans="2:8" x14ac:dyDescent="0.25">
      <c r="B469" s="69"/>
      <c r="C469" s="48"/>
      <c r="D469" t="b">
        <f t="shared" si="21"/>
        <v>1</v>
      </c>
      <c r="F469" t="str">
        <f t="shared" si="22"/>
        <v>000000-2024</v>
      </c>
      <c r="G469" s="13"/>
      <c r="H469" t="b">
        <f t="shared" si="23"/>
        <v>0</v>
      </c>
    </row>
    <row r="470" spans="2:8" x14ac:dyDescent="0.25">
      <c r="B470" s="69"/>
      <c r="C470" s="48"/>
      <c r="D470" t="b">
        <f t="shared" si="21"/>
        <v>1</v>
      </c>
      <c r="F470" t="str">
        <f t="shared" si="22"/>
        <v>000000-2024</v>
      </c>
      <c r="G470" s="13"/>
      <c r="H470" t="b">
        <f t="shared" si="23"/>
        <v>0</v>
      </c>
    </row>
    <row r="471" spans="2:8" x14ac:dyDescent="0.25">
      <c r="B471" s="69"/>
      <c r="C471" s="48"/>
      <c r="D471" t="b">
        <f t="shared" si="21"/>
        <v>1</v>
      </c>
      <c r="F471" t="str">
        <f t="shared" si="22"/>
        <v>000000-2024</v>
      </c>
      <c r="G471" s="13"/>
      <c r="H471" t="b">
        <f t="shared" si="23"/>
        <v>0</v>
      </c>
    </row>
    <row r="472" spans="2:8" x14ac:dyDescent="0.25">
      <c r="B472" s="74"/>
      <c r="C472" s="48"/>
      <c r="D472" t="b">
        <f t="shared" si="21"/>
        <v>1</v>
      </c>
      <c r="F472" t="str">
        <f t="shared" si="22"/>
        <v>000000-2024</v>
      </c>
      <c r="G472" s="13"/>
      <c r="H472" t="b">
        <f t="shared" si="23"/>
        <v>0</v>
      </c>
    </row>
    <row r="473" spans="2:8" x14ac:dyDescent="0.25">
      <c r="B473" s="69"/>
      <c r="C473" s="48"/>
      <c r="D473" t="b">
        <f t="shared" si="21"/>
        <v>1</v>
      </c>
      <c r="F473" t="str">
        <f t="shared" si="22"/>
        <v>000000-2024</v>
      </c>
      <c r="G473" s="13"/>
      <c r="H473" t="b">
        <f t="shared" si="23"/>
        <v>0</v>
      </c>
    </row>
    <row r="474" spans="2:8" x14ac:dyDescent="0.25">
      <c r="B474" s="69"/>
      <c r="C474" s="48"/>
      <c r="D474" t="b">
        <f t="shared" si="21"/>
        <v>1</v>
      </c>
      <c r="F474" t="str">
        <f t="shared" si="22"/>
        <v>000000-2024</v>
      </c>
      <c r="G474" s="13"/>
      <c r="H474" t="b">
        <f t="shared" si="23"/>
        <v>0</v>
      </c>
    </row>
    <row r="475" spans="2:8" x14ac:dyDescent="0.25">
      <c r="B475" s="69"/>
      <c r="C475" s="48"/>
      <c r="D475" t="b">
        <f t="shared" si="21"/>
        <v>1</v>
      </c>
      <c r="F475" t="str">
        <f t="shared" si="22"/>
        <v>000000-2024</v>
      </c>
      <c r="G475" s="13"/>
      <c r="H475" t="b">
        <f t="shared" si="23"/>
        <v>0</v>
      </c>
    </row>
    <row r="476" spans="2:8" x14ac:dyDescent="0.25">
      <c r="B476" s="69"/>
      <c r="C476" s="48"/>
      <c r="D476" t="b">
        <f t="shared" si="21"/>
        <v>1</v>
      </c>
      <c r="F476" t="str">
        <f t="shared" si="22"/>
        <v>000000-2024</v>
      </c>
      <c r="G476" s="13"/>
      <c r="H476" t="b">
        <f t="shared" si="23"/>
        <v>0</v>
      </c>
    </row>
    <row r="477" spans="2:8" x14ac:dyDescent="0.25">
      <c r="B477" s="69"/>
      <c r="C477" s="48"/>
      <c r="D477" t="b">
        <f t="shared" si="21"/>
        <v>1</v>
      </c>
      <c r="F477" t="str">
        <f t="shared" si="22"/>
        <v>000000-2024</v>
      </c>
      <c r="G477" s="13"/>
      <c r="H477" t="b">
        <f t="shared" si="23"/>
        <v>0</v>
      </c>
    </row>
    <row r="478" spans="2:8" x14ac:dyDescent="0.25">
      <c r="B478" s="69"/>
      <c r="C478" s="48"/>
      <c r="D478" t="b">
        <f t="shared" si="21"/>
        <v>1</v>
      </c>
      <c r="F478" t="str">
        <f t="shared" si="22"/>
        <v>000000-2024</v>
      </c>
      <c r="G478" s="13"/>
      <c r="H478" t="b">
        <f t="shared" si="23"/>
        <v>0</v>
      </c>
    </row>
    <row r="479" spans="2:8" x14ac:dyDescent="0.25">
      <c r="B479" s="69"/>
      <c r="C479" s="48"/>
      <c r="D479" t="b">
        <f t="shared" si="21"/>
        <v>1</v>
      </c>
      <c r="F479" t="str">
        <f t="shared" si="22"/>
        <v>000000-2024</v>
      </c>
      <c r="G479" s="13"/>
      <c r="H479" t="b">
        <f t="shared" si="23"/>
        <v>0</v>
      </c>
    </row>
    <row r="480" spans="2:8" x14ac:dyDescent="0.25">
      <c r="B480" s="69"/>
      <c r="C480" s="48"/>
      <c r="D480" t="b">
        <f t="shared" si="21"/>
        <v>1</v>
      </c>
      <c r="F480" t="str">
        <f t="shared" si="22"/>
        <v>000000-2024</v>
      </c>
      <c r="G480" s="13"/>
      <c r="H480" t="b">
        <f t="shared" si="23"/>
        <v>0</v>
      </c>
    </row>
    <row r="481" spans="2:8" x14ac:dyDescent="0.25">
      <c r="B481" s="69"/>
      <c r="C481" s="48"/>
      <c r="D481" t="b">
        <f t="shared" si="21"/>
        <v>1</v>
      </c>
      <c r="F481" t="str">
        <f t="shared" si="22"/>
        <v>000000-2024</v>
      </c>
      <c r="G481" s="13"/>
      <c r="H481" t="b">
        <f t="shared" si="23"/>
        <v>0</v>
      </c>
    </row>
    <row r="482" spans="2:8" x14ac:dyDescent="0.25">
      <c r="B482" s="69"/>
      <c r="C482" s="48"/>
      <c r="D482" t="b">
        <f t="shared" si="21"/>
        <v>1</v>
      </c>
      <c r="F482" t="str">
        <f t="shared" si="22"/>
        <v>000000-2024</v>
      </c>
      <c r="G482" s="13"/>
      <c r="H482" t="b">
        <f t="shared" si="23"/>
        <v>0</v>
      </c>
    </row>
    <row r="483" spans="2:8" ht="13.8" thickBot="1" x14ac:dyDescent="0.3">
      <c r="B483" s="72"/>
      <c r="C483" s="48"/>
      <c r="D483" t="b">
        <f t="shared" si="21"/>
        <v>1</v>
      </c>
      <c r="F483" t="str">
        <f t="shared" si="22"/>
        <v>000000-2024</v>
      </c>
      <c r="G483" s="43"/>
      <c r="H483" t="b">
        <f t="shared" si="23"/>
        <v>0</v>
      </c>
    </row>
    <row r="484" spans="2:8" x14ac:dyDescent="0.25">
      <c r="B484" s="75"/>
      <c r="C484" s="48"/>
      <c r="D484" t="b">
        <f t="shared" si="21"/>
        <v>1</v>
      </c>
      <c r="F484" t="str">
        <f t="shared" si="22"/>
        <v>000000-2024</v>
      </c>
      <c r="G484" s="42"/>
      <c r="H484" t="b">
        <f t="shared" si="23"/>
        <v>0</v>
      </c>
    </row>
    <row r="485" spans="2:8" x14ac:dyDescent="0.25">
      <c r="B485" s="69"/>
      <c r="C485" s="48"/>
      <c r="D485" t="b">
        <f t="shared" si="21"/>
        <v>1</v>
      </c>
      <c r="F485" t="str">
        <f t="shared" si="22"/>
        <v>000000-2024</v>
      </c>
      <c r="G485" s="13"/>
      <c r="H485" t="b">
        <f t="shared" si="23"/>
        <v>0</v>
      </c>
    </row>
    <row r="486" spans="2:8" x14ac:dyDescent="0.25">
      <c r="B486" s="69"/>
      <c r="C486" s="48"/>
      <c r="D486" t="b">
        <f t="shared" si="21"/>
        <v>1</v>
      </c>
      <c r="F486" t="str">
        <f t="shared" si="22"/>
        <v>000000-2024</v>
      </c>
      <c r="G486" s="13"/>
      <c r="H486" t="b">
        <f t="shared" si="23"/>
        <v>0</v>
      </c>
    </row>
    <row r="487" spans="2:8" x14ac:dyDescent="0.25">
      <c r="B487" s="69"/>
      <c r="C487" s="48"/>
      <c r="D487" t="b">
        <f t="shared" si="21"/>
        <v>1</v>
      </c>
      <c r="F487" t="str">
        <f t="shared" si="22"/>
        <v>000000-2024</v>
      </c>
      <c r="G487" s="13"/>
      <c r="H487" t="b">
        <f t="shared" si="23"/>
        <v>0</v>
      </c>
    </row>
    <row r="488" spans="2:8" x14ac:dyDescent="0.25">
      <c r="B488" s="69"/>
      <c r="C488" s="48"/>
      <c r="D488" t="b">
        <f t="shared" si="21"/>
        <v>1</v>
      </c>
      <c r="F488" t="str">
        <f t="shared" si="22"/>
        <v>000000-2024</v>
      </c>
      <c r="G488" s="13"/>
      <c r="H488" t="b">
        <f t="shared" si="23"/>
        <v>0</v>
      </c>
    </row>
    <row r="489" spans="2:8" x14ac:dyDescent="0.25">
      <c r="B489" s="69"/>
      <c r="C489" s="48"/>
      <c r="D489" t="b">
        <f t="shared" si="21"/>
        <v>1</v>
      </c>
      <c r="F489" t="str">
        <f t="shared" si="22"/>
        <v>000000-2024</v>
      </c>
      <c r="G489" s="13"/>
      <c r="H489" t="b">
        <f t="shared" si="23"/>
        <v>0</v>
      </c>
    </row>
    <row r="490" spans="2:8" x14ac:dyDescent="0.25">
      <c r="B490" s="69"/>
      <c r="C490" s="48"/>
      <c r="D490" t="b">
        <f t="shared" si="21"/>
        <v>1</v>
      </c>
      <c r="F490" t="str">
        <f t="shared" si="22"/>
        <v>000000-2024</v>
      </c>
      <c r="G490" s="13"/>
      <c r="H490" t="b">
        <f t="shared" si="23"/>
        <v>0</v>
      </c>
    </row>
    <row r="491" spans="2:8" x14ac:dyDescent="0.25">
      <c r="B491" s="74"/>
      <c r="C491" s="48"/>
      <c r="D491" t="b">
        <f t="shared" si="21"/>
        <v>1</v>
      </c>
      <c r="F491" t="str">
        <f t="shared" si="22"/>
        <v>000000-2024</v>
      </c>
      <c r="G491" s="13"/>
      <c r="H491" t="b">
        <f t="shared" si="23"/>
        <v>0</v>
      </c>
    </row>
    <row r="492" spans="2:8" x14ac:dyDescent="0.25">
      <c r="B492" s="69"/>
      <c r="C492" s="48"/>
      <c r="D492" t="b">
        <f t="shared" si="21"/>
        <v>1</v>
      </c>
      <c r="F492" t="str">
        <f t="shared" si="22"/>
        <v>000000-2024</v>
      </c>
      <c r="G492" s="13"/>
      <c r="H492" t="b">
        <f t="shared" si="23"/>
        <v>0</v>
      </c>
    </row>
    <row r="493" spans="2:8" x14ac:dyDescent="0.25">
      <c r="B493" s="69"/>
      <c r="C493" s="48"/>
      <c r="D493" t="b">
        <f t="shared" si="21"/>
        <v>1</v>
      </c>
      <c r="F493" t="str">
        <f t="shared" si="22"/>
        <v>000000-2024</v>
      </c>
      <c r="G493" s="13"/>
      <c r="H493" t="b">
        <f t="shared" si="23"/>
        <v>0</v>
      </c>
    </row>
    <row r="494" spans="2:8" x14ac:dyDescent="0.25">
      <c r="B494" s="69"/>
      <c r="C494" s="48"/>
      <c r="D494" t="b">
        <f t="shared" si="21"/>
        <v>1</v>
      </c>
      <c r="F494" t="str">
        <f t="shared" si="22"/>
        <v>000000-2024</v>
      </c>
      <c r="G494" s="13"/>
      <c r="H494" t="b">
        <f t="shared" si="23"/>
        <v>0</v>
      </c>
    </row>
    <row r="495" spans="2:8" x14ac:dyDescent="0.25">
      <c r="B495" s="74"/>
      <c r="C495" s="48"/>
      <c r="D495" t="b">
        <f t="shared" si="21"/>
        <v>1</v>
      </c>
      <c r="F495" t="str">
        <f t="shared" si="22"/>
        <v>000000-2024</v>
      </c>
      <c r="G495" s="13"/>
      <c r="H495" t="b">
        <f t="shared" si="23"/>
        <v>0</v>
      </c>
    </row>
    <row r="496" spans="2:8" x14ac:dyDescent="0.25">
      <c r="B496" s="69"/>
      <c r="C496" s="48"/>
      <c r="D496" t="b">
        <f t="shared" si="21"/>
        <v>1</v>
      </c>
      <c r="F496" t="str">
        <f t="shared" si="22"/>
        <v>000000-2024</v>
      </c>
      <c r="G496" s="13"/>
      <c r="H496" t="b">
        <f t="shared" si="23"/>
        <v>0</v>
      </c>
    </row>
    <row r="497" spans="2:8" x14ac:dyDescent="0.25">
      <c r="B497" s="69"/>
      <c r="C497" s="48"/>
      <c r="D497" t="b">
        <f t="shared" si="21"/>
        <v>1</v>
      </c>
      <c r="F497" t="str">
        <f t="shared" si="22"/>
        <v>000000-2024</v>
      </c>
      <c r="G497" s="13"/>
      <c r="H497" t="b">
        <f t="shared" si="23"/>
        <v>0</v>
      </c>
    </row>
    <row r="498" spans="2:8" x14ac:dyDescent="0.25">
      <c r="B498" s="74"/>
      <c r="C498" s="48"/>
      <c r="D498" t="b">
        <f t="shared" si="21"/>
        <v>1</v>
      </c>
      <c r="F498" t="str">
        <f t="shared" si="22"/>
        <v>000000-2024</v>
      </c>
      <c r="G498" s="13"/>
      <c r="H498" t="b">
        <f t="shared" si="23"/>
        <v>0</v>
      </c>
    </row>
    <row r="499" spans="2:8" ht="13.8" thickBot="1" x14ac:dyDescent="0.3">
      <c r="B499" s="72"/>
      <c r="C499" s="48"/>
      <c r="D499" t="b">
        <f t="shared" si="21"/>
        <v>1</v>
      </c>
      <c r="F499" t="str">
        <f t="shared" si="22"/>
        <v>000000-2024</v>
      </c>
      <c r="G499" s="43"/>
      <c r="H499" t="b">
        <f t="shared" si="23"/>
        <v>0</v>
      </c>
    </row>
    <row r="500" spans="2:8" x14ac:dyDescent="0.25">
      <c r="B500" s="69"/>
      <c r="C500" s="48"/>
      <c r="D500" t="b">
        <f t="shared" si="21"/>
        <v>1</v>
      </c>
      <c r="F500" t="str">
        <f t="shared" si="22"/>
        <v>000000-2024</v>
      </c>
      <c r="G500" s="13"/>
      <c r="H500" t="b">
        <f t="shared" si="23"/>
        <v>0</v>
      </c>
    </row>
    <row r="501" spans="2:8" x14ac:dyDescent="0.25">
      <c r="B501" s="69"/>
      <c r="C501" s="48"/>
      <c r="D501" t="b">
        <f t="shared" si="21"/>
        <v>1</v>
      </c>
      <c r="F501" t="str">
        <f t="shared" si="22"/>
        <v>000000-2024</v>
      </c>
      <c r="G501" s="13"/>
      <c r="H501" t="b">
        <f t="shared" si="23"/>
        <v>0</v>
      </c>
    </row>
    <row r="502" spans="2:8" x14ac:dyDescent="0.25">
      <c r="B502" s="69"/>
      <c r="C502" s="48"/>
      <c r="D502" t="b">
        <f t="shared" si="21"/>
        <v>1</v>
      </c>
      <c r="F502" t="str">
        <f t="shared" si="22"/>
        <v>000000-2024</v>
      </c>
      <c r="G502" s="13"/>
      <c r="H502" t="b">
        <f t="shared" si="23"/>
        <v>0</v>
      </c>
    </row>
    <row r="503" spans="2:8" x14ac:dyDescent="0.25">
      <c r="B503" s="69"/>
      <c r="C503" s="48"/>
      <c r="D503" t="b">
        <f t="shared" si="21"/>
        <v>1</v>
      </c>
      <c r="F503" t="str">
        <f t="shared" si="22"/>
        <v>000000-2024</v>
      </c>
      <c r="G503" s="45"/>
      <c r="H503" t="b">
        <f t="shared" si="23"/>
        <v>0</v>
      </c>
    </row>
    <row r="504" spans="2:8" x14ac:dyDescent="0.25">
      <c r="B504" s="69"/>
      <c r="C504" s="48"/>
      <c r="D504" t="b">
        <f t="shared" si="21"/>
        <v>1</v>
      </c>
      <c r="F504" t="str">
        <f t="shared" si="22"/>
        <v>000000-2024</v>
      </c>
      <c r="G504" s="13"/>
      <c r="H504" t="b">
        <f t="shared" si="23"/>
        <v>0</v>
      </c>
    </row>
    <row r="505" spans="2:8" x14ac:dyDescent="0.25">
      <c r="B505" s="69"/>
      <c r="C505" s="48"/>
      <c r="D505" t="b">
        <f t="shared" si="21"/>
        <v>1</v>
      </c>
      <c r="F505" t="str">
        <f t="shared" si="22"/>
        <v>000000-2024</v>
      </c>
      <c r="G505" s="46"/>
      <c r="H505" t="b">
        <f t="shared" si="23"/>
        <v>0</v>
      </c>
    </row>
    <row r="506" spans="2:8" x14ac:dyDescent="0.25">
      <c r="B506" s="69"/>
      <c r="C506" s="48"/>
      <c r="D506" t="b">
        <f t="shared" si="21"/>
        <v>1</v>
      </c>
      <c r="F506" t="str">
        <f t="shared" si="22"/>
        <v>000000-2024</v>
      </c>
      <c r="G506" s="13"/>
      <c r="H506" t="b">
        <f t="shared" si="23"/>
        <v>0</v>
      </c>
    </row>
    <row r="507" spans="2:8" x14ac:dyDescent="0.25">
      <c r="B507" s="69"/>
      <c r="C507" s="48"/>
      <c r="D507" t="b">
        <f t="shared" si="21"/>
        <v>1</v>
      </c>
      <c r="F507" t="str">
        <f t="shared" si="22"/>
        <v>000000-2024</v>
      </c>
      <c r="G507" s="13"/>
      <c r="H507" t="b">
        <f t="shared" si="23"/>
        <v>0</v>
      </c>
    </row>
    <row r="508" spans="2:8" x14ac:dyDescent="0.25">
      <c r="B508" s="69"/>
      <c r="C508" s="48"/>
      <c r="D508" t="b">
        <f t="shared" si="21"/>
        <v>1</v>
      </c>
      <c r="F508" t="str">
        <f t="shared" si="22"/>
        <v>000000-2024</v>
      </c>
      <c r="G508" s="13"/>
      <c r="H508" t="b">
        <f t="shared" si="23"/>
        <v>0</v>
      </c>
    </row>
    <row r="509" spans="2:8" x14ac:dyDescent="0.25">
      <c r="B509" s="69"/>
      <c r="C509" s="48"/>
      <c r="D509" t="b">
        <f t="shared" si="21"/>
        <v>1</v>
      </c>
      <c r="F509" t="str">
        <f t="shared" si="22"/>
        <v>000000-2024</v>
      </c>
      <c r="G509" s="13"/>
      <c r="H509" t="b">
        <f t="shared" si="23"/>
        <v>0</v>
      </c>
    </row>
    <row r="510" spans="2:8" x14ac:dyDescent="0.25">
      <c r="B510" s="69"/>
      <c r="C510" s="48"/>
      <c r="D510" t="b">
        <f t="shared" si="21"/>
        <v>1</v>
      </c>
      <c r="F510" t="str">
        <f t="shared" si="22"/>
        <v>000000-2024</v>
      </c>
      <c r="G510" s="13"/>
      <c r="H510" t="b">
        <f t="shared" si="23"/>
        <v>0</v>
      </c>
    </row>
    <row r="511" spans="2:8" x14ac:dyDescent="0.25">
      <c r="B511" s="69"/>
      <c r="C511" s="48"/>
      <c r="D511" t="b">
        <f t="shared" si="21"/>
        <v>1</v>
      </c>
      <c r="F511" t="str">
        <f t="shared" si="22"/>
        <v>000000-2024</v>
      </c>
      <c r="G511" s="13"/>
      <c r="H511" t="b">
        <f t="shared" si="23"/>
        <v>0</v>
      </c>
    </row>
    <row r="512" spans="2:8" x14ac:dyDescent="0.25">
      <c r="B512" s="69"/>
      <c r="C512" s="48"/>
      <c r="D512" t="b">
        <f t="shared" si="21"/>
        <v>1</v>
      </c>
      <c r="F512" t="str">
        <f t="shared" si="22"/>
        <v>000000-2024</v>
      </c>
      <c r="G512" s="13"/>
      <c r="H512" t="b">
        <f t="shared" si="23"/>
        <v>0</v>
      </c>
    </row>
    <row r="513" spans="2:8" x14ac:dyDescent="0.25">
      <c r="B513" s="69"/>
      <c r="C513" s="48"/>
      <c r="D513" t="b">
        <f t="shared" si="21"/>
        <v>1</v>
      </c>
      <c r="F513" t="str">
        <f t="shared" si="22"/>
        <v>000000-2024</v>
      </c>
      <c r="G513" s="13"/>
      <c r="H513" t="b">
        <f t="shared" si="23"/>
        <v>0</v>
      </c>
    </row>
    <row r="514" spans="2:8" x14ac:dyDescent="0.25">
      <c r="B514" s="69"/>
      <c r="C514" s="48"/>
      <c r="D514" t="b">
        <f t="shared" si="21"/>
        <v>1</v>
      </c>
      <c r="F514" t="str">
        <f t="shared" si="22"/>
        <v>000000-2024</v>
      </c>
      <c r="G514" s="13"/>
      <c r="H514" t="b">
        <f t="shared" si="23"/>
        <v>0</v>
      </c>
    </row>
    <row r="515" spans="2:8" ht="13.8" thickBot="1" x14ac:dyDescent="0.3">
      <c r="B515" s="72"/>
      <c r="C515" s="48"/>
      <c r="D515" t="b">
        <f t="shared" si="21"/>
        <v>1</v>
      </c>
      <c r="F515" t="str">
        <f t="shared" si="22"/>
        <v>000000-2024</v>
      </c>
      <c r="G515" s="43"/>
      <c r="H515" t="b">
        <f t="shared" si="23"/>
        <v>0</v>
      </c>
    </row>
    <row r="516" spans="2:8" x14ac:dyDescent="0.25">
      <c r="B516" s="76"/>
      <c r="C516" s="48"/>
      <c r="D516" t="b">
        <f t="shared" si="21"/>
        <v>1</v>
      </c>
      <c r="F516" t="str">
        <f t="shared" si="22"/>
        <v>000000-2024</v>
      </c>
      <c r="G516" s="46"/>
      <c r="H516" t="b">
        <f t="shared" si="23"/>
        <v>0</v>
      </c>
    </row>
    <row r="517" spans="2:8" x14ac:dyDescent="0.25">
      <c r="B517" s="69"/>
      <c r="C517" s="48"/>
      <c r="D517" t="b">
        <f t="shared" ref="D517:D580" si="24">B517=C517</f>
        <v>1</v>
      </c>
      <c r="F517" t="str">
        <f t="shared" ref="F517:F580" si="25">TEXT(E517,"000000")&amp;"-2024"</f>
        <v>000000-2024</v>
      </c>
      <c r="G517" s="13"/>
      <c r="H517" t="b">
        <f t="shared" ref="H517:H580" si="26">F517=G517</f>
        <v>0</v>
      </c>
    </row>
    <row r="518" spans="2:8" x14ac:dyDescent="0.25">
      <c r="B518" s="69"/>
      <c r="C518" s="48"/>
      <c r="D518" t="b">
        <f t="shared" si="24"/>
        <v>1</v>
      </c>
      <c r="F518" t="str">
        <f t="shared" si="25"/>
        <v>000000-2024</v>
      </c>
      <c r="G518" s="13"/>
      <c r="H518" t="b">
        <f t="shared" si="26"/>
        <v>0</v>
      </c>
    </row>
    <row r="519" spans="2:8" x14ac:dyDescent="0.25">
      <c r="B519" s="69"/>
      <c r="C519" s="48"/>
      <c r="D519" t="b">
        <f t="shared" si="24"/>
        <v>1</v>
      </c>
      <c r="F519" t="str">
        <f t="shared" si="25"/>
        <v>000000-2024</v>
      </c>
      <c r="G519" s="13"/>
      <c r="H519" t="b">
        <f t="shared" si="26"/>
        <v>0</v>
      </c>
    </row>
    <row r="520" spans="2:8" x14ac:dyDescent="0.25">
      <c r="B520" s="69"/>
      <c r="C520" s="48"/>
      <c r="D520" t="b">
        <f t="shared" si="24"/>
        <v>1</v>
      </c>
      <c r="F520" t="str">
        <f t="shared" si="25"/>
        <v>000000-2024</v>
      </c>
      <c r="G520" s="13"/>
      <c r="H520" t="b">
        <f t="shared" si="26"/>
        <v>0</v>
      </c>
    </row>
    <row r="521" spans="2:8" x14ac:dyDescent="0.25">
      <c r="B521" s="69"/>
      <c r="C521" s="48"/>
      <c r="D521" t="b">
        <f t="shared" si="24"/>
        <v>1</v>
      </c>
      <c r="F521" t="str">
        <f t="shared" si="25"/>
        <v>000000-2024</v>
      </c>
      <c r="G521" s="13"/>
      <c r="H521" t="b">
        <f t="shared" si="26"/>
        <v>0</v>
      </c>
    </row>
    <row r="522" spans="2:8" x14ac:dyDescent="0.25">
      <c r="B522" s="69"/>
      <c r="C522" s="48"/>
      <c r="D522" t="b">
        <f t="shared" si="24"/>
        <v>1</v>
      </c>
      <c r="F522" t="str">
        <f t="shared" si="25"/>
        <v>000000-2024</v>
      </c>
      <c r="G522" s="13"/>
      <c r="H522" t="b">
        <f t="shared" si="26"/>
        <v>0</v>
      </c>
    </row>
    <row r="523" spans="2:8" x14ac:dyDescent="0.25">
      <c r="B523" s="69"/>
      <c r="C523" s="48"/>
      <c r="D523" t="b">
        <f t="shared" si="24"/>
        <v>1</v>
      </c>
      <c r="F523" t="str">
        <f t="shared" si="25"/>
        <v>000000-2024</v>
      </c>
      <c r="G523" s="13"/>
      <c r="H523" t="b">
        <f t="shared" si="26"/>
        <v>0</v>
      </c>
    </row>
    <row r="524" spans="2:8" x14ac:dyDescent="0.25">
      <c r="B524" s="69"/>
      <c r="C524" s="48"/>
      <c r="D524" t="b">
        <f t="shared" si="24"/>
        <v>1</v>
      </c>
      <c r="F524" t="str">
        <f t="shared" si="25"/>
        <v>000000-2024</v>
      </c>
      <c r="G524" s="13"/>
      <c r="H524" t="b">
        <f t="shared" si="26"/>
        <v>0</v>
      </c>
    </row>
    <row r="525" spans="2:8" x14ac:dyDescent="0.25">
      <c r="B525" s="69"/>
      <c r="C525" s="48"/>
      <c r="D525" t="b">
        <f t="shared" si="24"/>
        <v>1</v>
      </c>
      <c r="F525" t="str">
        <f t="shared" si="25"/>
        <v>000000-2024</v>
      </c>
      <c r="G525" s="13"/>
      <c r="H525" t="b">
        <f t="shared" si="26"/>
        <v>0</v>
      </c>
    </row>
    <row r="526" spans="2:8" x14ac:dyDescent="0.25">
      <c r="B526" s="74"/>
      <c r="C526" s="48"/>
      <c r="D526" t="b">
        <f t="shared" si="24"/>
        <v>1</v>
      </c>
      <c r="F526" t="str">
        <f t="shared" si="25"/>
        <v>000000-2024</v>
      </c>
      <c r="G526" s="13"/>
      <c r="H526" t="b">
        <f t="shared" si="26"/>
        <v>0</v>
      </c>
    </row>
    <row r="527" spans="2:8" x14ac:dyDescent="0.25">
      <c r="B527" s="69"/>
      <c r="C527" s="48"/>
      <c r="D527" t="b">
        <f t="shared" si="24"/>
        <v>1</v>
      </c>
      <c r="F527" t="str">
        <f t="shared" si="25"/>
        <v>000000-2024</v>
      </c>
      <c r="G527" s="13"/>
      <c r="H527" t="b">
        <f t="shared" si="26"/>
        <v>0</v>
      </c>
    </row>
    <row r="528" spans="2:8" x14ac:dyDescent="0.25">
      <c r="B528" s="69"/>
      <c r="C528" s="48"/>
      <c r="D528" t="b">
        <f t="shared" si="24"/>
        <v>1</v>
      </c>
      <c r="F528" t="str">
        <f t="shared" si="25"/>
        <v>000000-2024</v>
      </c>
      <c r="G528" s="13"/>
      <c r="H528" t="b">
        <f t="shared" si="26"/>
        <v>0</v>
      </c>
    </row>
    <row r="529" spans="2:8" x14ac:dyDescent="0.25">
      <c r="B529" s="69"/>
      <c r="C529" s="48"/>
      <c r="D529" t="b">
        <f t="shared" si="24"/>
        <v>1</v>
      </c>
      <c r="F529" t="str">
        <f t="shared" si="25"/>
        <v>000000-2024</v>
      </c>
      <c r="G529" s="13"/>
      <c r="H529" t="b">
        <f t="shared" si="26"/>
        <v>0</v>
      </c>
    </row>
    <row r="530" spans="2:8" x14ac:dyDescent="0.25">
      <c r="B530" s="69"/>
      <c r="C530" s="48"/>
      <c r="D530" t="b">
        <f t="shared" si="24"/>
        <v>1</v>
      </c>
      <c r="F530" t="str">
        <f t="shared" si="25"/>
        <v>000000-2024</v>
      </c>
      <c r="G530" s="13"/>
      <c r="H530" t="b">
        <f t="shared" si="26"/>
        <v>0</v>
      </c>
    </row>
    <row r="531" spans="2:8" ht="13.8" thickBot="1" x14ac:dyDescent="0.3">
      <c r="B531" s="72"/>
      <c r="C531" s="48"/>
      <c r="D531" t="b">
        <f t="shared" si="24"/>
        <v>1</v>
      </c>
      <c r="F531" t="str">
        <f t="shared" si="25"/>
        <v>000000-2024</v>
      </c>
      <c r="G531" s="43"/>
      <c r="H531" t="b">
        <f t="shared" si="26"/>
        <v>0</v>
      </c>
    </row>
    <row r="532" spans="2:8" x14ac:dyDescent="0.25">
      <c r="B532" s="76"/>
      <c r="C532" s="48"/>
      <c r="D532" t="b">
        <f t="shared" si="24"/>
        <v>1</v>
      </c>
      <c r="F532" t="str">
        <f t="shared" si="25"/>
        <v>000000-2024</v>
      </c>
      <c r="G532" s="46"/>
      <c r="H532" t="b">
        <f t="shared" si="26"/>
        <v>0</v>
      </c>
    </row>
    <row r="533" spans="2:8" x14ac:dyDescent="0.25">
      <c r="B533" s="69"/>
      <c r="C533" s="48"/>
      <c r="D533" t="b">
        <f t="shared" si="24"/>
        <v>1</v>
      </c>
      <c r="F533" t="str">
        <f t="shared" si="25"/>
        <v>000000-2024</v>
      </c>
      <c r="G533" s="13"/>
      <c r="H533" t="b">
        <f t="shared" si="26"/>
        <v>0</v>
      </c>
    </row>
    <row r="534" spans="2:8" x14ac:dyDescent="0.25">
      <c r="B534" s="69"/>
      <c r="C534" s="48"/>
      <c r="D534" t="b">
        <f t="shared" si="24"/>
        <v>1</v>
      </c>
      <c r="F534" t="str">
        <f t="shared" si="25"/>
        <v>000000-2024</v>
      </c>
      <c r="G534" s="13"/>
      <c r="H534" t="b">
        <f t="shared" si="26"/>
        <v>0</v>
      </c>
    </row>
    <row r="535" spans="2:8" x14ac:dyDescent="0.25">
      <c r="B535" s="69"/>
      <c r="C535" s="48"/>
      <c r="D535" t="b">
        <f t="shared" si="24"/>
        <v>1</v>
      </c>
      <c r="F535" t="str">
        <f t="shared" si="25"/>
        <v>000000-2024</v>
      </c>
      <c r="G535" s="13"/>
      <c r="H535" t="b">
        <f t="shared" si="26"/>
        <v>0</v>
      </c>
    </row>
    <row r="536" spans="2:8" x14ac:dyDescent="0.25">
      <c r="B536" s="74"/>
      <c r="C536" s="48"/>
      <c r="D536" t="b">
        <f t="shared" si="24"/>
        <v>1</v>
      </c>
      <c r="F536" t="str">
        <f t="shared" si="25"/>
        <v>000000-2024</v>
      </c>
      <c r="G536" s="13"/>
      <c r="H536" t="b">
        <f t="shared" si="26"/>
        <v>0</v>
      </c>
    </row>
    <row r="537" spans="2:8" x14ac:dyDescent="0.25">
      <c r="B537" s="74"/>
      <c r="C537" s="48"/>
      <c r="D537" t="b">
        <f t="shared" si="24"/>
        <v>1</v>
      </c>
      <c r="F537" t="str">
        <f t="shared" si="25"/>
        <v>000000-2024</v>
      </c>
      <c r="G537" s="13"/>
      <c r="H537" t="b">
        <f t="shared" si="26"/>
        <v>0</v>
      </c>
    </row>
    <row r="538" spans="2:8" x14ac:dyDescent="0.25">
      <c r="B538" s="74"/>
      <c r="C538" s="48"/>
      <c r="D538" t="b">
        <f t="shared" si="24"/>
        <v>1</v>
      </c>
      <c r="F538" t="str">
        <f t="shared" si="25"/>
        <v>000000-2024</v>
      </c>
      <c r="G538" s="13"/>
      <c r="H538" t="b">
        <f t="shared" si="26"/>
        <v>0</v>
      </c>
    </row>
    <row r="539" spans="2:8" x14ac:dyDescent="0.25">
      <c r="B539" s="69"/>
      <c r="C539" s="48"/>
      <c r="D539" t="b">
        <f t="shared" si="24"/>
        <v>1</v>
      </c>
      <c r="F539" t="str">
        <f t="shared" si="25"/>
        <v>000000-2024</v>
      </c>
      <c r="G539" s="13"/>
      <c r="H539" t="b">
        <f t="shared" si="26"/>
        <v>0</v>
      </c>
    </row>
    <row r="540" spans="2:8" x14ac:dyDescent="0.25">
      <c r="B540" s="69"/>
      <c r="C540" s="48"/>
      <c r="D540" t="b">
        <f t="shared" si="24"/>
        <v>1</v>
      </c>
      <c r="F540" t="str">
        <f t="shared" si="25"/>
        <v>000000-2024</v>
      </c>
      <c r="G540" s="13"/>
      <c r="H540" t="b">
        <f t="shared" si="26"/>
        <v>0</v>
      </c>
    </row>
    <row r="541" spans="2:8" x14ac:dyDescent="0.25">
      <c r="B541" s="69"/>
      <c r="C541" s="48"/>
      <c r="D541" t="b">
        <f t="shared" si="24"/>
        <v>1</v>
      </c>
      <c r="F541" t="str">
        <f t="shared" si="25"/>
        <v>000000-2024</v>
      </c>
      <c r="G541" s="13"/>
      <c r="H541" t="b">
        <f t="shared" si="26"/>
        <v>0</v>
      </c>
    </row>
    <row r="542" spans="2:8" x14ac:dyDescent="0.25">
      <c r="B542" s="69"/>
      <c r="C542" s="48"/>
      <c r="D542" t="b">
        <f t="shared" si="24"/>
        <v>1</v>
      </c>
      <c r="F542" t="str">
        <f t="shared" si="25"/>
        <v>000000-2024</v>
      </c>
      <c r="G542" s="13"/>
      <c r="H542" t="b">
        <f t="shared" si="26"/>
        <v>0</v>
      </c>
    </row>
    <row r="543" spans="2:8" ht="13.8" thickBot="1" x14ac:dyDescent="0.3">
      <c r="B543" s="47"/>
      <c r="C543" s="48"/>
      <c r="D543" t="b">
        <f t="shared" si="24"/>
        <v>1</v>
      </c>
      <c r="F543" t="str">
        <f t="shared" si="25"/>
        <v>000000-2024</v>
      </c>
      <c r="G543" s="43"/>
      <c r="H543" t="b">
        <f t="shared" si="26"/>
        <v>0</v>
      </c>
    </row>
    <row r="544" spans="2:8" x14ac:dyDescent="0.25">
      <c r="B544" s="75"/>
      <c r="C544" s="48"/>
      <c r="D544" t="b">
        <f t="shared" si="24"/>
        <v>1</v>
      </c>
      <c r="F544" t="str">
        <f t="shared" si="25"/>
        <v>000000-2024</v>
      </c>
      <c r="G544" s="42"/>
      <c r="H544" t="b">
        <f t="shared" si="26"/>
        <v>0</v>
      </c>
    </row>
    <row r="545" spans="2:8" x14ac:dyDescent="0.25">
      <c r="B545" s="76"/>
      <c r="C545" s="48"/>
      <c r="D545" t="b">
        <f t="shared" si="24"/>
        <v>1</v>
      </c>
      <c r="F545" t="str">
        <f t="shared" si="25"/>
        <v>000000-2024</v>
      </c>
      <c r="G545" s="13"/>
      <c r="H545" t="b">
        <f t="shared" si="26"/>
        <v>0</v>
      </c>
    </row>
    <row r="546" spans="2:8" x14ac:dyDescent="0.25">
      <c r="B546" s="76"/>
      <c r="C546" s="48"/>
      <c r="D546" t="b">
        <f t="shared" si="24"/>
        <v>1</v>
      </c>
      <c r="F546" t="str">
        <f t="shared" si="25"/>
        <v>000000-2024</v>
      </c>
      <c r="G546" s="13"/>
      <c r="H546" t="b">
        <f t="shared" si="26"/>
        <v>0</v>
      </c>
    </row>
    <row r="547" spans="2:8" x14ac:dyDescent="0.25">
      <c r="B547" s="76"/>
      <c r="C547" s="48"/>
      <c r="D547" t="b">
        <f t="shared" si="24"/>
        <v>1</v>
      </c>
      <c r="F547" t="str">
        <f t="shared" si="25"/>
        <v>000000-2024</v>
      </c>
      <c r="G547" s="13"/>
      <c r="H547" t="b">
        <f t="shared" si="26"/>
        <v>0</v>
      </c>
    </row>
    <row r="548" spans="2:8" x14ac:dyDescent="0.25">
      <c r="B548" s="76"/>
      <c r="C548" s="48"/>
      <c r="D548" t="b">
        <f t="shared" si="24"/>
        <v>1</v>
      </c>
      <c r="F548" t="str">
        <f t="shared" si="25"/>
        <v>000000-2024</v>
      </c>
      <c r="G548" s="13"/>
      <c r="H548" t="b">
        <f t="shared" si="26"/>
        <v>0</v>
      </c>
    </row>
    <row r="549" spans="2:8" x14ac:dyDescent="0.25">
      <c r="B549" s="76"/>
      <c r="C549" s="48"/>
      <c r="D549" t="b">
        <f t="shared" si="24"/>
        <v>1</v>
      </c>
      <c r="F549" t="str">
        <f t="shared" si="25"/>
        <v>000000-2024</v>
      </c>
      <c r="G549" s="13"/>
      <c r="H549" t="b">
        <f t="shared" si="26"/>
        <v>0</v>
      </c>
    </row>
    <row r="550" spans="2:8" x14ac:dyDescent="0.25">
      <c r="B550" s="76"/>
      <c r="C550" s="48"/>
      <c r="D550" t="b">
        <f t="shared" si="24"/>
        <v>1</v>
      </c>
      <c r="F550" t="str">
        <f t="shared" si="25"/>
        <v>000000-2024</v>
      </c>
      <c r="G550" s="13"/>
      <c r="H550" t="b">
        <f t="shared" si="26"/>
        <v>0</v>
      </c>
    </row>
    <row r="551" spans="2:8" x14ac:dyDescent="0.25">
      <c r="B551" s="76"/>
      <c r="C551" s="48"/>
      <c r="D551" t="b">
        <f t="shared" si="24"/>
        <v>1</v>
      </c>
      <c r="F551" t="str">
        <f t="shared" si="25"/>
        <v>000000-2024</v>
      </c>
      <c r="G551" s="13"/>
      <c r="H551" t="b">
        <f t="shared" si="26"/>
        <v>0</v>
      </c>
    </row>
    <row r="552" spans="2:8" x14ac:dyDescent="0.25">
      <c r="B552" s="76"/>
      <c r="C552" s="48"/>
      <c r="D552" t="b">
        <f t="shared" si="24"/>
        <v>1</v>
      </c>
      <c r="F552" t="str">
        <f t="shared" si="25"/>
        <v>000000-2024</v>
      </c>
      <c r="G552" s="13"/>
      <c r="H552" t="b">
        <f t="shared" si="26"/>
        <v>0</v>
      </c>
    </row>
    <row r="553" spans="2:8" x14ac:dyDescent="0.25">
      <c r="B553" s="76"/>
      <c r="C553" s="48"/>
      <c r="D553" t="b">
        <f t="shared" si="24"/>
        <v>1</v>
      </c>
      <c r="F553" t="str">
        <f t="shared" si="25"/>
        <v>000000-2024</v>
      </c>
      <c r="G553" s="13"/>
      <c r="H553" t="b">
        <f t="shared" si="26"/>
        <v>0</v>
      </c>
    </row>
    <row r="554" spans="2:8" x14ac:dyDescent="0.25">
      <c r="B554" s="76"/>
      <c r="C554" s="48"/>
      <c r="D554" t="b">
        <f t="shared" si="24"/>
        <v>1</v>
      </c>
      <c r="F554" t="str">
        <f t="shared" si="25"/>
        <v>000000-2024</v>
      </c>
      <c r="G554" s="13"/>
      <c r="H554" t="b">
        <f t="shared" si="26"/>
        <v>0</v>
      </c>
    </row>
    <row r="555" spans="2:8" x14ac:dyDescent="0.25">
      <c r="B555" s="76"/>
      <c r="C555" s="48"/>
      <c r="D555" t="b">
        <f t="shared" si="24"/>
        <v>1</v>
      </c>
      <c r="F555" t="str">
        <f t="shared" si="25"/>
        <v>000000-2024</v>
      </c>
      <c r="G555" s="13"/>
      <c r="H555" t="b">
        <f t="shared" si="26"/>
        <v>0</v>
      </c>
    </row>
    <row r="556" spans="2:8" x14ac:dyDescent="0.25">
      <c r="B556" s="76"/>
      <c r="C556" s="48"/>
      <c r="D556" t="b">
        <f t="shared" si="24"/>
        <v>1</v>
      </c>
      <c r="F556" t="str">
        <f t="shared" si="25"/>
        <v>000000-2024</v>
      </c>
      <c r="G556" s="13"/>
      <c r="H556" t="b">
        <f t="shared" si="26"/>
        <v>0</v>
      </c>
    </row>
    <row r="557" spans="2:8" x14ac:dyDescent="0.25">
      <c r="B557" s="76"/>
      <c r="C557" s="48"/>
      <c r="D557" t="b">
        <f t="shared" si="24"/>
        <v>1</v>
      </c>
      <c r="F557" t="str">
        <f t="shared" si="25"/>
        <v>000000-2024</v>
      </c>
      <c r="G557" s="13"/>
      <c r="H557" t="b">
        <f t="shared" si="26"/>
        <v>0</v>
      </c>
    </row>
    <row r="558" spans="2:8" ht="13.8" thickBot="1" x14ac:dyDescent="0.3">
      <c r="B558" s="78"/>
      <c r="C558" s="48"/>
      <c r="D558" t="b">
        <f t="shared" si="24"/>
        <v>1</v>
      </c>
      <c r="F558" t="str">
        <f t="shared" si="25"/>
        <v>000000-2024</v>
      </c>
      <c r="G558" s="43"/>
      <c r="H558" t="b">
        <f t="shared" si="26"/>
        <v>0</v>
      </c>
    </row>
    <row r="559" spans="2:8" x14ac:dyDescent="0.25">
      <c r="B559" s="75"/>
      <c r="C559" s="48"/>
      <c r="D559" t="b">
        <f t="shared" si="24"/>
        <v>1</v>
      </c>
      <c r="F559" t="str">
        <f t="shared" si="25"/>
        <v>000000-2024</v>
      </c>
      <c r="G559" s="42"/>
      <c r="H559" t="b">
        <f t="shared" si="26"/>
        <v>0</v>
      </c>
    </row>
    <row r="560" spans="2:8" x14ac:dyDescent="0.25">
      <c r="B560" s="76"/>
      <c r="C560" s="48"/>
      <c r="D560" t="b">
        <f t="shared" si="24"/>
        <v>1</v>
      </c>
      <c r="F560" t="str">
        <f t="shared" si="25"/>
        <v>000000-2024</v>
      </c>
      <c r="G560" s="13"/>
      <c r="H560" t="b">
        <f t="shared" si="26"/>
        <v>0</v>
      </c>
    </row>
    <row r="561" spans="2:8" x14ac:dyDescent="0.25">
      <c r="B561" s="76"/>
      <c r="C561" s="48"/>
      <c r="D561" t="b">
        <f t="shared" si="24"/>
        <v>1</v>
      </c>
      <c r="F561" t="str">
        <f t="shared" si="25"/>
        <v>000000-2024</v>
      </c>
      <c r="G561" s="13"/>
      <c r="H561" t="b">
        <f t="shared" si="26"/>
        <v>0</v>
      </c>
    </row>
    <row r="562" spans="2:8" x14ac:dyDescent="0.25">
      <c r="B562" s="76"/>
      <c r="C562" s="48"/>
      <c r="D562" t="b">
        <f t="shared" si="24"/>
        <v>1</v>
      </c>
      <c r="F562" t="str">
        <f t="shared" si="25"/>
        <v>000000-2024</v>
      </c>
      <c r="G562" s="13"/>
      <c r="H562" t="b">
        <f t="shared" si="26"/>
        <v>0</v>
      </c>
    </row>
    <row r="563" spans="2:8" x14ac:dyDescent="0.25">
      <c r="B563" s="76"/>
      <c r="C563" s="48"/>
      <c r="D563" t="b">
        <f t="shared" si="24"/>
        <v>1</v>
      </c>
      <c r="F563" t="str">
        <f t="shared" si="25"/>
        <v>000000-2024</v>
      </c>
      <c r="G563" s="13"/>
      <c r="H563" t="b">
        <f t="shared" si="26"/>
        <v>0</v>
      </c>
    </row>
    <row r="564" spans="2:8" x14ac:dyDescent="0.25">
      <c r="B564" s="76"/>
      <c r="C564" s="48"/>
      <c r="D564" t="b">
        <f t="shared" si="24"/>
        <v>1</v>
      </c>
      <c r="F564" t="str">
        <f t="shared" si="25"/>
        <v>000000-2024</v>
      </c>
      <c r="G564" s="13"/>
      <c r="H564" t="b">
        <f t="shared" si="26"/>
        <v>0</v>
      </c>
    </row>
    <row r="565" spans="2:8" x14ac:dyDescent="0.25">
      <c r="B565" s="76"/>
      <c r="C565" s="48"/>
      <c r="D565" t="b">
        <f t="shared" si="24"/>
        <v>1</v>
      </c>
      <c r="F565" t="str">
        <f t="shared" si="25"/>
        <v>000000-2024</v>
      </c>
      <c r="G565" s="13"/>
      <c r="H565" t="b">
        <f t="shared" si="26"/>
        <v>0</v>
      </c>
    </row>
    <row r="566" spans="2:8" x14ac:dyDescent="0.25">
      <c r="B566" s="76"/>
      <c r="C566" s="48"/>
      <c r="D566" t="b">
        <f t="shared" si="24"/>
        <v>1</v>
      </c>
      <c r="F566" t="str">
        <f t="shared" si="25"/>
        <v>000000-2024</v>
      </c>
      <c r="G566" s="13"/>
      <c r="H566" t="b">
        <f t="shared" si="26"/>
        <v>0</v>
      </c>
    </row>
    <row r="567" spans="2:8" x14ac:dyDescent="0.25">
      <c r="B567" s="76"/>
      <c r="C567" s="48"/>
      <c r="D567" t="b">
        <f t="shared" si="24"/>
        <v>1</v>
      </c>
      <c r="F567" t="str">
        <f t="shared" si="25"/>
        <v>000000-2024</v>
      </c>
      <c r="G567" s="13"/>
      <c r="H567" t="b">
        <f t="shared" si="26"/>
        <v>0</v>
      </c>
    </row>
    <row r="568" spans="2:8" x14ac:dyDescent="0.25">
      <c r="B568" s="76"/>
      <c r="C568" s="48"/>
      <c r="D568" t="b">
        <f t="shared" si="24"/>
        <v>1</v>
      </c>
      <c r="F568" t="str">
        <f t="shared" si="25"/>
        <v>000000-2024</v>
      </c>
      <c r="G568" s="13"/>
      <c r="H568" t="b">
        <f t="shared" si="26"/>
        <v>0</v>
      </c>
    </row>
    <row r="569" spans="2:8" x14ac:dyDescent="0.25">
      <c r="B569" s="76"/>
      <c r="C569" s="48"/>
      <c r="D569" t="b">
        <f t="shared" si="24"/>
        <v>1</v>
      </c>
      <c r="F569" t="str">
        <f t="shared" si="25"/>
        <v>000000-2024</v>
      </c>
      <c r="G569" s="13"/>
      <c r="H569" t="b">
        <f t="shared" si="26"/>
        <v>0</v>
      </c>
    </row>
    <row r="570" spans="2:8" x14ac:dyDescent="0.25">
      <c r="B570" s="76"/>
      <c r="C570" s="48"/>
      <c r="D570" t="b">
        <f t="shared" si="24"/>
        <v>1</v>
      </c>
      <c r="F570" t="str">
        <f t="shared" si="25"/>
        <v>000000-2024</v>
      </c>
      <c r="G570" s="13"/>
      <c r="H570" t="b">
        <f t="shared" si="26"/>
        <v>0</v>
      </c>
    </row>
    <row r="571" spans="2:8" x14ac:dyDescent="0.25">
      <c r="B571" s="76"/>
      <c r="C571" s="48"/>
      <c r="D571" t="b">
        <f t="shared" si="24"/>
        <v>1</v>
      </c>
      <c r="F571" t="str">
        <f t="shared" si="25"/>
        <v>000000-2024</v>
      </c>
      <c r="G571" s="13"/>
      <c r="H571" t="b">
        <f t="shared" si="26"/>
        <v>0</v>
      </c>
    </row>
    <row r="572" spans="2:8" x14ac:dyDescent="0.25">
      <c r="B572" s="76"/>
      <c r="C572" s="48"/>
      <c r="D572" t="b">
        <f t="shared" si="24"/>
        <v>1</v>
      </c>
      <c r="F572" t="str">
        <f t="shared" si="25"/>
        <v>000000-2024</v>
      </c>
      <c r="G572" s="13"/>
      <c r="H572" t="b">
        <f t="shared" si="26"/>
        <v>0</v>
      </c>
    </row>
    <row r="573" spans="2:8" ht="13.8" thickBot="1" x14ac:dyDescent="0.3">
      <c r="B573" s="78"/>
      <c r="C573" s="48"/>
      <c r="D573" t="b">
        <f t="shared" si="24"/>
        <v>1</v>
      </c>
      <c r="F573" t="str">
        <f t="shared" si="25"/>
        <v>000000-2024</v>
      </c>
      <c r="G573" s="43"/>
      <c r="H573" t="b">
        <f t="shared" si="26"/>
        <v>0</v>
      </c>
    </row>
    <row r="574" spans="2:8" x14ac:dyDescent="0.25">
      <c r="B574" s="75"/>
      <c r="C574" s="48"/>
      <c r="D574" t="b">
        <f t="shared" si="24"/>
        <v>1</v>
      </c>
      <c r="F574" t="str">
        <f t="shared" si="25"/>
        <v>000000-2024</v>
      </c>
      <c r="G574" s="42"/>
      <c r="H574" t="b">
        <f t="shared" si="26"/>
        <v>0</v>
      </c>
    </row>
    <row r="575" spans="2:8" x14ac:dyDescent="0.25">
      <c r="B575" s="76"/>
      <c r="C575" s="48"/>
      <c r="D575" t="b">
        <f t="shared" si="24"/>
        <v>1</v>
      </c>
      <c r="F575" t="str">
        <f t="shared" si="25"/>
        <v>000000-2024</v>
      </c>
      <c r="G575" s="13"/>
      <c r="H575" t="b">
        <f t="shared" si="26"/>
        <v>0</v>
      </c>
    </row>
    <row r="576" spans="2:8" x14ac:dyDescent="0.25">
      <c r="B576" s="76"/>
      <c r="C576" s="48"/>
      <c r="D576" t="b">
        <f t="shared" si="24"/>
        <v>1</v>
      </c>
      <c r="F576" t="str">
        <f t="shared" si="25"/>
        <v>000000-2024</v>
      </c>
      <c r="G576" s="13"/>
      <c r="H576" t="b">
        <f t="shared" si="26"/>
        <v>0</v>
      </c>
    </row>
    <row r="577" spans="2:8" x14ac:dyDescent="0.25">
      <c r="B577" s="76"/>
      <c r="C577" s="48"/>
      <c r="D577" t="b">
        <f t="shared" si="24"/>
        <v>1</v>
      </c>
      <c r="F577" t="str">
        <f t="shared" si="25"/>
        <v>000000-2024</v>
      </c>
      <c r="G577" s="13"/>
      <c r="H577" t="b">
        <f t="shared" si="26"/>
        <v>0</v>
      </c>
    </row>
    <row r="578" spans="2:8" x14ac:dyDescent="0.25">
      <c r="B578" s="76"/>
      <c r="C578" s="48"/>
      <c r="D578" t="b">
        <f t="shared" si="24"/>
        <v>1</v>
      </c>
      <c r="F578" t="str">
        <f t="shared" si="25"/>
        <v>000000-2024</v>
      </c>
      <c r="G578" s="13"/>
      <c r="H578" t="b">
        <f t="shared" si="26"/>
        <v>0</v>
      </c>
    </row>
    <row r="579" spans="2:8" x14ac:dyDescent="0.25">
      <c r="B579" s="76"/>
      <c r="C579" s="48"/>
      <c r="D579" t="b">
        <f t="shared" si="24"/>
        <v>1</v>
      </c>
      <c r="F579" t="str">
        <f t="shared" si="25"/>
        <v>000000-2024</v>
      </c>
      <c r="G579" s="13"/>
      <c r="H579" t="b">
        <f t="shared" si="26"/>
        <v>0</v>
      </c>
    </row>
    <row r="580" spans="2:8" x14ac:dyDescent="0.25">
      <c r="B580" s="76"/>
      <c r="C580" s="48"/>
      <c r="D580" t="b">
        <f t="shared" si="24"/>
        <v>1</v>
      </c>
      <c r="F580" t="str">
        <f t="shared" si="25"/>
        <v>000000-2024</v>
      </c>
      <c r="G580" s="13"/>
      <c r="H580" t="b">
        <f t="shared" si="26"/>
        <v>0</v>
      </c>
    </row>
    <row r="581" spans="2:8" x14ac:dyDescent="0.25">
      <c r="B581" s="76"/>
      <c r="C581" s="48"/>
      <c r="D581" t="b">
        <f t="shared" ref="D581:D644" si="27">B581=C581</f>
        <v>1</v>
      </c>
      <c r="F581" t="str">
        <f t="shared" ref="F581:F644" si="28">TEXT(E581,"000000")&amp;"-2024"</f>
        <v>000000-2024</v>
      </c>
      <c r="G581" s="13"/>
      <c r="H581" t="b">
        <f t="shared" ref="H581:H644" si="29">F581=G581</f>
        <v>0</v>
      </c>
    </row>
    <row r="582" spans="2:8" x14ac:dyDescent="0.25">
      <c r="B582" s="76"/>
      <c r="C582" s="48"/>
      <c r="D582" t="b">
        <f t="shared" si="27"/>
        <v>1</v>
      </c>
      <c r="F582" t="str">
        <f t="shared" si="28"/>
        <v>000000-2024</v>
      </c>
      <c r="G582" s="13"/>
      <c r="H582" t="b">
        <f t="shared" si="29"/>
        <v>0</v>
      </c>
    </row>
    <row r="583" spans="2:8" x14ac:dyDescent="0.25">
      <c r="B583" s="76"/>
      <c r="C583" s="48"/>
      <c r="D583" t="b">
        <f t="shared" si="27"/>
        <v>1</v>
      </c>
      <c r="F583" t="str">
        <f t="shared" si="28"/>
        <v>000000-2024</v>
      </c>
      <c r="G583" s="13"/>
      <c r="H583" t="b">
        <f t="shared" si="29"/>
        <v>0</v>
      </c>
    </row>
    <row r="584" spans="2:8" x14ac:dyDescent="0.25">
      <c r="B584" s="76"/>
      <c r="C584" s="48"/>
      <c r="D584" t="b">
        <f t="shared" si="27"/>
        <v>1</v>
      </c>
      <c r="F584" t="str">
        <f t="shared" si="28"/>
        <v>000000-2024</v>
      </c>
      <c r="G584" s="13"/>
      <c r="H584" t="b">
        <f t="shared" si="29"/>
        <v>0</v>
      </c>
    </row>
    <row r="585" spans="2:8" x14ac:dyDescent="0.25">
      <c r="B585" s="76"/>
      <c r="C585" s="48"/>
      <c r="D585" t="b">
        <f t="shared" si="27"/>
        <v>1</v>
      </c>
      <c r="F585" t="str">
        <f t="shared" si="28"/>
        <v>000000-2024</v>
      </c>
      <c r="G585" s="13"/>
      <c r="H585" t="b">
        <f t="shared" si="29"/>
        <v>0</v>
      </c>
    </row>
    <row r="586" spans="2:8" x14ac:dyDescent="0.25">
      <c r="B586" s="76"/>
      <c r="C586" s="48"/>
      <c r="D586" t="b">
        <f t="shared" si="27"/>
        <v>1</v>
      </c>
      <c r="F586" t="str">
        <f t="shared" si="28"/>
        <v>000000-2024</v>
      </c>
      <c r="G586" s="13"/>
      <c r="H586" t="b">
        <f t="shared" si="29"/>
        <v>0</v>
      </c>
    </row>
    <row r="587" spans="2:8" x14ac:dyDescent="0.25">
      <c r="B587" s="76"/>
      <c r="C587" s="48"/>
      <c r="D587" t="b">
        <f t="shared" si="27"/>
        <v>1</v>
      </c>
      <c r="F587" t="str">
        <f t="shared" si="28"/>
        <v>000000-2024</v>
      </c>
      <c r="G587" s="13"/>
      <c r="H587" t="b">
        <f t="shared" si="29"/>
        <v>0</v>
      </c>
    </row>
    <row r="588" spans="2:8" ht="13.8" thickBot="1" x14ac:dyDescent="0.3">
      <c r="B588" s="78"/>
      <c r="C588" s="48"/>
      <c r="D588" t="b">
        <f t="shared" si="27"/>
        <v>1</v>
      </c>
      <c r="F588" t="str">
        <f t="shared" si="28"/>
        <v>000000-2024</v>
      </c>
      <c r="G588" s="43"/>
      <c r="H588" t="b">
        <f t="shared" si="29"/>
        <v>0</v>
      </c>
    </row>
    <row r="589" spans="2:8" x14ac:dyDescent="0.25">
      <c r="B589" s="75"/>
      <c r="C589" s="48"/>
      <c r="D589" t="b">
        <f t="shared" si="27"/>
        <v>1</v>
      </c>
      <c r="F589" t="str">
        <f t="shared" si="28"/>
        <v>000000-2024</v>
      </c>
      <c r="G589" s="42"/>
      <c r="H589" t="b">
        <f t="shared" si="29"/>
        <v>0</v>
      </c>
    </row>
    <row r="590" spans="2:8" x14ac:dyDescent="0.25">
      <c r="B590" s="76"/>
      <c r="C590" s="48"/>
      <c r="D590" t="b">
        <f t="shared" si="27"/>
        <v>1</v>
      </c>
      <c r="F590" t="str">
        <f t="shared" si="28"/>
        <v>000000-2024</v>
      </c>
      <c r="G590" s="13"/>
      <c r="H590" t="b">
        <f t="shared" si="29"/>
        <v>0</v>
      </c>
    </row>
    <row r="591" spans="2:8" x14ac:dyDescent="0.25">
      <c r="B591" s="76"/>
      <c r="C591" s="48"/>
      <c r="D591" t="b">
        <f t="shared" si="27"/>
        <v>1</v>
      </c>
      <c r="F591" t="str">
        <f t="shared" si="28"/>
        <v>000000-2024</v>
      </c>
      <c r="G591" s="13"/>
      <c r="H591" t="b">
        <f t="shared" si="29"/>
        <v>0</v>
      </c>
    </row>
    <row r="592" spans="2:8" x14ac:dyDescent="0.25">
      <c r="B592" s="76"/>
      <c r="C592" s="48"/>
      <c r="D592" t="b">
        <f t="shared" si="27"/>
        <v>1</v>
      </c>
      <c r="F592" t="str">
        <f t="shared" si="28"/>
        <v>000000-2024</v>
      </c>
      <c r="G592" s="13"/>
      <c r="H592" t="b">
        <f t="shared" si="29"/>
        <v>0</v>
      </c>
    </row>
    <row r="593" spans="2:8" x14ac:dyDescent="0.25">
      <c r="B593" s="76"/>
      <c r="C593" s="48"/>
      <c r="D593" t="b">
        <f t="shared" si="27"/>
        <v>1</v>
      </c>
      <c r="F593" t="str">
        <f t="shared" si="28"/>
        <v>000000-2024</v>
      </c>
      <c r="G593" s="13"/>
      <c r="H593" t="b">
        <f t="shared" si="29"/>
        <v>0</v>
      </c>
    </row>
    <row r="594" spans="2:8" x14ac:dyDescent="0.25">
      <c r="B594" s="76"/>
      <c r="C594" s="48"/>
      <c r="D594" t="b">
        <f t="shared" si="27"/>
        <v>1</v>
      </c>
      <c r="F594" t="str">
        <f t="shared" si="28"/>
        <v>000000-2024</v>
      </c>
      <c r="G594" s="13"/>
      <c r="H594" t="b">
        <f t="shared" si="29"/>
        <v>0</v>
      </c>
    </row>
    <row r="595" spans="2:8" x14ac:dyDescent="0.25">
      <c r="B595" s="76"/>
      <c r="C595" s="48"/>
      <c r="D595" t="b">
        <f t="shared" si="27"/>
        <v>1</v>
      </c>
      <c r="F595" t="str">
        <f t="shared" si="28"/>
        <v>000000-2024</v>
      </c>
      <c r="G595" s="13"/>
      <c r="H595" t="b">
        <f t="shared" si="29"/>
        <v>0</v>
      </c>
    </row>
    <row r="596" spans="2:8" x14ac:dyDescent="0.25">
      <c r="B596" s="76"/>
      <c r="C596" s="48"/>
      <c r="D596" t="b">
        <f t="shared" si="27"/>
        <v>1</v>
      </c>
      <c r="F596" t="str">
        <f t="shared" si="28"/>
        <v>000000-2024</v>
      </c>
      <c r="G596" s="13"/>
      <c r="H596" t="b">
        <f t="shared" si="29"/>
        <v>0</v>
      </c>
    </row>
    <row r="597" spans="2:8" x14ac:dyDescent="0.25">
      <c r="B597" s="76"/>
      <c r="C597" s="48"/>
      <c r="D597" t="b">
        <f t="shared" si="27"/>
        <v>1</v>
      </c>
      <c r="F597" t="str">
        <f t="shared" si="28"/>
        <v>000000-2024</v>
      </c>
      <c r="G597" s="13"/>
      <c r="H597" t="b">
        <f t="shared" si="29"/>
        <v>0</v>
      </c>
    </row>
    <row r="598" spans="2:8" x14ac:dyDescent="0.25">
      <c r="B598" s="76"/>
      <c r="C598" s="48"/>
      <c r="D598" t="b">
        <f t="shared" si="27"/>
        <v>1</v>
      </c>
      <c r="F598" t="str">
        <f t="shared" si="28"/>
        <v>000000-2024</v>
      </c>
      <c r="G598" s="13"/>
      <c r="H598" t="b">
        <f t="shared" si="29"/>
        <v>0</v>
      </c>
    </row>
    <row r="599" spans="2:8" x14ac:dyDescent="0.25">
      <c r="B599" s="76"/>
      <c r="C599" s="48"/>
      <c r="D599" t="b">
        <f t="shared" si="27"/>
        <v>1</v>
      </c>
      <c r="F599" t="str">
        <f t="shared" si="28"/>
        <v>000000-2024</v>
      </c>
      <c r="G599" s="13"/>
      <c r="H599" t="b">
        <f t="shared" si="29"/>
        <v>0</v>
      </c>
    </row>
    <row r="600" spans="2:8" x14ac:dyDescent="0.25">
      <c r="B600" s="76"/>
      <c r="C600" s="48"/>
      <c r="D600" t="b">
        <f t="shared" si="27"/>
        <v>1</v>
      </c>
      <c r="F600" t="str">
        <f t="shared" si="28"/>
        <v>000000-2024</v>
      </c>
      <c r="G600" s="13"/>
      <c r="H600" t="b">
        <f t="shared" si="29"/>
        <v>0</v>
      </c>
    </row>
    <row r="601" spans="2:8" x14ac:dyDescent="0.25">
      <c r="B601" s="76"/>
      <c r="C601" s="48"/>
      <c r="D601" t="b">
        <f t="shared" si="27"/>
        <v>1</v>
      </c>
      <c r="F601" t="str">
        <f t="shared" si="28"/>
        <v>000000-2024</v>
      </c>
      <c r="G601" s="13"/>
      <c r="H601" t="b">
        <f t="shared" si="29"/>
        <v>0</v>
      </c>
    </row>
    <row r="602" spans="2:8" x14ac:dyDescent="0.25">
      <c r="B602" s="76"/>
      <c r="C602" s="48"/>
      <c r="D602" t="b">
        <f t="shared" si="27"/>
        <v>1</v>
      </c>
      <c r="F602" t="str">
        <f t="shared" si="28"/>
        <v>000000-2024</v>
      </c>
      <c r="G602" s="13"/>
      <c r="H602" t="b">
        <f t="shared" si="29"/>
        <v>0</v>
      </c>
    </row>
    <row r="603" spans="2:8" ht="13.8" thickBot="1" x14ac:dyDescent="0.3">
      <c r="B603" s="78"/>
      <c r="C603" s="48"/>
      <c r="D603" t="b">
        <f t="shared" si="27"/>
        <v>1</v>
      </c>
      <c r="F603" t="str">
        <f t="shared" si="28"/>
        <v>000000-2024</v>
      </c>
      <c r="G603" s="43"/>
      <c r="H603" t="b">
        <f t="shared" si="29"/>
        <v>0</v>
      </c>
    </row>
    <row r="604" spans="2:8" x14ac:dyDescent="0.25">
      <c r="B604" s="69"/>
      <c r="C604" s="48"/>
      <c r="D604" t="b">
        <f t="shared" si="27"/>
        <v>1</v>
      </c>
      <c r="F604" t="str">
        <f t="shared" si="28"/>
        <v>000000-2024</v>
      </c>
      <c r="G604" s="13"/>
      <c r="H604" t="b">
        <f t="shared" si="29"/>
        <v>0</v>
      </c>
    </row>
    <row r="605" spans="2:8" x14ac:dyDescent="0.25">
      <c r="B605" s="69"/>
      <c r="C605" s="48"/>
      <c r="D605" t="b">
        <f t="shared" si="27"/>
        <v>1</v>
      </c>
      <c r="F605" t="str">
        <f t="shared" si="28"/>
        <v>000000-2024</v>
      </c>
      <c r="G605" s="13"/>
      <c r="H605" t="b">
        <f t="shared" si="29"/>
        <v>0</v>
      </c>
    </row>
    <row r="606" spans="2:8" x14ac:dyDescent="0.25">
      <c r="B606" s="69"/>
      <c r="C606" s="48"/>
      <c r="D606" t="b">
        <f t="shared" si="27"/>
        <v>1</v>
      </c>
      <c r="F606" t="str">
        <f t="shared" si="28"/>
        <v>000000-2024</v>
      </c>
      <c r="G606" s="13"/>
      <c r="H606" t="b">
        <f t="shared" si="29"/>
        <v>0</v>
      </c>
    </row>
    <row r="607" spans="2:8" x14ac:dyDescent="0.25">
      <c r="B607" s="69"/>
      <c r="C607" s="48"/>
      <c r="D607" t="b">
        <f t="shared" si="27"/>
        <v>1</v>
      </c>
      <c r="F607" t="str">
        <f t="shared" si="28"/>
        <v>000000-2024</v>
      </c>
      <c r="G607" s="13"/>
      <c r="H607" t="b">
        <f t="shared" si="29"/>
        <v>0</v>
      </c>
    </row>
    <row r="608" spans="2:8" x14ac:dyDescent="0.25">
      <c r="B608" s="69"/>
      <c r="C608" s="48"/>
      <c r="D608" t="b">
        <f t="shared" si="27"/>
        <v>1</v>
      </c>
      <c r="F608" t="str">
        <f t="shared" si="28"/>
        <v>000000-2024</v>
      </c>
      <c r="G608" s="13"/>
      <c r="H608" t="b">
        <f t="shared" si="29"/>
        <v>0</v>
      </c>
    </row>
    <row r="609" spans="2:8" x14ac:dyDescent="0.25">
      <c r="B609" s="69"/>
      <c r="C609" s="48"/>
      <c r="D609" t="b">
        <f t="shared" si="27"/>
        <v>1</v>
      </c>
      <c r="F609" t="str">
        <f t="shared" si="28"/>
        <v>000000-2024</v>
      </c>
      <c r="G609" s="13"/>
      <c r="H609" t="b">
        <f t="shared" si="29"/>
        <v>0</v>
      </c>
    </row>
    <row r="610" spans="2:8" x14ac:dyDescent="0.25">
      <c r="B610" s="69"/>
      <c r="C610" s="48"/>
      <c r="D610" t="b">
        <f t="shared" si="27"/>
        <v>1</v>
      </c>
      <c r="F610" t="str">
        <f t="shared" si="28"/>
        <v>000000-2024</v>
      </c>
      <c r="G610" s="13"/>
      <c r="H610" t="b">
        <f t="shared" si="29"/>
        <v>0</v>
      </c>
    </row>
    <row r="611" spans="2:8" x14ac:dyDescent="0.25">
      <c r="B611" s="69"/>
      <c r="C611" s="48"/>
      <c r="D611" t="b">
        <f t="shared" si="27"/>
        <v>1</v>
      </c>
      <c r="F611" t="str">
        <f t="shared" si="28"/>
        <v>000000-2024</v>
      </c>
      <c r="G611" s="13"/>
      <c r="H611" t="b">
        <f t="shared" si="29"/>
        <v>0</v>
      </c>
    </row>
    <row r="612" spans="2:8" x14ac:dyDescent="0.25">
      <c r="B612" s="69"/>
      <c r="C612" s="48"/>
      <c r="D612" t="b">
        <f t="shared" si="27"/>
        <v>1</v>
      </c>
      <c r="F612" t="str">
        <f t="shared" si="28"/>
        <v>000000-2024</v>
      </c>
      <c r="G612" s="13"/>
      <c r="H612" t="b">
        <f t="shared" si="29"/>
        <v>0</v>
      </c>
    </row>
    <row r="613" spans="2:8" x14ac:dyDescent="0.25">
      <c r="B613" s="69"/>
      <c r="C613" s="48"/>
      <c r="D613" t="b">
        <f t="shared" si="27"/>
        <v>1</v>
      </c>
      <c r="F613" t="str">
        <f t="shared" si="28"/>
        <v>000000-2024</v>
      </c>
      <c r="G613" s="13"/>
      <c r="H613" t="b">
        <f t="shared" si="29"/>
        <v>0</v>
      </c>
    </row>
    <row r="614" spans="2:8" x14ac:dyDescent="0.25">
      <c r="B614" s="69"/>
      <c r="C614" s="48"/>
      <c r="D614" t="b">
        <f t="shared" si="27"/>
        <v>1</v>
      </c>
      <c r="F614" t="str">
        <f t="shared" si="28"/>
        <v>000000-2024</v>
      </c>
      <c r="G614" s="13"/>
      <c r="H614" t="b">
        <f t="shared" si="29"/>
        <v>0</v>
      </c>
    </row>
    <row r="615" spans="2:8" x14ac:dyDescent="0.25">
      <c r="B615" s="69"/>
      <c r="C615" s="48"/>
      <c r="D615" t="b">
        <f t="shared" si="27"/>
        <v>1</v>
      </c>
      <c r="F615" t="str">
        <f t="shared" si="28"/>
        <v>000000-2024</v>
      </c>
      <c r="G615" s="13"/>
      <c r="H615" t="b">
        <f t="shared" si="29"/>
        <v>0</v>
      </c>
    </row>
    <row r="616" spans="2:8" x14ac:dyDescent="0.25">
      <c r="B616" s="69"/>
      <c r="C616" s="48"/>
      <c r="D616" t="b">
        <f t="shared" si="27"/>
        <v>1</v>
      </c>
      <c r="F616" t="str">
        <f t="shared" si="28"/>
        <v>000000-2024</v>
      </c>
      <c r="G616" s="13"/>
      <c r="H616" t="b">
        <f t="shared" si="29"/>
        <v>0</v>
      </c>
    </row>
    <row r="617" spans="2:8" x14ac:dyDescent="0.25">
      <c r="B617" s="69"/>
      <c r="C617" s="48"/>
      <c r="D617" t="b">
        <f t="shared" si="27"/>
        <v>1</v>
      </c>
      <c r="F617" t="str">
        <f t="shared" si="28"/>
        <v>000000-2024</v>
      </c>
      <c r="G617" s="13"/>
      <c r="H617" t="b">
        <f t="shared" si="29"/>
        <v>0</v>
      </c>
    </row>
    <row r="618" spans="2:8" ht="13.8" thickBot="1" x14ac:dyDescent="0.3">
      <c r="B618" s="69"/>
      <c r="C618" s="48"/>
      <c r="D618" t="b">
        <f t="shared" si="27"/>
        <v>1</v>
      </c>
      <c r="F618" t="str">
        <f t="shared" si="28"/>
        <v>000000-2024</v>
      </c>
      <c r="G618" s="43"/>
      <c r="H618" t="b">
        <f t="shared" si="29"/>
        <v>0</v>
      </c>
    </row>
    <row r="619" spans="2:8" x14ac:dyDescent="0.25">
      <c r="B619" s="69"/>
      <c r="C619" s="48"/>
      <c r="D619" t="b">
        <f t="shared" si="27"/>
        <v>1</v>
      </c>
      <c r="F619" t="str">
        <f t="shared" si="28"/>
        <v>000000-2024</v>
      </c>
      <c r="G619" s="46"/>
      <c r="H619" t="b">
        <f t="shared" si="29"/>
        <v>0</v>
      </c>
    </row>
    <row r="620" spans="2:8" x14ac:dyDescent="0.25">
      <c r="B620" s="69"/>
      <c r="C620" s="48"/>
      <c r="D620" t="b">
        <f t="shared" si="27"/>
        <v>1</v>
      </c>
      <c r="F620" t="str">
        <f t="shared" si="28"/>
        <v>000000-2024</v>
      </c>
      <c r="G620" s="13"/>
      <c r="H620" t="b">
        <f t="shared" si="29"/>
        <v>0</v>
      </c>
    </row>
    <row r="621" spans="2:8" x14ac:dyDescent="0.25">
      <c r="B621" s="69"/>
      <c r="C621" s="48"/>
      <c r="D621" t="b">
        <f t="shared" si="27"/>
        <v>1</v>
      </c>
      <c r="F621" t="str">
        <f t="shared" si="28"/>
        <v>000000-2024</v>
      </c>
      <c r="G621" s="13"/>
      <c r="H621" t="b">
        <f t="shared" si="29"/>
        <v>0</v>
      </c>
    </row>
    <row r="622" spans="2:8" x14ac:dyDescent="0.25">
      <c r="B622" s="69"/>
      <c r="C622" s="48"/>
      <c r="D622" t="b">
        <f t="shared" si="27"/>
        <v>1</v>
      </c>
      <c r="F622" t="str">
        <f t="shared" si="28"/>
        <v>000000-2024</v>
      </c>
      <c r="G622" s="13"/>
      <c r="H622" t="b">
        <f t="shared" si="29"/>
        <v>0</v>
      </c>
    </row>
    <row r="623" spans="2:8" x14ac:dyDescent="0.25">
      <c r="B623" s="69"/>
      <c r="C623" s="48"/>
      <c r="D623" t="b">
        <f t="shared" si="27"/>
        <v>1</v>
      </c>
      <c r="F623" t="str">
        <f t="shared" si="28"/>
        <v>000000-2024</v>
      </c>
      <c r="G623" s="13"/>
      <c r="H623" t="b">
        <f t="shared" si="29"/>
        <v>0</v>
      </c>
    </row>
    <row r="624" spans="2:8" x14ac:dyDescent="0.25">
      <c r="B624" s="69"/>
      <c r="C624" s="48"/>
      <c r="D624" t="b">
        <f t="shared" si="27"/>
        <v>1</v>
      </c>
      <c r="F624" t="str">
        <f t="shared" si="28"/>
        <v>000000-2024</v>
      </c>
      <c r="G624" s="13"/>
      <c r="H624" t="b">
        <f t="shared" si="29"/>
        <v>0</v>
      </c>
    </row>
    <row r="625" spans="2:8" x14ac:dyDescent="0.25">
      <c r="B625" s="69"/>
      <c r="C625" s="48"/>
      <c r="D625" t="b">
        <f t="shared" si="27"/>
        <v>1</v>
      </c>
      <c r="F625" t="str">
        <f t="shared" si="28"/>
        <v>000000-2024</v>
      </c>
      <c r="G625" s="13"/>
      <c r="H625" t="b">
        <f t="shared" si="29"/>
        <v>0</v>
      </c>
    </row>
    <row r="626" spans="2:8" x14ac:dyDescent="0.25">
      <c r="B626" s="69"/>
      <c r="C626" s="48"/>
      <c r="D626" t="b">
        <f t="shared" si="27"/>
        <v>1</v>
      </c>
      <c r="F626" t="str">
        <f t="shared" si="28"/>
        <v>000000-2024</v>
      </c>
      <c r="G626" s="13"/>
      <c r="H626" t="b">
        <f t="shared" si="29"/>
        <v>0</v>
      </c>
    </row>
    <row r="627" spans="2:8" x14ac:dyDescent="0.25">
      <c r="B627" s="69"/>
      <c r="C627" s="48"/>
      <c r="D627" t="b">
        <f t="shared" si="27"/>
        <v>1</v>
      </c>
      <c r="F627" t="str">
        <f t="shared" si="28"/>
        <v>000000-2024</v>
      </c>
      <c r="G627" s="13"/>
      <c r="H627" t="b">
        <f t="shared" si="29"/>
        <v>0</v>
      </c>
    </row>
    <row r="628" spans="2:8" x14ac:dyDescent="0.25">
      <c r="B628" s="69"/>
      <c r="C628" s="48"/>
      <c r="D628" t="b">
        <f t="shared" si="27"/>
        <v>1</v>
      </c>
      <c r="F628" t="str">
        <f t="shared" si="28"/>
        <v>000000-2024</v>
      </c>
      <c r="G628" s="13"/>
      <c r="H628" t="b">
        <f t="shared" si="29"/>
        <v>0</v>
      </c>
    </row>
    <row r="629" spans="2:8" x14ac:dyDescent="0.25">
      <c r="B629" s="69"/>
      <c r="C629" s="48"/>
      <c r="D629" t="b">
        <f t="shared" si="27"/>
        <v>1</v>
      </c>
      <c r="F629" t="str">
        <f t="shared" si="28"/>
        <v>000000-2024</v>
      </c>
      <c r="G629" s="13"/>
      <c r="H629" t="b">
        <f t="shared" si="29"/>
        <v>0</v>
      </c>
    </row>
    <row r="630" spans="2:8" x14ac:dyDescent="0.25">
      <c r="B630" s="69"/>
      <c r="C630" s="48"/>
      <c r="D630" t="b">
        <f t="shared" si="27"/>
        <v>1</v>
      </c>
      <c r="F630" t="str">
        <f t="shared" si="28"/>
        <v>000000-2024</v>
      </c>
      <c r="G630" s="13"/>
      <c r="H630" t="b">
        <f t="shared" si="29"/>
        <v>0</v>
      </c>
    </row>
    <row r="631" spans="2:8" x14ac:dyDescent="0.25">
      <c r="B631" s="69"/>
      <c r="C631" s="48"/>
      <c r="D631" t="b">
        <f t="shared" si="27"/>
        <v>1</v>
      </c>
      <c r="F631" t="str">
        <f t="shared" si="28"/>
        <v>000000-2024</v>
      </c>
      <c r="G631" s="13"/>
      <c r="H631" t="b">
        <f t="shared" si="29"/>
        <v>0</v>
      </c>
    </row>
    <row r="632" spans="2:8" x14ac:dyDescent="0.25">
      <c r="B632" s="69"/>
      <c r="C632" s="48"/>
      <c r="D632" t="b">
        <f t="shared" si="27"/>
        <v>1</v>
      </c>
      <c r="F632" t="str">
        <f t="shared" si="28"/>
        <v>000000-2024</v>
      </c>
      <c r="G632" s="13"/>
      <c r="H632" t="b">
        <f t="shared" si="29"/>
        <v>0</v>
      </c>
    </row>
    <row r="633" spans="2:8" ht="13.8" thickBot="1" x14ac:dyDescent="0.3">
      <c r="B633" s="69"/>
      <c r="C633" s="48"/>
      <c r="D633" t="b">
        <f t="shared" si="27"/>
        <v>1</v>
      </c>
      <c r="F633" t="str">
        <f t="shared" si="28"/>
        <v>000000-2024</v>
      </c>
      <c r="G633" s="43"/>
      <c r="H633" t="b">
        <f t="shared" si="29"/>
        <v>0</v>
      </c>
    </row>
    <row r="634" spans="2:8" x14ac:dyDescent="0.25">
      <c r="B634" s="69"/>
      <c r="C634" s="48"/>
      <c r="D634" t="b">
        <f t="shared" si="27"/>
        <v>1</v>
      </c>
      <c r="F634" t="str">
        <f t="shared" si="28"/>
        <v>000000-2024</v>
      </c>
      <c r="G634" s="46"/>
      <c r="H634" t="b">
        <f t="shared" si="29"/>
        <v>0</v>
      </c>
    </row>
    <row r="635" spans="2:8" x14ac:dyDescent="0.25">
      <c r="B635" s="69"/>
      <c r="C635" s="48"/>
      <c r="D635" t="b">
        <f t="shared" si="27"/>
        <v>1</v>
      </c>
      <c r="F635" t="str">
        <f t="shared" si="28"/>
        <v>000000-2024</v>
      </c>
      <c r="G635" s="13"/>
      <c r="H635" t="b">
        <f t="shared" si="29"/>
        <v>0</v>
      </c>
    </row>
    <row r="636" spans="2:8" x14ac:dyDescent="0.25">
      <c r="B636" s="69"/>
      <c r="C636" s="48"/>
      <c r="D636" t="b">
        <f t="shared" si="27"/>
        <v>1</v>
      </c>
      <c r="F636" t="str">
        <f t="shared" si="28"/>
        <v>000000-2024</v>
      </c>
      <c r="G636" s="13"/>
      <c r="H636" t="b">
        <f t="shared" si="29"/>
        <v>0</v>
      </c>
    </row>
    <row r="637" spans="2:8" x14ac:dyDescent="0.25">
      <c r="B637" s="69"/>
      <c r="C637" s="48"/>
      <c r="D637" t="b">
        <f t="shared" si="27"/>
        <v>1</v>
      </c>
      <c r="F637" t="str">
        <f t="shared" si="28"/>
        <v>000000-2024</v>
      </c>
      <c r="G637" s="13"/>
      <c r="H637" t="b">
        <f t="shared" si="29"/>
        <v>0</v>
      </c>
    </row>
    <row r="638" spans="2:8" x14ac:dyDescent="0.25">
      <c r="B638" s="69"/>
      <c r="C638" s="48"/>
      <c r="D638" t="b">
        <f t="shared" si="27"/>
        <v>1</v>
      </c>
      <c r="F638" t="str">
        <f t="shared" si="28"/>
        <v>000000-2024</v>
      </c>
      <c r="G638" s="13"/>
      <c r="H638" t="b">
        <f t="shared" si="29"/>
        <v>0</v>
      </c>
    </row>
    <row r="639" spans="2:8" x14ac:dyDescent="0.25">
      <c r="B639" s="69"/>
      <c r="C639" s="48"/>
      <c r="D639" t="b">
        <f t="shared" si="27"/>
        <v>1</v>
      </c>
      <c r="F639" t="str">
        <f t="shared" si="28"/>
        <v>000000-2024</v>
      </c>
      <c r="G639" s="13"/>
      <c r="H639" t="b">
        <f t="shared" si="29"/>
        <v>0</v>
      </c>
    </row>
    <row r="640" spans="2:8" x14ac:dyDescent="0.25">
      <c r="B640" s="69"/>
      <c r="C640" s="48"/>
      <c r="D640" t="b">
        <f t="shared" si="27"/>
        <v>1</v>
      </c>
      <c r="F640" t="str">
        <f t="shared" si="28"/>
        <v>000000-2024</v>
      </c>
      <c r="G640" s="13"/>
      <c r="H640" t="b">
        <f t="shared" si="29"/>
        <v>0</v>
      </c>
    </row>
    <row r="641" spans="2:8" x14ac:dyDescent="0.25">
      <c r="B641" s="69"/>
      <c r="C641" s="48"/>
      <c r="D641" t="b">
        <f t="shared" si="27"/>
        <v>1</v>
      </c>
      <c r="F641" t="str">
        <f t="shared" si="28"/>
        <v>000000-2024</v>
      </c>
      <c r="G641" s="13"/>
      <c r="H641" t="b">
        <f t="shared" si="29"/>
        <v>0</v>
      </c>
    </row>
    <row r="642" spans="2:8" x14ac:dyDescent="0.25">
      <c r="B642" s="69"/>
      <c r="C642" s="48"/>
      <c r="D642" t="b">
        <f t="shared" si="27"/>
        <v>1</v>
      </c>
      <c r="F642" t="str">
        <f t="shared" si="28"/>
        <v>000000-2024</v>
      </c>
      <c r="G642" s="13"/>
      <c r="H642" t="b">
        <f t="shared" si="29"/>
        <v>0</v>
      </c>
    </row>
    <row r="643" spans="2:8" x14ac:dyDescent="0.25">
      <c r="B643" s="69"/>
      <c r="C643" s="48"/>
      <c r="D643" t="b">
        <f t="shared" si="27"/>
        <v>1</v>
      </c>
      <c r="F643" t="str">
        <f t="shared" si="28"/>
        <v>000000-2024</v>
      </c>
      <c r="G643" s="13"/>
      <c r="H643" t="b">
        <f t="shared" si="29"/>
        <v>0</v>
      </c>
    </row>
    <row r="644" spans="2:8" x14ac:dyDescent="0.25">
      <c r="B644" s="69"/>
      <c r="C644" s="48"/>
      <c r="D644" t="b">
        <f t="shared" si="27"/>
        <v>1</v>
      </c>
      <c r="F644" t="str">
        <f t="shared" si="28"/>
        <v>000000-2024</v>
      </c>
      <c r="G644" s="13"/>
      <c r="H644" t="b">
        <f t="shared" si="29"/>
        <v>0</v>
      </c>
    </row>
    <row r="645" spans="2:8" x14ac:dyDescent="0.25">
      <c r="B645" s="69"/>
      <c r="C645" s="48"/>
      <c r="D645" t="b">
        <f t="shared" ref="D645:D708" si="30">B645=C645</f>
        <v>1</v>
      </c>
      <c r="F645" t="str">
        <f t="shared" ref="F645:F708" si="31">TEXT(E645,"000000")&amp;"-2024"</f>
        <v>000000-2024</v>
      </c>
      <c r="G645" s="13"/>
      <c r="H645" t="b">
        <f t="shared" ref="H645:H708" si="32">F645=G645</f>
        <v>0</v>
      </c>
    </row>
    <row r="646" spans="2:8" x14ac:dyDescent="0.25">
      <c r="B646" s="69"/>
      <c r="C646" s="48"/>
      <c r="D646" t="b">
        <f t="shared" si="30"/>
        <v>1</v>
      </c>
      <c r="F646" t="str">
        <f t="shared" si="31"/>
        <v>000000-2024</v>
      </c>
      <c r="G646" s="13"/>
      <c r="H646" t="b">
        <f t="shared" si="32"/>
        <v>0</v>
      </c>
    </row>
    <row r="647" spans="2:8" x14ac:dyDescent="0.25">
      <c r="B647" s="69"/>
      <c r="C647" s="48"/>
      <c r="D647" t="b">
        <f t="shared" si="30"/>
        <v>1</v>
      </c>
      <c r="F647" t="str">
        <f t="shared" si="31"/>
        <v>000000-2024</v>
      </c>
      <c r="G647" s="13"/>
      <c r="H647" t="b">
        <f t="shared" si="32"/>
        <v>0</v>
      </c>
    </row>
    <row r="648" spans="2:8" ht="13.8" thickBot="1" x14ac:dyDescent="0.3">
      <c r="B648" s="69"/>
      <c r="C648" s="48"/>
      <c r="D648" t="b">
        <f t="shared" si="30"/>
        <v>1</v>
      </c>
      <c r="F648" t="str">
        <f t="shared" si="31"/>
        <v>000000-2024</v>
      </c>
      <c r="G648" s="43"/>
      <c r="H648" t="b">
        <f t="shared" si="32"/>
        <v>0</v>
      </c>
    </row>
    <row r="649" spans="2:8" x14ac:dyDescent="0.25">
      <c r="B649" s="69"/>
      <c r="C649" s="48"/>
      <c r="D649" t="b">
        <f t="shared" si="30"/>
        <v>1</v>
      </c>
      <c r="F649" t="str">
        <f t="shared" si="31"/>
        <v>000000-2024</v>
      </c>
      <c r="G649" s="46"/>
      <c r="H649" t="b">
        <f t="shared" si="32"/>
        <v>0</v>
      </c>
    </row>
    <row r="650" spans="2:8" x14ac:dyDescent="0.25">
      <c r="B650" s="69"/>
      <c r="C650" s="48"/>
      <c r="D650" t="b">
        <f t="shared" si="30"/>
        <v>1</v>
      </c>
      <c r="F650" t="str">
        <f t="shared" si="31"/>
        <v>000000-2024</v>
      </c>
      <c r="G650" s="13"/>
      <c r="H650" t="b">
        <f t="shared" si="32"/>
        <v>0</v>
      </c>
    </row>
    <row r="651" spans="2:8" x14ac:dyDescent="0.25">
      <c r="B651" s="69"/>
      <c r="C651" s="48"/>
      <c r="D651" t="b">
        <f t="shared" si="30"/>
        <v>1</v>
      </c>
      <c r="F651" t="str">
        <f t="shared" si="31"/>
        <v>000000-2024</v>
      </c>
      <c r="G651" s="13"/>
      <c r="H651" t="b">
        <f t="shared" si="32"/>
        <v>0</v>
      </c>
    </row>
    <row r="652" spans="2:8" x14ac:dyDescent="0.25">
      <c r="B652" s="69"/>
      <c r="C652" s="48"/>
      <c r="D652" t="b">
        <f t="shared" si="30"/>
        <v>1</v>
      </c>
      <c r="F652" t="str">
        <f t="shared" si="31"/>
        <v>000000-2024</v>
      </c>
      <c r="G652" s="13"/>
      <c r="H652" t="b">
        <f t="shared" si="32"/>
        <v>0</v>
      </c>
    </row>
    <row r="653" spans="2:8" x14ac:dyDescent="0.25">
      <c r="B653" s="69"/>
      <c r="C653" s="48"/>
      <c r="D653" t="b">
        <f t="shared" si="30"/>
        <v>1</v>
      </c>
      <c r="F653" t="str">
        <f t="shared" si="31"/>
        <v>000000-2024</v>
      </c>
      <c r="G653" s="13"/>
      <c r="H653" t="b">
        <f t="shared" si="32"/>
        <v>0</v>
      </c>
    </row>
    <row r="654" spans="2:8" x14ac:dyDescent="0.25">
      <c r="B654" s="69"/>
      <c r="C654" s="48"/>
      <c r="D654" t="b">
        <f t="shared" si="30"/>
        <v>1</v>
      </c>
      <c r="F654" t="str">
        <f t="shared" si="31"/>
        <v>000000-2024</v>
      </c>
      <c r="G654" s="13"/>
      <c r="H654" t="b">
        <f t="shared" si="32"/>
        <v>0</v>
      </c>
    </row>
    <row r="655" spans="2:8" x14ac:dyDescent="0.25">
      <c r="B655" s="69"/>
      <c r="C655" s="48"/>
      <c r="D655" t="b">
        <f t="shared" si="30"/>
        <v>1</v>
      </c>
      <c r="F655" t="str">
        <f t="shared" si="31"/>
        <v>000000-2024</v>
      </c>
      <c r="G655" s="13"/>
      <c r="H655" t="b">
        <f t="shared" si="32"/>
        <v>0</v>
      </c>
    </row>
    <row r="656" spans="2:8" x14ac:dyDescent="0.25">
      <c r="B656" s="69"/>
      <c r="C656" s="48"/>
      <c r="D656" t="b">
        <f t="shared" si="30"/>
        <v>1</v>
      </c>
      <c r="F656" t="str">
        <f t="shared" si="31"/>
        <v>000000-2024</v>
      </c>
      <c r="G656" s="13"/>
      <c r="H656" t="b">
        <f t="shared" si="32"/>
        <v>0</v>
      </c>
    </row>
    <row r="657" spans="2:8" x14ac:dyDescent="0.25">
      <c r="B657" s="69"/>
      <c r="C657" s="48"/>
      <c r="D657" t="b">
        <f t="shared" si="30"/>
        <v>1</v>
      </c>
      <c r="F657" t="str">
        <f t="shared" si="31"/>
        <v>000000-2024</v>
      </c>
      <c r="G657" s="13"/>
      <c r="H657" t="b">
        <f t="shared" si="32"/>
        <v>0</v>
      </c>
    </row>
    <row r="658" spans="2:8" x14ac:dyDescent="0.25">
      <c r="B658" s="69"/>
      <c r="C658" s="48"/>
      <c r="D658" t="b">
        <f t="shared" si="30"/>
        <v>1</v>
      </c>
      <c r="F658" t="str">
        <f t="shared" si="31"/>
        <v>000000-2024</v>
      </c>
      <c r="G658" s="13"/>
      <c r="H658" t="b">
        <f t="shared" si="32"/>
        <v>0</v>
      </c>
    </row>
    <row r="659" spans="2:8" x14ac:dyDescent="0.25">
      <c r="B659" s="69"/>
      <c r="C659" s="48"/>
      <c r="D659" t="b">
        <f t="shared" si="30"/>
        <v>1</v>
      </c>
      <c r="F659" t="str">
        <f t="shared" si="31"/>
        <v>000000-2024</v>
      </c>
      <c r="G659" s="13"/>
      <c r="H659" t="b">
        <f t="shared" si="32"/>
        <v>0</v>
      </c>
    </row>
    <row r="660" spans="2:8" x14ac:dyDescent="0.25">
      <c r="B660" s="69"/>
      <c r="C660" s="48"/>
      <c r="D660" t="b">
        <f t="shared" si="30"/>
        <v>1</v>
      </c>
      <c r="F660" t="str">
        <f t="shared" si="31"/>
        <v>000000-2024</v>
      </c>
      <c r="G660" s="13"/>
      <c r="H660" t="b">
        <f t="shared" si="32"/>
        <v>0</v>
      </c>
    </row>
    <row r="661" spans="2:8" x14ac:dyDescent="0.25">
      <c r="B661" s="77"/>
      <c r="C661" s="48"/>
      <c r="D661" t="b">
        <f t="shared" si="30"/>
        <v>1</v>
      </c>
      <c r="F661" t="str">
        <f t="shared" si="31"/>
        <v>000000-2024</v>
      </c>
      <c r="G661" s="45"/>
      <c r="H661" t="b">
        <f t="shared" si="32"/>
        <v>0</v>
      </c>
    </row>
    <row r="662" spans="2:8" x14ac:dyDescent="0.25">
      <c r="B662" s="69"/>
      <c r="C662" s="48"/>
      <c r="D662" t="b">
        <f t="shared" si="30"/>
        <v>1</v>
      </c>
      <c r="F662" t="str">
        <f t="shared" si="31"/>
        <v>000000-2024</v>
      </c>
      <c r="G662" s="13"/>
      <c r="H662" t="b">
        <f t="shared" si="32"/>
        <v>0</v>
      </c>
    </row>
    <row r="663" spans="2:8" ht="13.8" thickBot="1" x14ac:dyDescent="0.3">
      <c r="B663" s="72"/>
      <c r="C663" s="48"/>
      <c r="D663" t="b">
        <f t="shared" si="30"/>
        <v>1</v>
      </c>
      <c r="F663" t="str">
        <f t="shared" si="31"/>
        <v>000000-2024</v>
      </c>
      <c r="G663" s="43"/>
      <c r="H663" t="b">
        <f t="shared" si="32"/>
        <v>0</v>
      </c>
    </row>
    <row r="664" spans="2:8" x14ac:dyDescent="0.25">
      <c r="B664" s="76"/>
      <c r="C664" s="48"/>
      <c r="D664" t="b">
        <f t="shared" si="30"/>
        <v>1</v>
      </c>
      <c r="F664" t="str">
        <f t="shared" si="31"/>
        <v>000000-2024</v>
      </c>
      <c r="G664" s="46"/>
      <c r="H664" t="b">
        <f t="shared" si="32"/>
        <v>0</v>
      </c>
    </row>
    <row r="665" spans="2:8" x14ac:dyDescent="0.25">
      <c r="B665" s="69"/>
      <c r="C665" s="48"/>
      <c r="D665" t="b">
        <f t="shared" si="30"/>
        <v>1</v>
      </c>
      <c r="F665" t="str">
        <f t="shared" si="31"/>
        <v>000000-2024</v>
      </c>
      <c r="G665" s="13"/>
      <c r="H665" t="b">
        <f t="shared" si="32"/>
        <v>0</v>
      </c>
    </row>
    <row r="666" spans="2:8" x14ac:dyDescent="0.25">
      <c r="B666" s="69"/>
      <c r="C666" s="48"/>
      <c r="D666" t="b">
        <f t="shared" si="30"/>
        <v>1</v>
      </c>
      <c r="F666" t="str">
        <f t="shared" si="31"/>
        <v>000000-2024</v>
      </c>
      <c r="G666" s="13"/>
      <c r="H666" t="b">
        <f t="shared" si="32"/>
        <v>0</v>
      </c>
    </row>
    <row r="667" spans="2:8" x14ac:dyDescent="0.25">
      <c r="B667" s="69"/>
      <c r="C667" s="48"/>
      <c r="D667" t="b">
        <f t="shared" si="30"/>
        <v>1</v>
      </c>
      <c r="F667" t="str">
        <f t="shared" si="31"/>
        <v>000000-2024</v>
      </c>
      <c r="G667" s="13"/>
      <c r="H667" t="b">
        <f t="shared" si="32"/>
        <v>0</v>
      </c>
    </row>
    <row r="668" spans="2:8" x14ac:dyDescent="0.25">
      <c r="B668" s="69"/>
      <c r="C668" s="48"/>
      <c r="D668" t="b">
        <f t="shared" si="30"/>
        <v>1</v>
      </c>
      <c r="F668" t="str">
        <f t="shared" si="31"/>
        <v>000000-2024</v>
      </c>
      <c r="G668" s="13"/>
      <c r="H668" t="b">
        <f t="shared" si="32"/>
        <v>0</v>
      </c>
    </row>
    <row r="669" spans="2:8" x14ac:dyDescent="0.25">
      <c r="B669" s="69"/>
      <c r="C669" s="48"/>
      <c r="D669" t="b">
        <f t="shared" si="30"/>
        <v>1</v>
      </c>
      <c r="F669" t="str">
        <f t="shared" si="31"/>
        <v>000000-2024</v>
      </c>
      <c r="G669" s="13"/>
      <c r="H669" t="b">
        <f t="shared" si="32"/>
        <v>0</v>
      </c>
    </row>
    <row r="670" spans="2:8" x14ac:dyDescent="0.25">
      <c r="B670" s="69"/>
      <c r="C670" s="48"/>
      <c r="D670" t="b">
        <f t="shared" si="30"/>
        <v>1</v>
      </c>
      <c r="F670" t="str">
        <f t="shared" si="31"/>
        <v>000000-2024</v>
      </c>
      <c r="G670" s="13"/>
      <c r="H670" t="b">
        <f t="shared" si="32"/>
        <v>0</v>
      </c>
    </row>
    <row r="671" spans="2:8" x14ac:dyDescent="0.25">
      <c r="B671" s="69"/>
      <c r="C671" s="48"/>
      <c r="D671" t="b">
        <f t="shared" si="30"/>
        <v>1</v>
      </c>
      <c r="F671" t="str">
        <f t="shared" si="31"/>
        <v>000000-2024</v>
      </c>
      <c r="G671" s="13"/>
      <c r="H671" t="b">
        <f t="shared" si="32"/>
        <v>0</v>
      </c>
    </row>
    <row r="672" spans="2:8" x14ac:dyDescent="0.25">
      <c r="B672" s="69"/>
      <c r="C672" s="48"/>
      <c r="D672" t="b">
        <f t="shared" si="30"/>
        <v>1</v>
      </c>
      <c r="F672" t="str">
        <f t="shared" si="31"/>
        <v>000000-2024</v>
      </c>
      <c r="G672" s="13"/>
      <c r="H672" t="b">
        <f t="shared" si="32"/>
        <v>0</v>
      </c>
    </row>
    <row r="673" spans="2:8" x14ac:dyDescent="0.25">
      <c r="B673" s="69"/>
      <c r="C673" s="48"/>
      <c r="D673" t="b">
        <f t="shared" si="30"/>
        <v>1</v>
      </c>
      <c r="F673" t="str">
        <f t="shared" si="31"/>
        <v>000000-2024</v>
      </c>
      <c r="G673" s="13"/>
      <c r="H673" t="b">
        <f t="shared" si="32"/>
        <v>0</v>
      </c>
    </row>
    <row r="674" spans="2:8" x14ac:dyDescent="0.25">
      <c r="B674" s="69"/>
      <c r="C674" s="48"/>
      <c r="D674" t="b">
        <f t="shared" si="30"/>
        <v>1</v>
      </c>
      <c r="F674" t="str">
        <f t="shared" si="31"/>
        <v>000000-2024</v>
      </c>
      <c r="G674" s="13"/>
      <c r="H674" t="b">
        <f t="shared" si="32"/>
        <v>0</v>
      </c>
    </row>
    <row r="675" spans="2:8" x14ac:dyDescent="0.25">
      <c r="B675" s="69"/>
      <c r="C675" s="48"/>
      <c r="D675" t="b">
        <f t="shared" si="30"/>
        <v>1</v>
      </c>
      <c r="F675" t="str">
        <f t="shared" si="31"/>
        <v>000000-2024</v>
      </c>
      <c r="G675" s="13"/>
      <c r="H675" t="b">
        <f t="shared" si="32"/>
        <v>0</v>
      </c>
    </row>
    <row r="676" spans="2:8" x14ac:dyDescent="0.25">
      <c r="B676" s="69"/>
      <c r="C676" s="48"/>
      <c r="D676" t="b">
        <f t="shared" si="30"/>
        <v>1</v>
      </c>
      <c r="F676" t="str">
        <f t="shared" si="31"/>
        <v>000000-2024</v>
      </c>
      <c r="G676" s="13"/>
      <c r="H676" t="b">
        <f t="shared" si="32"/>
        <v>0</v>
      </c>
    </row>
    <row r="677" spans="2:8" x14ac:dyDescent="0.25">
      <c r="B677" s="69"/>
      <c r="C677" s="48"/>
      <c r="D677" t="b">
        <f t="shared" si="30"/>
        <v>1</v>
      </c>
      <c r="F677" t="str">
        <f t="shared" si="31"/>
        <v>000000-2024</v>
      </c>
      <c r="G677" s="13"/>
      <c r="H677" t="b">
        <f t="shared" si="32"/>
        <v>0</v>
      </c>
    </row>
    <row r="678" spans="2:8" ht="13.8" thickBot="1" x14ac:dyDescent="0.3">
      <c r="B678" s="72"/>
      <c r="C678" s="48"/>
      <c r="D678" t="b">
        <f t="shared" si="30"/>
        <v>1</v>
      </c>
      <c r="F678" t="str">
        <f t="shared" si="31"/>
        <v>000000-2024</v>
      </c>
      <c r="G678" s="43"/>
      <c r="H678" t="b">
        <f t="shared" si="32"/>
        <v>0</v>
      </c>
    </row>
    <row r="679" spans="2:8" x14ac:dyDescent="0.25">
      <c r="B679" s="76"/>
      <c r="C679" s="48"/>
      <c r="D679" t="b">
        <f t="shared" si="30"/>
        <v>1</v>
      </c>
      <c r="F679" t="str">
        <f t="shared" si="31"/>
        <v>000000-2024</v>
      </c>
      <c r="G679" s="46"/>
      <c r="H679" t="b">
        <f t="shared" si="32"/>
        <v>0</v>
      </c>
    </row>
    <row r="680" spans="2:8" x14ac:dyDescent="0.25">
      <c r="B680" s="69"/>
      <c r="C680" s="48"/>
      <c r="D680" t="b">
        <f t="shared" si="30"/>
        <v>1</v>
      </c>
      <c r="F680" t="str">
        <f t="shared" si="31"/>
        <v>000000-2024</v>
      </c>
      <c r="G680" s="13"/>
      <c r="H680" t="b">
        <f t="shared" si="32"/>
        <v>0</v>
      </c>
    </row>
    <row r="681" spans="2:8" x14ac:dyDescent="0.25">
      <c r="B681" s="69"/>
      <c r="C681" s="48"/>
      <c r="D681" t="b">
        <f t="shared" si="30"/>
        <v>1</v>
      </c>
      <c r="F681" t="str">
        <f t="shared" si="31"/>
        <v>000000-2024</v>
      </c>
      <c r="G681" s="13"/>
      <c r="H681" t="b">
        <f t="shared" si="32"/>
        <v>0</v>
      </c>
    </row>
    <row r="682" spans="2:8" x14ac:dyDescent="0.25">
      <c r="B682" s="69"/>
      <c r="C682" s="48"/>
      <c r="D682" t="b">
        <f t="shared" si="30"/>
        <v>1</v>
      </c>
      <c r="F682" t="str">
        <f t="shared" si="31"/>
        <v>000000-2024</v>
      </c>
      <c r="G682" s="13"/>
      <c r="H682" t="b">
        <f t="shared" si="32"/>
        <v>0</v>
      </c>
    </row>
    <row r="683" spans="2:8" x14ac:dyDescent="0.25">
      <c r="B683" s="69"/>
      <c r="C683" s="48"/>
      <c r="D683" t="b">
        <f t="shared" si="30"/>
        <v>1</v>
      </c>
      <c r="F683" t="str">
        <f t="shared" si="31"/>
        <v>000000-2024</v>
      </c>
      <c r="G683" s="13"/>
      <c r="H683" t="b">
        <f t="shared" si="32"/>
        <v>0</v>
      </c>
    </row>
    <row r="684" spans="2:8" x14ac:dyDescent="0.25">
      <c r="B684" s="69"/>
      <c r="C684" s="48"/>
      <c r="D684" t="b">
        <f t="shared" si="30"/>
        <v>1</v>
      </c>
      <c r="F684" t="str">
        <f t="shared" si="31"/>
        <v>000000-2024</v>
      </c>
      <c r="G684" s="13"/>
      <c r="H684" t="b">
        <f t="shared" si="32"/>
        <v>0</v>
      </c>
    </row>
    <row r="685" spans="2:8" x14ac:dyDescent="0.25">
      <c r="B685" s="69"/>
      <c r="C685" s="48"/>
      <c r="D685" t="b">
        <f t="shared" si="30"/>
        <v>1</v>
      </c>
      <c r="F685" t="str">
        <f t="shared" si="31"/>
        <v>000000-2024</v>
      </c>
      <c r="G685" s="13"/>
      <c r="H685" t="b">
        <f t="shared" si="32"/>
        <v>0</v>
      </c>
    </row>
    <row r="686" spans="2:8" x14ac:dyDescent="0.25">
      <c r="B686" s="69"/>
      <c r="C686" s="48"/>
      <c r="D686" t="b">
        <f t="shared" si="30"/>
        <v>1</v>
      </c>
      <c r="F686" t="str">
        <f t="shared" si="31"/>
        <v>000000-2024</v>
      </c>
      <c r="G686" s="13"/>
      <c r="H686" t="b">
        <f t="shared" si="32"/>
        <v>0</v>
      </c>
    </row>
    <row r="687" spans="2:8" x14ac:dyDescent="0.25">
      <c r="B687" s="69"/>
      <c r="C687" s="48"/>
      <c r="D687" t="b">
        <f t="shared" si="30"/>
        <v>1</v>
      </c>
      <c r="F687" t="str">
        <f t="shared" si="31"/>
        <v>000000-2024</v>
      </c>
      <c r="G687" s="13"/>
      <c r="H687" t="b">
        <f t="shared" si="32"/>
        <v>0</v>
      </c>
    </row>
    <row r="688" spans="2:8" x14ac:dyDescent="0.25">
      <c r="B688" s="69"/>
      <c r="C688" s="48"/>
      <c r="D688" t="b">
        <f t="shared" si="30"/>
        <v>1</v>
      </c>
      <c r="F688" t="str">
        <f t="shared" si="31"/>
        <v>000000-2024</v>
      </c>
      <c r="G688" s="13"/>
      <c r="H688" t="b">
        <f t="shared" si="32"/>
        <v>0</v>
      </c>
    </row>
    <row r="689" spans="2:8" x14ac:dyDescent="0.25">
      <c r="B689" s="69"/>
      <c r="C689" s="48"/>
      <c r="D689" t="b">
        <f t="shared" si="30"/>
        <v>1</v>
      </c>
      <c r="F689" t="str">
        <f t="shared" si="31"/>
        <v>000000-2024</v>
      </c>
      <c r="G689" s="13"/>
      <c r="H689" t="b">
        <f t="shared" si="32"/>
        <v>0</v>
      </c>
    </row>
    <row r="690" spans="2:8" x14ac:dyDescent="0.25">
      <c r="B690" s="69"/>
      <c r="C690" s="48"/>
      <c r="D690" t="b">
        <f t="shared" si="30"/>
        <v>1</v>
      </c>
      <c r="F690" t="str">
        <f t="shared" si="31"/>
        <v>000000-2024</v>
      </c>
      <c r="G690" s="13"/>
      <c r="H690" t="b">
        <f t="shared" si="32"/>
        <v>0</v>
      </c>
    </row>
    <row r="691" spans="2:8" x14ac:dyDescent="0.25">
      <c r="B691" s="69"/>
      <c r="C691" s="48"/>
      <c r="D691" t="b">
        <f t="shared" si="30"/>
        <v>1</v>
      </c>
      <c r="F691" t="str">
        <f t="shared" si="31"/>
        <v>000000-2024</v>
      </c>
      <c r="G691" s="13"/>
      <c r="H691" t="b">
        <f t="shared" si="32"/>
        <v>0</v>
      </c>
    </row>
    <row r="692" spans="2:8" x14ac:dyDescent="0.25">
      <c r="B692" s="69"/>
      <c r="C692" s="48"/>
      <c r="D692" t="b">
        <f t="shared" si="30"/>
        <v>1</v>
      </c>
      <c r="F692" t="str">
        <f t="shared" si="31"/>
        <v>000000-2024</v>
      </c>
      <c r="G692" s="13"/>
      <c r="H692" t="b">
        <f t="shared" si="32"/>
        <v>0</v>
      </c>
    </row>
    <row r="693" spans="2:8" ht="13.8" thickBot="1" x14ac:dyDescent="0.3">
      <c r="B693" s="72"/>
      <c r="C693" s="48"/>
      <c r="D693" t="b">
        <f t="shared" si="30"/>
        <v>1</v>
      </c>
      <c r="F693" t="str">
        <f t="shared" si="31"/>
        <v>000000-2024</v>
      </c>
      <c r="G693" s="43"/>
      <c r="H693" t="b">
        <f t="shared" si="32"/>
        <v>0</v>
      </c>
    </row>
    <row r="694" spans="2:8" x14ac:dyDescent="0.25">
      <c r="B694" s="76"/>
      <c r="C694" s="48"/>
      <c r="D694" t="b">
        <f t="shared" si="30"/>
        <v>1</v>
      </c>
      <c r="F694" t="str">
        <f t="shared" si="31"/>
        <v>000000-2024</v>
      </c>
      <c r="G694" s="46"/>
      <c r="H694" t="b">
        <f t="shared" si="32"/>
        <v>0</v>
      </c>
    </row>
    <row r="695" spans="2:8" x14ac:dyDescent="0.25">
      <c r="B695" s="69"/>
      <c r="C695" s="48"/>
      <c r="D695" t="b">
        <f t="shared" si="30"/>
        <v>1</v>
      </c>
      <c r="F695" t="str">
        <f t="shared" si="31"/>
        <v>000000-2024</v>
      </c>
      <c r="G695" s="13"/>
      <c r="H695" t="b">
        <f t="shared" si="32"/>
        <v>0</v>
      </c>
    </row>
    <row r="696" spans="2:8" x14ac:dyDescent="0.25">
      <c r="B696" s="69"/>
      <c r="C696" s="48"/>
      <c r="D696" t="b">
        <f t="shared" si="30"/>
        <v>1</v>
      </c>
      <c r="F696" t="str">
        <f t="shared" si="31"/>
        <v>000000-2024</v>
      </c>
      <c r="G696" s="13"/>
      <c r="H696" t="b">
        <f t="shared" si="32"/>
        <v>0</v>
      </c>
    </row>
    <row r="697" spans="2:8" x14ac:dyDescent="0.25">
      <c r="B697" s="69"/>
      <c r="C697" s="48"/>
      <c r="D697" t="b">
        <f t="shared" si="30"/>
        <v>1</v>
      </c>
      <c r="F697" t="str">
        <f t="shared" si="31"/>
        <v>000000-2024</v>
      </c>
      <c r="G697" s="13"/>
      <c r="H697" t="b">
        <f t="shared" si="32"/>
        <v>0</v>
      </c>
    </row>
    <row r="698" spans="2:8" x14ac:dyDescent="0.25">
      <c r="B698" s="69"/>
      <c r="C698" s="48"/>
      <c r="D698" t="b">
        <f t="shared" si="30"/>
        <v>1</v>
      </c>
      <c r="F698" t="str">
        <f t="shared" si="31"/>
        <v>000000-2024</v>
      </c>
      <c r="G698" s="13"/>
      <c r="H698" t="b">
        <f t="shared" si="32"/>
        <v>0</v>
      </c>
    </row>
    <row r="699" spans="2:8" x14ac:dyDescent="0.25">
      <c r="B699" s="69"/>
      <c r="C699" s="48"/>
      <c r="D699" t="b">
        <f t="shared" si="30"/>
        <v>1</v>
      </c>
      <c r="F699" t="str">
        <f t="shared" si="31"/>
        <v>000000-2024</v>
      </c>
      <c r="G699" s="13"/>
      <c r="H699" t="b">
        <f t="shared" si="32"/>
        <v>0</v>
      </c>
    </row>
    <row r="700" spans="2:8" x14ac:dyDescent="0.25">
      <c r="B700" s="69"/>
      <c r="C700" s="48"/>
      <c r="D700" t="b">
        <f t="shared" si="30"/>
        <v>1</v>
      </c>
      <c r="F700" t="str">
        <f t="shared" si="31"/>
        <v>000000-2024</v>
      </c>
      <c r="G700" s="13"/>
      <c r="H700" t="b">
        <f t="shared" si="32"/>
        <v>0</v>
      </c>
    </row>
    <row r="701" spans="2:8" x14ac:dyDescent="0.25">
      <c r="B701" s="69"/>
      <c r="C701" s="48"/>
      <c r="D701" t="b">
        <f t="shared" si="30"/>
        <v>1</v>
      </c>
      <c r="F701" t="str">
        <f t="shared" si="31"/>
        <v>000000-2024</v>
      </c>
      <c r="G701" s="13"/>
      <c r="H701" t="b">
        <f t="shared" si="32"/>
        <v>0</v>
      </c>
    </row>
    <row r="702" spans="2:8" x14ac:dyDescent="0.25">
      <c r="B702" s="69"/>
      <c r="C702" s="48"/>
      <c r="D702" t="b">
        <f t="shared" si="30"/>
        <v>1</v>
      </c>
      <c r="F702" t="str">
        <f t="shared" si="31"/>
        <v>000000-2024</v>
      </c>
      <c r="G702" s="13"/>
      <c r="H702" t="b">
        <f t="shared" si="32"/>
        <v>0</v>
      </c>
    </row>
    <row r="703" spans="2:8" x14ac:dyDescent="0.25">
      <c r="B703" s="69"/>
      <c r="C703" s="48"/>
      <c r="D703" t="b">
        <f t="shared" si="30"/>
        <v>1</v>
      </c>
      <c r="F703" t="str">
        <f t="shared" si="31"/>
        <v>000000-2024</v>
      </c>
      <c r="G703" s="13"/>
      <c r="H703" t="b">
        <f t="shared" si="32"/>
        <v>0</v>
      </c>
    </row>
    <row r="704" spans="2:8" x14ac:dyDescent="0.25">
      <c r="B704" s="69"/>
      <c r="C704" s="48"/>
      <c r="D704" t="b">
        <f t="shared" si="30"/>
        <v>1</v>
      </c>
      <c r="F704" t="str">
        <f t="shared" si="31"/>
        <v>000000-2024</v>
      </c>
      <c r="G704" s="13"/>
      <c r="H704" t="b">
        <f t="shared" si="32"/>
        <v>0</v>
      </c>
    </row>
    <row r="705" spans="2:8" x14ac:dyDescent="0.25">
      <c r="B705" s="69"/>
      <c r="C705" s="48"/>
      <c r="D705" t="b">
        <f t="shared" si="30"/>
        <v>1</v>
      </c>
      <c r="F705" t="str">
        <f t="shared" si="31"/>
        <v>000000-2024</v>
      </c>
      <c r="G705" s="13"/>
      <c r="H705" t="b">
        <f t="shared" si="32"/>
        <v>0</v>
      </c>
    </row>
    <row r="706" spans="2:8" x14ac:dyDescent="0.25">
      <c r="B706" s="69"/>
      <c r="C706" s="48"/>
      <c r="D706" t="b">
        <f t="shared" si="30"/>
        <v>1</v>
      </c>
      <c r="F706" t="str">
        <f t="shared" si="31"/>
        <v>000000-2024</v>
      </c>
      <c r="G706" s="13"/>
      <c r="H706" t="b">
        <f t="shared" si="32"/>
        <v>0</v>
      </c>
    </row>
    <row r="707" spans="2:8" x14ac:dyDescent="0.25">
      <c r="B707" s="69"/>
      <c r="C707" s="48"/>
      <c r="D707" t="b">
        <f t="shared" si="30"/>
        <v>1</v>
      </c>
      <c r="F707" t="str">
        <f t="shared" si="31"/>
        <v>000000-2024</v>
      </c>
      <c r="G707" s="13"/>
      <c r="H707" t="b">
        <f t="shared" si="32"/>
        <v>0</v>
      </c>
    </row>
    <row r="708" spans="2:8" ht="13.8" thickBot="1" x14ac:dyDescent="0.3">
      <c r="B708" s="72"/>
      <c r="C708" s="48"/>
      <c r="D708" t="b">
        <f t="shared" si="30"/>
        <v>1</v>
      </c>
      <c r="F708" t="str">
        <f t="shared" si="31"/>
        <v>000000-2024</v>
      </c>
      <c r="G708" s="43"/>
      <c r="H708" t="b">
        <f t="shared" si="32"/>
        <v>0</v>
      </c>
    </row>
    <row r="709" spans="2:8" x14ac:dyDescent="0.25">
      <c r="B709" s="76"/>
      <c r="C709" s="48"/>
      <c r="D709" t="b">
        <f t="shared" ref="D709:D723" si="33">B709=C709</f>
        <v>1</v>
      </c>
      <c r="F709" t="str">
        <f t="shared" ref="F709:F723" si="34">TEXT(E709,"000000")&amp;"-2024"</f>
        <v>000000-2024</v>
      </c>
      <c r="G709" s="46"/>
      <c r="H709" t="b">
        <f t="shared" ref="H709:H723" si="35">F709=G709</f>
        <v>0</v>
      </c>
    </row>
    <row r="710" spans="2:8" x14ac:dyDescent="0.25">
      <c r="B710" s="69"/>
      <c r="C710" s="48"/>
      <c r="D710" t="b">
        <f t="shared" si="33"/>
        <v>1</v>
      </c>
      <c r="F710" t="str">
        <f t="shared" si="34"/>
        <v>000000-2024</v>
      </c>
      <c r="G710" s="13"/>
      <c r="H710" t="b">
        <f t="shared" si="35"/>
        <v>0</v>
      </c>
    </row>
    <row r="711" spans="2:8" x14ac:dyDescent="0.25">
      <c r="B711" s="69"/>
      <c r="C711" s="48"/>
      <c r="D711" t="b">
        <f t="shared" si="33"/>
        <v>1</v>
      </c>
      <c r="F711" t="str">
        <f t="shared" si="34"/>
        <v>000000-2024</v>
      </c>
      <c r="G711" s="13"/>
      <c r="H711" t="b">
        <f t="shared" si="35"/>
        <v>0</v>
      </c>
    </row>
    <row r="712" spans="2:8" x14ac:dyDescent="0.25">
      <c r="B712" s="69"/>
      <c r="C712" s="48"/>
      <c r="D712" t="b">
        <f t="shared" si="33"/>
        <v>1</v>
      </c>
      <c r="F712" t="str">
        <f t="shared" si="34"/>
        <v>000000-2024</v>
      </c>
      <c r="G712" s="13"/>
      <c r="H712" t="b">
        <f t="shared" si="35"/>
        <v>0</v>
      </c>
    </row>
    <row r="713" spans="2:8" x14ac:dyDescent="0.25">
      <c r="B713" s="69"/>
      <c r="C713" s="48"/>
      <c r="D713" t="b">
        <f t="shared" si="33"/>
        <v>1</v>
      </c>
      <c r="F713" t="str">
        <f t="shared" si="34"/>
        <v>000000-2024</v>
      </c>
      <c r="G713" s="13"/>
      <c r="H713" t="b">
        <f t="shared" si="35"/>
        <v>0</v>
      </c>
    </row>
    <row r="714" spans="2:8" x14ac:dyDescent="0.25">
      <c r="B714" s="69"/>
      <c r="C714" s="48"/>
      <c r="D714" t="b">
        <f t="shared" si="33"/>
        <v>1</v>
      </c>
      <c r="F714" t="str">
        <f t="shared" si="34"/>
        <v>000000-2024</v>
      </c>
      <c r="G714" s="13"/>
      <c r="H714" t="b">
        <f t="shared" si="35"/>
        <v>0</v>
      </c>
    </row>
    <row r="715" spans="2:8" x14ac:dyDescent="0.25">
      <c r="B715" s="69"/>
      <c r="C715" s="48"/>
      <c r="D715" t="b">
        <f t="shared" si="33"/>
        <v>1</v>
      </c>
      <c r="F715" t="str">
        <f t="shared" si="34"/>
        <v>000000-2024</v>
      </c>
      <c r="G715" s="13"/>
      <c r="H715" t="b">
        <f t="shared" si="35"/>
        <v>0</v>
      </c>
    </row>
    <row r="716" spans="2:8" x14ac:dyDescent="0.25">
      <c r="B716" s="69"/>
      <c r="C716" s="48"/>
      <c r="D716" t="b">
        <f t="shared" si="33"/>
        <v>1</v>
      </c>
      <c r="F716" t="str">
        <f t="shared" si="34"/>
        <v>000000-2024</v>
      </c>
      <c r="G716" s="13"/>
      <c r="H716" t="b">
        <f t="shared" si="35"/>
        <v>0</v>
      </c>
    </row>
    <row r="717" spans="2:8" x14ac:dyDescent="0.25">
      <c r="B717" s="69"/>
      <c r="C717" s="48"/>
      <c r="D717" t="b">
        <f t="shared" si="33"/>
        <v>1</v>
      </c>
      <c r="F717" t="str">
        <f t="shared" si="34"/>
        <v>000000-2024</v>
      </c>
      <c r="G717" s="13"/>
      <c r="H717" t="b">
        <f t="shared" si="35"/>
        <v>0</v>
      </c>
    </row>
    <row r="718" spans="2:8" x14ac:dyDescent="0.25">
      <c r="B718" s="69"/>
      <c r="C718" s="48"/>
      <c r="D718" t="b">
        <f t="shared" si="33"/>
        <v>1</v>
      </c>
      <c r="F718" t="str">
        <f t="shared" si="34"/>
        <v>000000-2024</v>
      </c>
      <c r="G718" s="13"/>
      <c r="H718" t="b">
        <f t="shared" si="35"/>
        <v>0</v>
      </c>
    </row>
    <row r="719" spans="2:8" x14ac:dyDescent="0.25">
      <c r="B719" s="69"/>
      <c r="C719" s="48"/>
      <c r="D719" t="b">
        <f t="shared" si="33"/>
        <v>1</v>
      </c>
      <c r="F719" t="str">
        <f t="shared" si="34"/>
        <v>000000-2024</v>
      </c>
      <c r="G719" s="13"/>
      <c r="H719" t="b">
        <f t="shared" si="35"/>
        <v>0</v>
      </c>
    </row>
    <row r="720" spans="2:8" x14ac:dyDescent="0.25">
      <c r="B720" s="69"/>
      <c r="C720" s="48"/>
      <c r="D720" t="b">
        <f t="shared" si="33"/>
        <v>1</v>
      </c>
      <c r="F720" t="str">
        <f t="shared" si="34"/>
        <v>000000-2024</v>
      </c>
      <c r="G720" s="13"/>
      <c r="H720" t="b">
        <f t="shared" si="35"/>
        <v>0</v>
      </c>
    </row>
    <row r="721" spans="2:8" x14ac:dyDescent="0.25">
      <c r="B721" s="69"/>
      <c r="C721" s="48"/>
      <c r="D721" t="b">
        <f t="shared" si="33"/>
        <v>1</v>
      </c>
      <c r="F721" t="str">
        <f t="shared" si="34"/>
        <v>000000-2024</v>
      </c>
      <c r="G721" s="13"/>
      <c r="H721" t="b">
        <f t="shared" si="35"/>
        <v>0</v>
      </c>
    </row>
    <row r="722" spans="2:8" x14ac:dyDescent="0.25">
      <c r="B722" s="69"/>
      <c r="C722" s="48"/>
      <c r="D722" t="b">
        <f t="shared" si="33"/>
        <v>1</v>
      </c>
      <c r="F722" t="str">
        <f t="shared" si="34"/>
        <v>000000-2024</v>
      </c>
      <c r="G722" s="13"/>
      <c r="H722" t="b">
        <f t="shared" si="35"/>
        <v>0</v>
      </c>
    </row>
    <row r="723" spans="2:8" x14ac:dyDescent="0.25">
      <c r="B723" s="69"/>
      <c r="C723" s="48"/>
      <c r="D723" t="b">
        <f t="shared" si="33"/>
        <v>1</v>
      </c>
      <c r="F723" t="str">
        <f t="shared" si="34"/>
        <v>000000-2024</v>
      </c>
      <c r="G723" s="13"/>
      <c r="H723" t="b">
        <f t="shared" si="35"/>
        <v>0</v>
      </c>
    </row>
  </sheetData>
  <autoFilter ref="B3:H3" xr:uid="{A7A6CE58-EF31-4DE3-BCAD-094E0FF3BD30}"/>
  <phoneticPr fontId="2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B28E4-5510-430B-81EF-64449EFA2A67}">
  <sheetPr>
    <pageSetUpPr fitToPage="1"/>
  </sheetPr>
  <dimension ref="A1:I725"/>
  <sheetViews>
    <sheetView workbookViewId="0">
      <selection activeCell="E1" sqref="E1:F1"/>
    </sheetView>
  </sheetViews>
  <sheetFormatPr baseColWidth="10" defaultRowHeight="13.2" x14ac:dyDescent="0.25"/>
  <cols>
    <col min="1" max="1" width="9.88671875" customWidth="1"/>
  </cols>
  <sheetData>
    <row r="1" spans="1:9" ht="21" x14ac:dyDescent="0.25">
      <c r="A1" s="344"/>
      <c r="B1" s="344"/>
      <c r="E1">
        <f>Hoja1!F1</f>
        <v>0</v>
      </c>
      <c r="F1">
        <f>Hoja1!G1</f>
        <v>0</v>
      </c>
    </row>
    <row r="2" spans="1:9" ht="12.75" customHeight="1" thickBot="1" x14ac:dyDescent="0.3"/>
    <row r="3" spans="1:9" ht="12.75" customHeight="1" x14ac:dyDescent="0.25">
      <c r="A3" s="345" t="s">
        <v>21</v>
      </c>
      <c r="B3" s="347" t="s">
        <v>26</v>
      </c>
      <c r="C3" s="349" t="s">
        <v>10</v>
      </c>
      <c r="D3" s="351" t="s">
        <v>39</v>
      </c>
      <c r="E3" s="353" t="s">
        <v>38</v>
      </c>
      <c r="F3" s="353" t="s">
        <v>37</v>
      </c>
      <c r="G3" s="353" t="s">
        <v>36</v>
      </c>
      <c r="H3" s="355" t="s">
        <v>4</v>
      </c>
      <c r="I3" s="355" t="s">
        <v>35</v>
      </c>
    </row>
    <row r="4" spans="1:9" ht="13.2" customHeight="1" x14ac:dyDescent="0.25">
      <c r="A4" s="346"/>
      <c r="B4" s="348"/>
      <c r="C4" s="350"/>
      <c r="D4" s="352"/>
      <c r="E4" s="354"/>
      <c r="F4" s="354"/>
      <c r="G4" s="354"/>
      <c r="H4" s="356"/>
      <c r="I4" s="356"/>
    </row>
    <row r="5" spans="1:9" ht="13.2" customHeight="1" x14ac:dyDescent="0.25">
      <c r="A5" s="346"/>
      <c r="B5" s="348"/>
      <c r="C5" s="350"/>
      <c r="D5" s="352"/>
      <c r="E5" s="354"/>
      <c r="F5" s="354"/>
      <c r="G5" s="354"/>
      <c r="H5" s="356"/>
      <c r="I5" s="356"/>
    </row>
    <row r="6" spans="1:9" x14ac:dyDescent="0.25">
      <c r="A6" s="61">
        <f>'ERROR FINAL'!A9</f>
        <v>1</v>
      </c>
      <c r="B6" s="62">
        <f>'ERROR FINAL'!D9</f>
        <v>3</v>
      </c>
      <c r="C6" s="63" t="str">
        <f>'ERROR FINAL'!G9</f>
        <v>PA25516865</v>
      </c>
      <c r="D6" s="64">
        <f>'ERROR FINAL'!I9</f>
        <v>0</v>
      </c>
      <c r="E6" s="65">
        <f>'ERROR FINAL'!U9</f>
        <v>-1.1123249577912169</v>
      </c>
      <c r="F6" s="66">
        <f>'ERROR FINAL'!AG9</f>
        <v>-0.59940059940071089</v>
      </c>
      <c r="G6" s="66">
        <f>'ERROR FINAL'!AS9</f>
        <v>-0.37931722898764714</v>
      </c>
      <c r="H6" s="67" t="str">
        <f>IF('ERROR FINAL'!AT9="CONFORME","CONFORME","NO CONFORME")</f>
        <v>CONFORME</v>
      </c>
      <c r="I6" s="68" t="str">
        <f>IF(D6=0,"Medición",IF(D6=1,"Daño físico",IF(D6=2,"Fuga",IF(D6=3,"Picado",IF(D6=4,"Desfasado",IF(D6=5,"Paralizado","¿?"))))))</f>
        <v>Medición</v>
      </c>
    </row>
    <row r="7" spans="1:9" x14ac:dyDescent="0.25">
      <c r="A7" s="61">
        <f>'ERROR FINAL'!A10</f>
        <v>2</v>
      </c>
      <c r="B7" s="62">
        <f>'ERROR FINAL'!D10</f>
        <v>3</v>
      </c>
      <c r="C7" s="63" t="str">
        <f>'ERROR FINAL'!G10</f>
        <v>PA25516866</v>
      </c>
      <c r="D7" s="64">
        <f>'ERROR FINAL'!I10</f>
        <v>0</v>
      </c>
      <c r="E7" s="65">
        <f>'ERROR FINAL'!U10</f>
        <v>-1.0924620121164195</v>
      </c>
      <c r="F7" s="66">
        <f>'ERROR FINAL'!AG10</f>
        <v>-8.872911285715537E-14</v>
      </c>
      <c r="G7" s="66">
        <f>'ERROR FINAL'!AS10</f>
        <v>0.8185266520265726</v>
      </c>
      <c r="H7" s="67" t="str">
        <f>IF('ERROR FINAL'!AT10="CONFORME","CONFORME","NO CONFORME")</f>
        <v>CONFORME</v>
      </c>
      <c r="I7" s="68" t="str">
        <f t="shared" ref="I7:I70" si="0">IF(D7=0,"Medición",IF(D7=1,"Daño físico",IF(D7=2,"Fuga",IF(D7=3,"Picado",IF(D7=4,"Desfasado",IF(D7=5,"Paralizado","¿?"))))))</f>
        <v>Medición</v>
      </c>
    </row>
    <row r="8" spans="1:9" x14ac:dyDescent="0.25">
      <c r="A8" s="61">
        <f>'ERROR FINAL'!A11</f>
        <v>3</v>
      </c>
      <c r="B8" s="62">
        <f>'ERROR FINAL'!D11</f>
        <v>3</v>
      </c>
      <c r="C8" s="63" t="str">
        <f>'ERROR FINAL'!G11</f>
        <v>PA25516867</v>
      </c>
      <c r="D8" s="64">
        <f>'ERROR FINAL'!I11</f>
        <v>0</v>
      </c>
      <c r="E8" s="65">
        <f>'ERROR FINAL'!U11</f>
        <v>-0.49657364187108949</v>
      </c>
      <c r="F8" s="66">
        <f>'ERROR FINAL'!AG11</f>
        <v>-9.990009990009778E-2</v>
      </c>
      <c r="G8" s="66">
        <f>'ERROR FINAL'!AS11</f>
        <v>0.41924535835440957</v>
      </c>
      <c r="H8" s="67" t="str">
        <f>IF('ERROR FINAL'!AT11="CONFORME","CONFORME","NO CONFORME")</f>
        <v>CONFORME</v>
      </c>
      <c r="I8" s="68" t="str">
        <f t="shared" si="0"/>
        <v>Medición</v>
      </c>
    </row>
    <row r="9" spans="1:9" x14ac:dyDescent="0.25">
      <c r="A9" s="61">
        <f>'ERROR FINAL'!A12</f>
        <v>4</v>
      </c>
      <c r="B9" s="62">
        <f>'ERROR FINAL'!D12</f>
        <v>3</v>
      </c>
      <c r="C9" s="63" t="str">
        <f>'ERROR FINAL'!G12</f>
        <v>PA25516868</v>
      </c>
      <c r="D9" s="64">
        <f>'ERROR FINAL'!I12</f>
        <v>0</v>
      </c>
      <c r="E9" s="65">
        <f>'ERROR FINAL'!U12</f>
        <v>-0.45684775052138199</v>
      </c>
      <c r="F9" s="66">
        <f>'ERROR FINAL'!AG12</f>
        <v>-0.39960039960012489</v>
      </c>
      <c r="G9" s="66">
        <f>'ERROR FINAL'!AS12</f>
        <v>1.9964064683381192E-2</v>
      </c>
      <c r="H9" s="67" t="str">
        <f>IF('ERROR FINAL'!AT12="CONFORME","CONFORME","NO CONFORME")</f>
        <v>CONFORME</v>
      </c>
      <c r="I9" s="68" t="str">
        <f t="shared" si="0"/>
        <v>Medición</v>
      </c>
    </row>
    <row r="10" spans="1:9" x14ac:dyDescent="0.25">
      <c r="A10" s="61">
        <f>'ERROR FINAL'!A13</f>
        <v>5</v>
      </c>
      <c r="B10" s="62">
        <f>'ERROR FINAL'!D13</f>
        <v>3</v>
      </c>
      <c r="C10" s="63" t="str">
        <f>'ERROR FINAL'!G13</f>
        <v>PA25516869</v>
      </c>
      <c r="D10" s="64">
        <f>'ERROR FINAL'!I13</f>
        <v>0</v>
      </c>
      <c r="E10" s="65">
        <f>'ERROR FINAL'!U13</f>
        <v>-1.0825305392789502</v>
      </c>
      <c r="F10" s="66">
        <f>'ERROR FINAL'!AG13</f>
        <v>-0.29970029970011586</v>
      </c>
      <c r="G10" s="66">
        <f>'ERROR FINAL'!AS13</f>
        <v>0.21960471151889535</v>
      </c>
      <c r="H10" s="67" t="str">
        <f>IF('ERROR FINAL'!AT13="CONFORME","CONFORME","NO CONFORME")</f>
        <v>CONFORME</v>
      </c>
      <c r="I10" s="68" t="str">
        <f t="shared" si="0"/>
        <v>Medición</v>
      </c>
    </row>
    <row r="11" spans="1:9" x14ac:dyDescent="0.25">
      <c r="A11" s="61">
        <f>'ERROR FINAL'!A14</f>
        <v>6</v>
      </c>
      <c r="B11" s="62">
        <f>'ERROR FINAL'!D14</f>
        <v>3</v>
      </c>
      <c r="C11" s="63" t="str">
        <f>'ERROR FINAL'!G14</f>
        <v>PA25516870</v>
      </c>
      <c r="D11" s="64">
        <f>'ERROR FINAL'!I14</f>
        <v>0</v>
      </c>
      <c r="E11" s="65">
        <f>'ERROR FINAL'!U14</f>
        <v>-1.2910914688648156</v>
      </c>
      <c r="F11" s="66">
        <f>'ERROR FINAL'!AG14</f>
        <v>-0.79920079920072895</v>
      </c>
      <c r="G11" s="66">
        <f>'ERROR FINAL'!AS14</f>
        <v>-0.77859852265981022</v>
      </c>
      <c r="H11" s="67" t="str">
        <f>IF('ERROR FINAL'!AT14="CONFORME","CONFORME","NO CONFORME")</f>
        <v>CONFORME</v>
      </c>
      <c r="I11" s="68" t="str">
        <f t="shared" si="0"/>
        <v>Medición</v>
      </c>
    </row>
    <row r="12" spans="1:9" x14ac:dyDescent="0.25">
      <c r="A12" s="61">
        <f>'ERROR FINAL'!A15</f>
        <v>7</v>
      </c>
      <c r="B12" s="62">
        <f>'ERROR FINAL'!D15</f>
        <v>3</v>
      </c>
      <c r="C12" s="63" t="str">
        <f>'ERROR FINAL'!G15</f>
        <v>PA25516871</v>
      </c>
      <c r="D12" s="64">
        <f>'ERROR FINAL'!I15</f>
        <v>0</v>
      </c>
      <c r="E12" s="65">
        <f>'ERROR FINAL'!U15</f>
        <v>-0.83424371834343369</v>
      </c>
      <c r="F12" s="66">
        <f>'ERROR FINAL'!AG15</f>
        <v>-9.990009990009778E-2</v>
      </c>
      <c r="G12" s="66">
        <f>'ERROR FINAL'!AS15</f>
        <v>0.41924535835440957</v>
      </c>
      <c r="H12" s="67" t="str">
        <f>IF('ERROR FINAL'!AT15="CONFORME","CONFORME","NO CONFORME")</f>
        <v>CONFORME</v>
      </c>
      <c r="I12" s="68" t="str">
        <f t="shared" si="0"/>
        <v>Medición</v>
      </c>
    </row>
    <row r="13" spans="1:9" x14ac:dyDescent="0.25">
      <c r="A13" s="61">
        <f>'ERROR FINAL'!A16</f>
        <v>8</v>
      </c>
      <c r="B13" s="62">
        <f>'ERROR FINAL'!D16</f>
        <v>3</v>
      </c>
      <c r="C13" s="63" t="str">
        <f>'ERROR FINAL'!G16</f>
        <v>PA25516872</v>
      </c>
      <c r="D13" s="64">
        <f>'ERROR FINAL'!I16</f>
        <v>0</v>
      </c>
      <c r="E13" s="65">
        <f>'ERROR FINAL'!U16</f>
        <v>-0.15890356539877348</v>
      </c>
      <c r="F13" s="66">
        <f>'ERROR FINAL'!AG16</f>
        <v>0.59940059940053336</v>
      </c>
      <c r="G13" s="66">
        <f>'ERROR FINAL'!AS16</f>
        <v>-0.17967658215213297</v>
      </c>
      <c r="H13" s="67" t="str">
        <f>IF('ERROR FINAL'!AT16="CONFORME","CONFORME","NO CONFORME")</f>
        <v>CONFORME</v>
      </c>
      <c r="I13" s="68" t="str">
        <f t="shared" si="0"/>
        <v>Medición</v>
      </c>
    </row>
    <row r="14" spans="1:9" x14ac:dyDescent="0.25">
      <c r="A14" s="61">
        <f>'ERROR FINAL'!A17</f>
        <v>9</v>
      </c>
      <c r="B14" s="62">
        <f>'ERROR FINAL'!D17</f>
        <v>3</v>
      </c>
      <c r="C14" s="63" t="str">
        <f>'ERROR FINAL'!G17</f>
        <v>PA25516873</v>
      </c>
      <c r="D14" s="64">
        <f>'ERROR FINAL'!I17</f>
        <v>0</v>
      </c>
      <c r="E14" s="65">
        <f>'ERROR FINAL'!U17</f>
        <v>-0.63561426159500922</v>
      </c>
      <c r="F14" s="66">
        <f>'ERROR FINAL'!AG17</f>
        <v>-1.298701298701342</v>
      </c>
      <c r="G14" s="66">
        <f>'ERROR FINAL'!AS17</f>
        <v>-1.5771611100018668</v>
      </c>
      <c r="H14" s="67" t="str">
        <f>IF('ERROR FINAL'!AT17="CONFORME","CONFORME","NO CONFORME")</f>
        <v>CONFORME</v>
      </c>
      <c r="I14" s="68" t="str">
        <f t="shared" si="0"/>
        <v>Medición</v>
      </c>
    </row>
    <row r="15" spans="1:9" x14ac:dyDescent="0.25">
      <c r="A15" s="61">
        <f>'ERROR FINAL'!A18</f>
        <v>10</v>
      </c>
      <c r="B15" s="62">
        <f>'ERROR FINAL'!D18</f>
        <v>3</v>
      </c>
      <c r="C15" s="63" t="str">
        <f>'ERROR FINAL'!G18</f>
        <v>PA25516874</v>
      </c>
      <c r="D15" s="64">
        <f>'ERROR FINAL'!I18</f>
        <v>0</v>
      </c>
      <c r="E15" s="65">
        <f>'ERROR FINAL'!U18</f>
        <v>-0.94348991955505879</v>
      </c>
      <c r="F15" s="66">
        <f>'ERROR FINAL'!AG18</f>
        <v>-0.79920079920129694</v>
      </c>
      <c r="G15" s="66">
        <f>'ERROR FINAL'!AS18</f>
        <v>0.21960471152003019</v>
      </c>
      <c r="H15" s="67" t="str">
        <f>IF('ERROR FINAL'!AT18="CONFORME","CONFORME","NO CONFORME")</f>
        <v>CONFORME</v>
      </c>
      <c r="I15" s="68" t="str">
        <f t="shared" si="0"/>
        <v>Medición</v>
      </c>
    </row>
    <row r="16" spans="1:9" x14ac:dyDescent="0.25">
      <c r="A16" s="61">
        <f>'ERROR FINAL'!A19</f>
        <v>11</v>
      </c>
      <c r="B16" s="62">
        <f>'ERROR FINAL'!D19</f>
        <v>3</v>
      </c>
      <c r="C16" s="63" t="str">
        <f>'ERROR FINAL'!G19</f>
        <v>PA25516875</v>
      </c>
      <c r="D16" s="64">
        <f>'ERROR FINAL'!I19</f>
        <v>0</v>
      </c>
      <c r="E16" s="65">
        <f>'ERROR FINAL'!U19</f>
        <v>-0.168835038236158</v>
      </c>
      <c r="F16" s="66">
        <f>'ERROR FINAL'!AG19</f>
        <v>-0.59940059940071089</v>
      </c>
      <c r="G16" s="66">
        <f>'ERROR FINAL'!AS19</f>
        <v>-0.37931722898764714</v>
      </c>
      <c r="H16" s="67" t="str">
        <f>IF('ERROR FINAL'!AT19="CONFORME","CONFORME","NO CONFORME")</f>
        <v>CONFORME</v>
      </c>
      <c r="I16" s="68" t="str">
        <f t="shared" si="0"/>
        <v>Medición</v>
      </c>
    </row>
    <row r="17" spans="1:9" x14ac:dyDescent="0.25">
      <c r="A17" s="61">
        <f>'ERROR FINAL'!A20</f>
        <v>12</v>
      </c>
      <c r="B17" s="62">
        <f>'ERROR FINAL'!D20</f>
        <v>3</v>
      </c>
      <c r="C17" s="63" t="str">
        <f>'ERROR FINAL'!G20</f>
        <v>PA25516876</v>
      </c>
      <c r="D17" s="64">
        <f>'ERROR FINAL'!I20</f>
        <v>0</v>
      </c>
      <c r="E17" s="65">
        <f>'ERROR FINAL'!U20</f>
        <v>-0.53629953322079704</v>
      </c>
      <c r="F17" s="66">
        <f>'ERROR FINAL'!AG20</f>
        <v>-0.89910089910073798</v>
      </c>
      <c r="G17" s="66">
        <f>'ERROR FINAL'!AS20</f>
        <v>-1.1778798163308386</v>
      </c>
      <c r="H17" s="67" t="str">
        <f>IF('ERROR FINAL'!AT20="CONFORME","CONFORME","NO CONFORME")</f>
        <v>CONFORME</v>
      </c>
      <c r="I17" s="68" t="str">
        <f t="shared" si="0"/>
        <v>Medición</v>
      </c>
    </row>
    <row r="18" spans="1:9" x14ac:dyDescent="0.25">
      <c r="A18" s="61">
        <f>'ERROR FINAL'!A21</f>
        <v>13</v>
      </c>
      <c r="B18" s="62">
        <f>'ERROR FINAL'!D21</f>
        <v>3</v>
      </c>
      <c r="C18" s="63" t="str">
        <f>'ERROR FINAL'!G21</f>
        <v>PA25516877</v>
      </c>
      <c r="D18" s="64">
        <f>'ERROR FINAL'!I21</f>
        <v>0</v>
      </c>
      <c r="E18" s="65">
        <f>'ERROR FINAL'!U21</f>
        <v>-0.42705333200911549</v>
      </c>
      <c r="F18" s="66">
        <f>'ERROR FINAL'!AG21</f>
        <v>-1.2987012987007742</v>
      </c>
      <c r="G18" s="66">
        <f>'ERROR FINAL'!AS21</f>
        <v>-0.97823916949532441</v>
      </c>
      <c r="H18" s="67" t="str">
        <f>IF('ERROR FINAL'!AT21="CONFORME","CONFORME","NO CONFORME")</f>
        <v>CONFORME</v>
      </c>
      <c r="I18" s="68" t="str">
        <f t="shared" si="0"/>
        <v>Medición</v>
      </c>
    </row>
    <row r="19" spans="1:9" x14ac:dyDescent="0.25">
      <c r="A19" s="61">
        <f>'ERROR FINAL'!A22</f>
        <v>14</v>
      </c>
      <c r="B19" s="62">
        <f>'ERROR FINAL'!D22</f>
        <v>3</v>
      </c>
      <c r="C19" s="63" t="str">
        <f>'ERROR FINAL'!G22</f>
        <v>PA25516878</v>
      </c>
      <c r="D19" s="64">
        <f>'ERROR FINAL'!I22</f>
        <v>0</v>
      </c>
      <c r="E19" s="65">
        <f>'ERROR FINAL'!U22</f>
        <v>-0.824312245506021</v>
      </c>
      <c r="F19" s="66">
        <f>'ERROR FINAL'!AG22</f>
        <v>-0.59940059940071089</v>
      </c>
      <c r="G19" s="66">
        <f>'ERROR FINAL'!AS22</f>
        <v>1.9964064683381192E-2</v>
      </c>
      <c r="H19" s="67" t="str">
        <f>IF('ERROR FINAL'!AT22="CONFORME","CONFORME","NO CONFORME")</f>
        <v>CONFORME</v>
      </c>
      <c r="I19" s="68" t="str">
        <f t="shared" si="0"/>
        <v>Medición</v>
      </c>
    </row>
    <row r="20" spans="1:9" x14ac:dyDescent="0.25">
      <c r="A20" s="61">
        <f>'ERROR FINAL'!A23</f>
        <v>15</v>
      </c>
      <c r="B20" s="62">
        <f>'ERROR FINAL'!D23</f>
        <v>3</v>
      </c>
      <c r="C20" s="63" t="str">
        <f>'ERROR FINAL'!G23</f>
        <v>PA25516879</v>
      </c>
      <c r="D20" s="64">
        <f>'ERROR FINAL'!I23</f>
        <v>0</v>
      </c>
      <c r="E20" s="65">
        <f>'ERROR FINAL'!U23</f>
        <v>-0.68527162578212952</v>
      </c>
      <c r="F20" s="66">
        <f>'ERROR FINAL'!AG23</f>
        <v>-1.1988011988007652</v>
      </c>
      <c r="G20" s="66">
        <f>'ERROR FINAL'!AS23</f>
        <v>-0.97823916949532441</v>
      </c>
      <c r="H20" s="67" t="str">
        <f>IF('ERROR FINAL'!AT23="CONFORME","CONFORME","NO CONFORME")</f>
        <v>CONFORME</v>
      </c>
      <c r="I20" s="68" t="str">
        <f t="shared" si="0"/>
        <v>Medición</v>
      </c>
    </row>
    <row r="21" spans="1:9" x14ac:dyDescent="0.25">
      <c r="A21" s="61">
        <f>'ERROR FINAL'!A24</f>
        <v>16</v>
      </c>
      <c r="B21" s="62">
        <f>'ERROR FINAL'!D24</f>
        <v>3</v>
      </c>
      <c r="C21" s="63" t="str">
        <f>'ERROR FINAL'!G24</f>
        <v>PA25516880</v>
      </c>
      <c r="D21" s="64">
        <f>'ERROR FINAL'!I24</f>
        <v>0</v>
      </c>
      <c r="E21" s="65">
        <f>'ERROR FINAL'!U24</f>
        <v>-1.0130102294170045</v>
      </c>
      <c r="F21" s="66">
        <f>'ERROR FINAL'!AG24</f>
        <v>-0.59940059940071089</v>
      </c>
      <c r="G21" s="66">
        <f>'ERROR FINAL'!AS24</f>
        <v>1.9964064683381192E-2</v>
      </c>
      <c r="H21" s="67" t="str">
        <f>IF('ERROR FINAL'!AT24="CONFORME","CONFORME","NO CONFORME")</f>
        <v>CONFORME</v>
      </c>
      <c r="I21" s="68" t="str">
        <f t="shared" si="0"/>
        <v>Medición</v>
      </c>
    </row>
    <row r="22" spans="1:9" x14ac:dyDescent="0.25">
      <c r="A22" s="61">
        <f>'ERROR FINAL'!A25</f>
        <v>17</v>
      </c>
      <c r="B22" s="62">
        <f>'ERROR FINAL'!D25</f>
        <v>3</v>
      </c>
      <c r="C22" s="63" t="str">
        <f>'ERROR FINAL'!G25</f>
        <v>PA25516881</v>
      </c>
      <c r="D22" s="64">
        <f>'ERROR FINAL'!I25</f>
        <v>0</v>
      </c>
      <c r="E22" s="65">
        <f>'ERROR FINAL'!U25</f>
        <v>-1.4455188914365495</v>
      </c>
      <c r="F22" s="66">
        <f>'ERROR FINAL'!AG25</f>
        <v>-0.8792965627499163</v>
      </c>
      <c r="G22" s="66">
        <f>'ERROR FINAL'!AS25</f>
        <v>-0.89910089910073798</v>
      </c>
      <c r="H22" s="67" t="str">
        <f>IF('ERROR FINAL'!AT25="CONFORME","CONFORME","NO CONFORME")</f>
        <v>CONFORME</v>
      </c>
      <c r="I22" s="68" t="str">
        <f t="shared" si="0"/>
        <v>Medición</v>
      </c>
    </row>
    <row r="23" spans="1:9" x14ac:dyDescent="0.25">
      <c r="A23" s="61">
        <f>'ERROR FINAL'!A26</f>
        <v>18</v>
      </c>
      <c r="B23" s="62">
        <f>'ERROR FINAL'!D26</f>
        <v>3</v>
      </c>
      <c r="C23" s="63" t="str">
        <f>'ERROR FINAL'!G26</f>
        <v>PA25516882</v>
      </c>
      <c r="D23" s="64">
        <f>'ERROR FINAL'!I26</f>
        <v>0</v>
      </c>
      <c r="E23" s="65">
        <f>'ERROR FINAL'!U26</f>
        <v>-1.046755059316103</v>
      </c>
      <c r="F23" s="66">
        <f>'ERROR FINAL'!AG26</f>
        <v>-7.9936051159063951E-2</v>
      </c>
      <c r="G23" s="66">
        <f>'ERROR FINAL'!AS26</f>
        <v>0.49950049949995651</v>
      </c>
      <c r="H23" s="67" t="str">
        <f>IF('ERROR FINAL'!AT26="CONFORME","CONFORME","NO CONFORME")</f>
        <v>CONFORME</v>
      </c>
      <c r="I23" s="68" t="str">
        <f t="shared" si="0"/>
        <v>Medición</v>
      </c>
    </row>
    <row r="24" spans="1:9" x14ac:dyDescent="0.25">
      <c r="A24" s="61">
        <f>'ERROR FINAL'!A27</f>
        <v>19</v>
      </c>
      <c r="B24" s="62">
        <f>'ERROR FINAL'!D27</f>
        <v>3</v>
      </c>
      <c r="C24" s="63" t="str">
        <f>'ERROR FINAL'!G27</f>
        <v>PA25516883</v>
      </c>
      <c r="D24" s="64">
        <f>'ERROR FINAL'!I27</f>
        <v>0</v>
      </c>
      <c r="E24" s="65">
        <f>'ERROR FINAL'!U27</f>
        <v>-0.98694048449806515</v>
      </c>
      <c r="F24" s="66">
        <f>'ERROR FINAL'!AG27</f>
        <v>-0.57953637090309817</v>
      </c>
      <c r="G24" s="66">
        <f>'ERROR FINAL'!AS27</f>
        <v>0.69930069930054251</v>
      </c>
      <c r="H24" s="67" t="str">
        <f>IF('ERROR FINAL'!AT27="CONFORME","CONFORME","NO CONFORME")</f>
        <v>CONFORME</v>
      </c>
      <c r="I24" s="68" t="str">
        <f t="shared" si="0"/>
        <v>Medición</v>
      </c>
    </row>
    <row r="25" spans="1:9" x14ac:dyDescent="0.25">
      <c r="A25" s="61">
        <f>'ERROR FINAL'!A28</f>
        <v>20</v>
      </c>
      <c r="B25" s="62">
        <f>'ERROR FINAL'!D28</f>
        <v>3</v>
      </c>
      <c r="C25" s="63" t="str">
        <f>'ERROR FINAL'!G28</f>
        <v>PA25516884</v>
      </c>
      <c r="D25" s="64">
        <f>'ERROR FINAL'!I28</f>
        <v>0</v>
      </c>
      <c r="E25" s="65">
        <f>'ERROR FINAL'!U28</f>
        <v>-0.64799122719567059</v>
      </c>
      <c r="F25" s="66">
        <f>'ERROR FINAL'!AG28</f>
        <v>-0.67945643485213225</v>
      </c>
      <c r="G25" s="66">
        <f>'ERROR FINAL'!AS28</f>
        <v>-0.29970029970011586</v>
      </c>
      <c r="H25" s="67" t="str">
        <f>IF('ERROR FINAL'!AT28="CONFORME","CONFORME","NO CONFORME")</f>
        <v>CONFORME</v>
      </c>
      <c r="I25" s="68" t="str">
        <f t="shared" si="0"/>
        <v>Medición</v>
      </c>
    </row>
    <row r="26" spans="1:9" x14ac:dyDescent="0.25">
      <c r="A26" s="61">
        <f>'ERROR FINAL'!A29</f>
        <v>21</v>
      </c>
      <c r="B26" s="62">
        <f>'ERROR FINAL'!D29</f>
        <v>3</v>
      </c>
      <c r="C26" s="63" t="str">
        <f>'ERROR FINAL'!G29</f>
        <v>PA25516885</v>
      </c>
      <c r="D26" s="64">
        <f>'ERROR FINAL'!I29</f>
        <v>0</v>
      </c>
      <c r="E26" s="65">
        <f>'ERROR FINAL'!U29</f>
        <v>-0.49845479015053334</v>
      </c>
      <c r="F26" s="66">
        <f>'ERROR FINAL'!AG29</f>
        <v>1.9984012789970106E-2</v>
      </c>
      <c r="G26" s="66">
        <f>'ERROR FINAL'!AS29</f>
        <v>0.29970029969993839</v>
      </c>
      <c r="H26" s="67" t="str">
        <f>IF('ERROR FINAL'!AT29="CONFORME","CONFORME","NO CONFORME")</f>
        <v>CONFORME</v>
      </c>
      <c r="I26" s="68" t="str">
        <f t="shared" si="0"/>
        <v>Medición</v>
      </c>
    </row>
    <row r="27" spans="1:9" x14ac:dyDescent="0.25">
      <c r="A27" s="61">
        <f>'ERROR FINAL'!A30</f>
        <v>22</v>
      </c>
      <c r="B27" s="62">
        <f>'ERROR FINAL'!D30</f>
        <v>3</v>
      </c>
      <c r="C27" s="63" t="str">
        <f>'ERROR FINAL'!G30</f>
        <v>PA25516886</v>
      </c>
      <c r="D27" s="64">
        <f>'ERROR FINAL'!I30</f>
        <v>0</v>
      </c>
      <c r="E27" s="65">
        <f>'ERROR FINAL'!U30</f>
        <v>0.31901106569634868</v>
      </c>
      <c r="F27" s="66">
        <f>'ERROR FINAL'!AG30</f>
        <v>0.21982414068747025</v>
      </c>
      <c r="G27" s="66">
        <f>'ERROR FINAL'!AS30</f>
        <v>1.0989010989005785</v>
      </c>
      <c r="H27" s="67" t="str">
        <f>IF('ERROR FINAL'!AT30="CONFORME","CONFORME","NO CONFORME")</f>
        <v>CONFORME</v>
      </c>
      <c r="I27" s="68" t="str">
        <f t="shared" si="0"/>
        <v>Medición</v>
      </c>
    </row>
    <row r="28" spans="1:9" x14ac:dyDescent="0.25">
      <c r="A28" s="61">
        <f>'ERROR FINAL'!A31</f>
        <v>23</v>
      </c>
      <c r="B28" s="62">
        <f>'ERROR FINAL'!D31</f>
        <v>3</v>
      </c>
      <c r="C28" s="63" t="str">
        <f>'ERROR FINAL'!G31</f>
        <v>PA25516887</v>
      </c>
      <c r="D28" s="64">
        <f>'ERROR FINAL'!I31</f>
        <v>0</v>
      </c>
      <c r="E28" s="65">
        <f>'ERROR FINAL'!U31</f>
        <v>-0.85734223905891671</v>
      </c>
      <c r="F28" s="66">
        <f>'ERROR FINAL'!AG31</f>
        <v>-0.4796163069543482</v>
      </c>
      <c r="G28" s="66">
        <f>'ERROR FINAL'!AS31</f>
        <v>0.49950049950052439</v>
      </c>
      <c r="H28" s="67" t="str">
        <f>IF('ERROR FINAL'!AT31="CONFORME","CONFORME","NO CONFORME")</f>
        <v>CONFORME</v>
      </c>
      <c r="I28" s="68" t="str">
        <f t="shared" si="0"/>
        <v>Medición</v>
      </c>
    </row>
    <row r="29" spans="1:9" x14ac:dyDescent="0.25">
      <c r="A29" s="61">
        <f>'ERROR FINAL'!A32</f>
        <v>24</v>
      </c>
      <c r="B29" s="62">
        <f>'ERROR FINAL'!D32</f>
        <v>3</v>
      </c>
      <c r="C29" s="63" t="str">
        <f>'ERROR FINAL'!G32</f>
        <v>PA25516888</v>
      </c>
      <c r="D29" s="64">
        <f>'ERROR FINAL'!I32</f>
        <v>0</v>
      </c>
      <c r="E29" s="65">
        <f>'ERROR FINAL'!U32</f>
        <v>-1.3757352208154816</v>
      </c>
      <c r="F29" s="66">
        <f>'ERROR FINAL'!AG32</f>
        <v>-0.9792166266983825</v>
      </c>
      <c r="G29" s="66">
        <f>'ERROR FINAL'!AS32</f>
        <v>-1.0989010989013239</v>
      </c>
      <c r="H29" s="67" t="str">
        <f>IF('ERROR FINAL'!AT32="CONFORME","CONFORME","NO CONFORME")</f>
        <v>CONFORME</v>
      </c>
      <c r="I29" s="68" t="str">
        <f t="shared" si="0"/>
        <v>Medición</v>
      </c>
    </row>
    <row r="30" spans="1:9" x14ac:dyDescent="0.25">
      <c r="A30" s="61">
        <f>'ERROR FINAL'!A33</f>
        <v>25</v>
      </c>
      <c r="B30" s="62">
        <f>'ERROR FINAL'!D33</f>
        <v>3</v>
      </c>
      <c r="C30" s="63" t="str">
        <f>'ERROR FINAL'!G33</f>
        <v>PA25516889</v>
      </c>
      <c r="D30" s="64">
        <f>'ERROR FINAL'!I33</f>
        <v>0</v>
      </c>
      <c r="E30" s="65">
        <f>'ERROR FINAL'!U33</f>
        <v>-0.65796032299870055</v>
      </c>
      <c r="F30" s="66">
        <f>'ERROR FINAL'!AG33</f>
        <v>-0.77937649880088233</v>
      </c>
      <c r="G30" s="66">
        <f>'ERROR FINAL'!AS33</f>
        <v>9.9900099899920311E-2</v>
      </c>
      <c r="H30" s="67" t="str">
        <f>IF('ERROR FINAL'!AT33="CONFORME","CONFORME","NO CONFORME")</f>
        <v>CONFORME</v>
      </c>
      <c r="I30" s="68" t="str">
        <f t="shared" si="0"/>
        <v>Medición</v>
      </c>
    </row>
    <row r="31" spans="1:9" x14ac:dyDescent="0.25">
      <c r="A31" s="61">
        <f>'ERROR FINAL'!A34</f>
        <v>26</v>
      </c>
      <c r="B31" s="62">
        <f>'ERROR FINAL'!D34</f>
        <v>3</v>
      </c>
      <c r="C31" s="63" t="str">
        <f>'ERROR FINAL'!G34</f>
        <v>PA25516890</v>
      </c>
      <c r="D31" s="64">
        <f>'ERROR FINAL'!I34</f>
        <v>0</v>
      </c>
      <c r="E31" s="65">
        <f>'ERROR FINAL'!U34</f>
        <v>-1.2062605921642844</v>
      </c>
      <c r="F31" s="66">
        <f>'ERROR FINAL'!AG34</f>
        <v>-0.97921662669866649</v>
      </c>
      <c r="G31" s="66">
        <f>'ERROR FINAL'!AS34</f>
        <v>-9.990009990009778E-2</v>
      </c>
      <c r="H31" s="67" t="str">
        <f>IF('ERROR FINAL'!AT34="CONFORME","CONFORME","NO CONFORME")</f>
        <v>CONFORME</v>
      </c>
      <c r="I31" s="68" t="str">
        <f t="shared" si="0"/>
        <v>Medición</v>
      </c>
    </row>
    <row r="32" spans="1:9" x14ac:dyDescent="0.25">
      <c r="A32" s="61">
        <f>'ERROR FINAL'!A35</f>
        <v>27</v>
      </c>
      <c r="B32" s="62">
        <f>'ERROR FINAL'!D35</f>
        <v>3</v>
      </c>
      <c r="C32" s="63" t="str">
        <f>'ERROR FINAL'!G35</f>
        <v>PA25516891</v>
      </c>
      <c r="D32" s="64">
        <f>'ERROR FINAL'!I35</f>
        <v>0</v>
      </c>
      <c r="E32" s="65">
        <f>'ERROR FINAL'!U35</f>
        <v>-0.54830026916558383</v>
      </c>
      <c r="F32" s="66">
        <f>'ERROR FINAL'!AG35</f>
        <v>-0.77937649880116633</v>
      </c>
      <c r="G32" s="66">
        <f>'ERROR FINAL'!AS35</f>
        <v>-0.29970029970011586</v>
      </c>
      <c r="H32" s="67" t="str">
        <f>IF('ERROR FINAL'!AT35="CONFORME","CONFORME","NO CONFORME")</f>
        <v>CONFORME</v>
      </c>
      <c r="I32" s="68" t="str">
        <f t="shared" si="0"/>
        <v>Medición</v>
      </c>
    </row>
    <row r="33" spans="1:9" x14ac:dyDescent="0.25">
      <c r="A33" s="61">
        <f>'ERROR FINAL'!A36</f>
        <v>28</v>
      </c>
      <c r="B33" s="62">
        <f>'ERROR FINAL'!D36</f>
        <v>3</v>
      </c>
      <c r="C33" s="63" t="str">
        <f>'ERROR FINAL'!G36</f>
        <v>PA25516892</v>
      </c>
      <c r="D33" s="64">
        <f>'ERROR FINAL'!I36</f>
        <v>0</v>
      </c>
      <c r="E33" s="65">
        <f>'ERROR FINAL'!U36</f>
        <v>-0.55826936496859958</v>
      </c>
      <c r="F33" s="66">
        <f>'ERROR FINAL'!AG36</f>
        <v>-0.77937649880088233</v>
      </c>
      <c r="G33" s="66">
        <f>'ERROR FINAL'!AS36</f>
        <v>-0.29970029970011586</v>
      </c>
      <c r="H33" s="67" t="str">
        <f>IF('ERROR FINAL'!AT36="CONFORME","CONFORME","NO CONFORME")</f>
        <v>CONFORME</v>
      </c>
      <c r="I33" s="68" t="str">
        <f t="shared" si="0"/>
        <v>Medición</v>
      </c>
    </row>
    <row r="34" spans="1:9" x14ac:dyDescent="0.25">
      <c r="A34" s="61">
        <f>'ERROR FINAL'!A37</f>
        <v>29</v>
      </c>
      <c r="B34" s="62">
        <f>'ERROR FINAL'!D37</f>
        <v>3</v>
      </c>
      <c r="C34" s="63" t="str">
        <f>'ERROR FINAL'!G37</f>
        <v>PA25516893</v>
      </c>
      <c r="D34" s="64">
        <f>'ERROR FINAL'!I37</f>
        <v>0</v>
      </c>
      <c r="E34" s="65">
        <f>'ERROR FINAL'!U37</f>
        <v>-0.7476821852258142</v>
      </c>
      <c r="F34" s="66">
        <f>'ERROR FINAL'!AG37</f>
        <v>-0.77937649880088233</v>
      </c>
      <c r="G34" s="66">
        <f>'ERROR FINAL'!AS37</f>
        <v>-9.990009990009778E-2</v>
      </c>
      <c r="H34" s="67" t="str">
        <f>IF('ERROR FINAL'!AT37="CONFORME","CONFORME","NO CONFORME")</f>
        <v>CONFORME</v>
      </c>
      <c r="I34" s="68" t="str">
        <f t="shared" si="0"/>
        <v>Medición</v>
      </c>
    </row>
    <row r="35" spans="1:9" x14ac:dyDescent="0.25">
      <c r="A35" s="61">
        <f>'ERROR FINAL'!A38</f>
        <v>30</v>
      </c>
      <c r="B35" s="62">
        <f>'ERROR FINAL'!D38</f>
        <v>3</v>
      </c>
      <c r="C35" s="63" t="str">
        <f>'ERROR FINAL'!G38</f>
        <v>PA25516894</v>
      </c>
      <c r="D35" s="64">
        <f>'ERROR FINAL'!I38</f>
        <v>0</v>
      </c>
      <c r="E35" s="65">
        <f>'ERROR FINAL'!U38</f>
        <v>-0.1295982454391483</v>
      </c>
      <c r="F35" s="66">
        <f>'ERROR FINAL'!AG38</f>
        <v>-0.37969624300559807</v>
      </c>
      <c r="G35" s="66">
        <f>'ERROR FINAL'!AS38</f>
        <v>0.89910089910112834</v>
      </c>
      <c r="H35" s="67" t="str">
        <f>IF('ERROR FINAL'!AT38="CONFORME","CONFORME","NO CONFORME")</f>
        <v>CONFORME</v>
      </c>
      <c r="I35" s="68" t="str">
        <f t="shared" si="0"/>
        <v>Medición</v>
      </c>
    </row>
    <row r="36" spans="1:9" x14ac:dyDescent="0.25">
      <c r="A36" s="61">
        <f>'ERROR FINAL'!A39</f>
        <v>31</v>
      </c>
      <c r="B36" s="62">
        <f>'ERROR FINAL'!D39</f>
        <v>3</v>
      </c>
      <c r="C36" s="63" t="str">
        <f>'ERROR FINAL'!G39</f>
        <v>PA25516895</v>
      </c>
      <c r="D36" s="64">
        <f>'ERROR FINAL'!I39</f>
        <v>0</v>
      </c>
      <c r="E36" s="65">
        <f>'ERROR FINAL'!U39</f>
        <v>-0.85734223905891671</v>
      </c>
      <c r="F36" s="66">
        <f>'ERROR FINAL'!AG39</f>
        <v>-0.37969624300559807</v>
      </c>
      <c r="G36" s="66">
        <f>'ERROR FINAL'!AS39</f>
        <v>0.69930069930054251</v>
      </c>
      <c r="H36" s="67" t="str">
        <f>IF('ERROR FINAL'!AT39="CONFORME","CONFORME","NO CONFORME")</f>
        <v>CONFORME</v>
      </c>
      <c r="I36" s="68" t="str">
        <f t="shared" si="0"/>
        <v>Medición</v>
      </c>
    </row>
    <row r="37" spans="1:9" x14ac:dyDescent="0.25">
      <c r="A37" s="61">
        <f>'ERROR FINAL'!A40</f>
        <v>32</v>
      </c>
      <c r="B37" s="62">
        <f>'ERROR FINAL'!D40</f>
        <v>3</v>
      </c>
      <c r="C37" s="63" t="str">
        <f>'ERROR FINAL'!G40</f>
        <v>PA25516896</v>
      </c>
      <c r="D37" s="64">
        <f>'ERROR FINAL'!I40</f>
        <v>0</v>
      </c>
      <c r="E37" s="65">
        <f>'ERROR FINAL'!U40</f>
        <v>-0.81746585584689613</v>
      </c>
      <c r="F37" s="66">
        <f>'ERROR FINAL'!AG40</f>
        <v>-0.37969624300559807</v>
      </c>
      <c r="G37" s="66">
        <f>'ERROR FINAL'!AS40</f>
        <v>-0.69930069930071992</v>
      </c>
      <c r="H37" s="67" t="str">
        <f>IF('ERROR FINAL'!AT40="CONFORME","CONFORME","NO CONFORME")</f>
        <v>CONFORME</v>
      </c>
      <c r="I37" s="68" t="str">
        <f t="shared" si="0"/>
        <v>Medición</v>
      </c>
    </row>
    <row r="38" spans="1:9" x14ac:dyDescent="0.25">
      <c r="A38" s="61">
        <f>'ERROR FINAL'!A41</f>
        <v>33</v>
      </c>
      <c r="B38" s="62">
        <f>'ERROR FINAL'!D41</f>
        <v>3</v>
      </c>
      <c r="C38" s="63" t="str">
        <f>'ERROR FINAL'!G41</f>
        <v>PA25516897</v>
      </c>
      <c r="D38" s="64">
        <f>'ERROR FINAL'!I41</f>
        <v>0</v>
      </c>
      <c r="E38" s="65">
        <f>'ERROR FINAL'!U41</f>
        <v>-0.33837579617834734</v>
      </c>
      <c r="F38" s="66">
        <f>'ERROR FINAL'!AG41</f>
        <v>-0.69930069930071992</v>
      </c>
      <c r="G38" s="66">
        <f>'ERROR FINAL'!AS41</f>
        <v>-0.59880239520978085</v>
      </c>
      <c r="H38" s="67" t="str">
        <f>IF('ERROR FINAL'!AT41="CONFORME","CONFORME","NO CONFORME")</f>
        <v>CONFORME</v>
      </c>
      <c r="I38" s="68" t="str">
        <f t="shared" si="0"/>
        <v>Medición</v>
      </c>
    </row>
    <row r="39" spans="1:9" x14ac:dyDescent="0.25">
      <c r="A39" s="61">
        <f>'ERROR FINAL'!A42</f>
        <v>34</v>
      </c>
      <c r="B39" s="62">
        <f>'ERROR FINAL'!D42</f>
        <v>3</v>
      </c>
      <c r="C39" s="63" t="str">
        <f>'ERROR FINAL'!G42</f>
        <v>PA25516898</v>
      </c>
      <c r="D39" s="64">
        <f>'ERROR FINAL'!I42</f>
        <v>0</v>
      </c>
      <c r="E39" s="65">
        <f>'ERROR FINAL'!U42</f>
        <v>-0.7762738853503337</v>
      </c>
      <c r="F39" s="66">
        <f>'ERROR FINAL'!AG42</f>
        <v>-0.59940059940042689</v>
      </c>
      <c r="G39" s="66">
        <f>'ERROR FINAL'!AS42</f>
        <v>0.19960079840283482</v>
      </c>
      <c r="H39" s="67" t="str">
        <f>IF('ERROR FINAL'!AT42="CONFORME","CONFORME","NO CONFORME")</f>
        <v>CONFORME</v>
      </c>
      <c r="I39" s="68" t="str">
        <f t="shared" si="0"/>
        <v>Medición</v>
      </c>
    </row>
    <row r="40" spans="1:9" x14ac:dyDescent="0.25">
      <c r="A40" s="61">
        <f>'ERROR FINAL'!A43</f>
        <v>35</v>
      </c>
      <c r="B40" s="62">
        <f>'ERROR FINAL'!D43</f>
        <v>3</v>
      </c>
      <c r="C40" s="63" t="str">
        <f>'ERROR FINAL'!G43</f>
        <v>PA25516899</v>
      </c>
      <c r="D40" s="64">
        <f>'ERROR FINAL'!I43</f>
        <v>0</v>
      </c>
      <c r="E40" s="65">
        <f>'ERROR FINAL'!U43</f>
        <v>-0.97531847133756933</v>
      </c>
      <c r="F40" s="66">
        <f>'ERROR FINAL'!AG43</f>
        <v>-0.69930069930071992</v>
      </c>
      <c r="G40" s="66">
        <f>'ERROR FINAL'!AS43</f>
        <v>0.19960079840340211</v>
      </c>
      <c r="H40" s="67" t="str">
        <f>IF('ERROR FINAL'!AT43="CONFORME","CONFORME","NO CONFORME")</f>
        <v>CONFORME</v>
      </c>
      <c r="I40" s="68" t="str">
        <f t="shared" si="0"/>
        <v>Medición</v>
      </c>
    </row>
    <row r="41" spans="1:9" x14ac:dyDescent="0.25">
      <c r="A41" s="61">
        <f>'ERROR FINAL'!A44</f>
        <v>36</v>
      </c>
      <c r="B41" s="62">
        <f>'ERROR FINAL'!D44</f>
        <v>3</v>
      </c>
      <c r="C41" s="63" t="str">
        <f>'ERROR FINAL'!G44</f>
        <v>PA25516900</v>
      </c>
      <c r="D41" s="64">
        <f>'ERROR FINAL'!I44</f>
        <v>0</v>
      </c>
      <c r="E41" s="65">
        <f>'ERROR FINAL'!U44</f>
        <v>-0.38813694267517396</v>
      </c>
      <c r="F41" s="66">
        <f>'ERROR FINAL'!AG44</f>
        <v>-8.872911285715537E-14</v>
      </c>
      <c r="G41" s="66">
        <f>'ERROR FINAL'!AS44</f>
        <v>1.3972055888226091</v>
      </c>
      <c r="H41" s="67" t="str">
        <f>IF('ERROR FINAL'!AT44="CONFORME","CONFORME","NO CONFORME")</f>
        <v>CONFORME</v>
      </c>
      <c r="I41" s="68" t="str">
        <f t="shared" si="0"/>
        <v>Medición</v>
      </c>
    </row>
    <row r="42" spans="1:9" x14ac:dyDescent="0.25">
      <c r="A42" s="61">
        <f>'ERROR FINAL'!A45</f>
        <v>37</v>
      </c>
      <c r="B42" s="62">
        <f>'ERROR FINAL'!D45</f>
        <v>3</v>
      </c>
      <c r="C42" s="63" t="str">
        <f>'ERROR FINAL'!G45</f>
        <v>PA25516901</v>
      </c>
      <c r="D42" s="64">
        <f>'ERROR FINAL'!I45</f>
        <v>0</v>
      </c>
      <c r="E42" s="65">
        <f>'ERROR FINAL'!U45</f>
        <v>-0.14928343949046566</v>
      </c>
      <c r="F42" s="66">
        <f>'ERROR FINAL'!AG45</f>
        <v>0.1998001998002133</v>
      </c>
      <c r="G42" s="66">
        <f>'ERROR FINAL'!AS45</f>
        <v>0.99800399201545043</v>
      </c>
      <c r="H42" s="67" t="str">
        <f>IF('ERROR FINAL'!AT45="CONFORME","CONFORME","NO CONFORME")</f>
        <v>CONFORME</v>
      </c>
      <c r="I42" s="68" t="str">
        <f t="shared" si="0"/>
        <v>Medición</v>
      </c>
    </row>
    <row r="43" spans="1:9" x14ac:dyDescent="0.25">
      <c r="A43" s="61">
        <f>'ERROR FINAL'!A46</f>
        <v>38</v>
      </c>
      <c r="B43" s="62">
        <f>'ERROR FINAL'!D46</f>
        <v>3</v>
      </c>
      <c r="C43" s="63" t="str">
        <f>'ERROR FINAL'!G46</f>
        <v>PA25516902</v>
      </c>
      <c r="D43" s="64">
        <f>'ERROR FINAL'!I46</f>
        <v>0</v>
      </c>
      <c r="E43" s="65">
        <f>'ERROR FINAL'!U46</f>
        <v>-0.87579617834394452</v>
      </c>
      <c r="F43" s="66">
        <f>'ERROR FINAL'!AG46</f>
        <v>-0.69930069930071992</v>
      </c>
      <c r="G43" s="66">
        <f>'ERROR FINAL'!AS46</f>
        <v>0.7984031936130056</v>
      </c>
      <c r="H43" s="67" t="str">
        <f>IF('ERROR FINAL'!AT46="CONFORME","CONFORME","NO CONFORME")</f>
        <v>CONFORME</v>
      </c>
      <c r="I43" s="68" t="str">
        <f t="shared" si="0"/>
        <v>Medición</v>
      </c>
    </row>
    <row r="44" spans="1:9" x14ac:dyDescent="0.25">
      <c r="A44" s="61">
        <f>'ERROR FINAL'!A47</f>
        <v>39</v>
      </c>
      <c r="B44" s="62">
        <f>'ERROR FINAL'!D47</f>
        <v>3</v>
      </c>
      <c r="C44" s="63" t="str">
        <f>'ERROR FINAL'!G47</f>
        <v>PA25516903</v>
      </c>
      <c r="D44" s="64">
        <f>'ERROR FINAL'!I47</f>
        <v>0</v>
      </c>
      <c r="E44" s="65">
        <f>'ERROR FINAL'!U47</f>
        <v>-0.33837579617833319</v>
      </c>
      <c r="F44" s="66">
        <f>'ERROR FINAL'!AG47</f>
        <v>-0.69930069930071992</v>
      </c>
      <c r="G44" s="66">
        <f>'ERROR FINAL'!AS47</f>
        <v>9.5731805716181162E-13</v>
      </c>
      <c r="H44" s="67" t="str">
        <f>IF('ERROR FINAL'!AT47="CONFORME","CONFORME","NO CONFORME")</f>
        <v>CONFORME</v>
      </c>
      <c r="I44" s="68" t="str">
        <f t="shared" si="0"/>
        <v>Medición</v>
      </c>
    </row>
    <row r="45" spans="1:9" x14ac:dyDescent="0.25">
      <c r="A45" s="61">
        <f>'ERROR FINAL'!A48</f>
        <v>40</v>
      </c>
      <c r="B45" s="62">
        <f>'ERROR FINAL'!D48</f>
        <v>3</v>
      </c>
      <c r="C45" s="63" t="str">
        <f>'ERROR FINAL'!G48</f>
        <v>PA25516904</v>
      </c>
      <c r="D45" s="64">
        <f>'ERROR FINAL'!I48</f>
        <v>0</v>
      </c>
      <c r="E45" s="65">
        <f>'ERROR FINAL'!U48</f>
        <v>-0.62699044585986807</v>
      </c>
      <c r="F45" s="66">
        <f>'ERROR FINAL'!AG48</f>
        <v>-0.2997002997003998</v>
      </c>
      <c r="G45" s="66">
        <f>'ERROR FINAL'!AS48</f>
        <v>0.99800399201601764</v>
      </c>
      <c r="H45" s="67" t="str">
        <f>IF('ERROR FINAL'!AT48="CONFORME","CONFORME","NO CONFORME")</f>
        <v>CONFORME</v>
      </c>
      <c r="I45" s="68" t="str">
        <f t="shared" si="0"/>
        <v>Medición</v>
      </c>
    </row>
    <row r="46" spans="1:9" x14ac:dyDescent="0.25">
      <c r="A46" s="61">
        <f>'ERROR FINAL'!A49</f>
        <v>41</v>
      </c>
      <c r="B46" s="62">
        <f>'ERROR FINAL'!D49</f>
        <v>3</v>
      </c>
      <c r="C46" s="63" t="str">
        <f>'ERROR FINAL'!G49</f>
        <v>PA25516905</v>
      </c>
      <c r="D46" s="64">
        <f>'ERROR FINAL'!I49</f>
        <v>0</v>
      </c>
      <c r="E46" s="65">
        <f>'ERROR FINAL'!U49</f>
        <v>-0.69665605095541683</v>
      </c>
      <c r="F46" s="66">
        <f>'ERROR FINAL'!AG49</f>
        <v>-1.0989010989013239</v>
      </c>
      <c r="G46" s="66">
        <f>'ERROR FINAL'!AS49</f>
        <v>-1.197604790418817</v>
      </c>
      <c r="H46" s="67" t="str">
        <f>IF('ERROR FINAL'!AT49="CONFORME","CONFORME","NO CONFORME")</f>
        <v>CONFORME</v>
      </c>
      <c r="I46" s="68" t="str">
        <f t="shared" si="0"/>
        <v>Medición</v>
      </c>
    </row>
    <row r="47" spans="1:9" x14ac:dyDescent="0.25">
      <c r="A47" s="61">
        <f>'ERROR FINAL'!A50</f>
        <v>42</v>
      </c>
      <c r="B47" s="62">
        <f>'ERROR FINAL'!D50</f>
        <v>3</v>
      </c>
      <c r="C47" s="63" t="str">
        <f>'ERROR FINAL'!G50</f>
        <v>PA25516906</v>
      </c>
      <c r="D47" s="64">
        <f>'ERROR FINAL'!I50</f>
        <v>0</v>
      </c>
      <c r="E47" s="65">
        <f>'ERROR FINAL'!U50</f>
        <v>-0.37818471337580578</v>
      </c>
      <c r="F47" s="66">
        <f>'ERROR FINAL'!AG50</f>
        <v>-0.79920079920072895</v>
      </c>
      <c r="G47" s="66">
        <f>'ERROR FINAL'!AS50</f>
        <v>-0.19960079840318934</v>
      </c>
      <c r="H47" s="67" t="str">
        <f>IF('ERROR FINAL'!AT50="CONFORME","CONFORME","NO CONFORME")</f>
        <v>CONFORME</v>
      </c>
      <c r="I47" s="68" t="str">
        <f t="shared" si="0"/>
        <v>Medición</v>
      </c>
    </row>
    <row r="48" spans="1:9" x14ac:dyDescent="0.25">
      <c r="A48" s="61">
        <f>'ERROR FINAL'!A51</f>
        <v>43</v>
      </c>
      <c r="B48" s="62">
        <f>'ERROR FINAL'!D51</f>
        <v>3</v>
      </c>
      <c r="C48" s="63" t="str">
        <f>'ERROR FINAL'!G51</f>
        <v>PA25516907</v>
      </c>
      <c r="D48" s="64">
        <f>'ERROR FINAL'!I51</f>
        <v>0</v>
      </c>
      <c r="E48" s="65">
        <f>'ERROR FINAL'!U51</f>
        <v>-0.65684713375797243</v>
      </c>
      <c r="F48" s="66">
        <f>'ERROR FINAL'!AG51</f>
        <v>-0.69930069930043592</v>
      </c>
      <c r="G48" s="66">
        <f>'ERROR FINAL'!AS51</f>
        <v>-0.19960079840318934</v>
      </c>
      <c r="H48" s="67" t="str">
        <f>IF('ERROR FINAL'!AT51="CONFORME","CONFORME","NO CONFORME")</f>
        <v>CONFORME</v>
      </c>
      <c r="I48" s="68" t="str">
        <f t="shared" si="0"/>
        <v>Medición</v>
      </c>
    </row>
    <row r="49" spans="1:9" x14ac:dyDescent="0.25">
      <c r="A49" s="61">
        <f>'ERROR FINAL'!A52</f>
        <v>44</v>
      </c>
      <c r="B49" s="62">
        <f>'ERROR FINAL'!D52</f>
        <v>3</v>
      </c>
      <c r="C49" s="63" t="str">
        <f>'ERROR FINAL'!G52</f>
        <v>PA25516908</v>
      </c>
      <c r="D49" s="64">
        <f>'ERROR FINAL'!I52</f>
        <v>0</v>
      </c>
      <c r="E49" s="65">
        <f>'ERROR FINAL'!U52</f>
        <v>-0.17914012738852766</v>
      </c>
      <c r="F49" s="66">
        <f>'ERROR FINAL'!AG52</f>
        <v>-0.99900099900131489</v>
      </c>
      <c r="G49" s="66">
        <f>'ERROR FINAL'!AS52</f>
        <v>-0.79840319361222567</v>
      </c>
      <c r="H49" s="67" t="str">
        <f>IF('ERROR FINAL'!AT52="CONFORME","CONFORME","NO CONFORME")</f>
        <v>CONFORME</v>
      </c>
      <c r="I49" s="68" t="str">
        <f t="shared" si="0"/>
        <v>Medición</v>
      </c>
    </row>
    <row r="50" spans="1:9" x14ac:dyDescent="0.25">
      <c r="A50" s="61">
        <f>'ERROR FINAL'!A53</f>
        <v>45</v>
      </c>
      <c r="B50" s="62">
        <f>'ERROR FINAL'!D53</f>
        <v>3</v>
      </c>
      <c r="C50" s="63" t="str">
        <f>'ERROR FINAL'!G53</f>
        <v>PA25516909</v>
      </c>
      <c r="D50" s="64">
        <f>'ERROR FINAL'!I53</f>
        <v>0</v>
      </c>
      <c r="E50" s="65">
        <f>'ERROR FINAL'!U53</f>
        <v>-0.71656050955412476</v>
      </c>
      <c r="F50" s="66">
        <f>'ERROR FINAL'!AG53</f>
        <v>-8.872911285715537E-14</v>
      </c>
      <c r="G50" s="66">
        <f>'ERROR FINAL'!AS53</f>
        <v>-0.19960079840318934</v>
      </c>
      <c r="H50" s="67" t="str">
        <f>IF('ERROR FINAL'!AT53="CONFORME","CONFORME","NO CONFORME")</f>
        <v>CONFORME</v>
      </c>
      <c r="I50" s="68" t="str">
        <f t="shared" si="0"/>
        <v>Medición</v>
      </c>
    </row>
    <row r="51" spans="1:9" x14ac:dyDescent="0.25">
      <c r="A51" s="61">
        <f>'ERROR FINAL'!A54</f>
        <v>46</v>
      </c>
      <c r="B51" s="62">
        <f>'ERROR FINAL'!D54</f>
        <v>3</v>
      </c>
      <c r="C51" s="63" t="str">
        <f>'ERROR FINAL'!G54</f>
        <v>PA25516910</v>
      </c>
      <c r="D51" s="64">
        <f>'ERROR FINAL'!I54</f>
        <v>0</v>
      </c>
      <c r="E51" s="65">
        <f>'ERROR FINAL'!U54</f>
        <v>-0.53742038216561128</v>
      </c>
      <c r="F51" s="66">
        <f>'ERROR FINAL'!AG54</f>
        <v>-0.19980019980010683</v>
      </c>
      <c r="G51" s="66">
        <f>'ERROR FINAL'!AS54</f>
        <v>0.79840319361243839</v>
      </c>
      <c r="H51" s="67" t="str">
        <f>IF('ERROR FINAL'!AT54="CONFORME","CONFORME","NO CONFORME")</f>
        <v>CONFORME</v>
      </c>
      <c r="I51" s="68" t="str">
        <f t="shared" si="0"/>
        <v>Medición</v>
      </c>
    </row>
    <row r="52" spans="1:9" x14ac:dyDescent="0.25">
      <c r="A52" s="61">
        <f>'ERROR FINAL'!A56</f>
        <v>48</v>
      </c>
      <c r="B52" s="62">
        <f>'ERROR FINAL'!D56</f>
        <v>3</v>
      </c>
      <c r="C52" s="63" t="str">
        <f>'ERROR FINAL'!G56</f>
        <v>PA25516911</v>
      </c>
      <c r="D52" s="64">
        <f>'ERROR FINAL'!I56</f>
        <v>0</v>
      </c>
      <c r="E52" s="65">
        <f>'ERROR FINAL'!U56</f>
        <v>-1.5027866242038268</v>
      </c>
      <c r="F52" s="66">
        <f>'ERROR FINAL'!AG56</f>
        <v>-0.59940059940071089</v>
      </c>
      <c r="G52" s="66">
        <f>'ERROR FINAL'!AS56</f>
        <v>0.39920159680641415</v>
      </c>
      <c r="H52" s="67" t="str">
        <f>IF('ERROR FINAL'!AT56="CONFORME","CONFORME","NO CONFORME")</f>
        <v>CONFORME</v>
      </c>
      <c r="I52" s="68" t="str">
        <f t="shared" si="0"/>
        <v>Medición</v>
      </c>
    </row>
    <row r="53" spans="1:9" x14ac:dyDescent="0.25">
      <c r="A53" s="61">
        <f>'ERROR FINAL'!A57</f>
        <v>49</v>
      </c>
      <c r="B53" s="62">
        <f>'ERROR FINAL'!D57</f>
        <v>3</v>
      </c>
      <c r="C53" s="63" t="str">
        <f>'ERROR FINAL'!G57</f>
        <v>PA25516912</v>
      </c>
      <c r="D53" s="64">
        <f>'ERROR FINAL'!I57</f>
        <v>0</v>
      </c>
      <c r="E53" s="65">
        <f>'ERROR FINAL'!U57</f>
        <v>-0.67675159235669469</v>
      </c>
      <c r="F53" s="66">
        <f>'ERROR FINAL'!AG57</f>
        <v>-0.79920079920072895</v>
      </c>
      <c r="G53" s="66">
        <f>'ERROR FINAL'!AS57</f>
        <v>-1.772811216966318E-13</v>
      </c>
      <c r="H53" s="67" t="str">
        <f>IF('ERROR FINAL'!AT57="CONFORME","CONFORME","NO CONFORME")</f>
        <v>CONFORME</v>
      </c>
      <c r="I53" s="68" t="str">
        <f t="shared" si="0"/>
        <v>Medición</v>
      </c>
    </row>
    <row r="54" spans="1:9" x14ac:dyDescent="0.25">
      <c r="A54" s="61">
        <f>'ERROR FINAL'!A58</f>
        <v>50</v>
      </c>
      <c r="B54" s="62">
        <f>'ERROR FINAL'!D58</f>
        <v>3</v>
      </c>
      <c r="C54" s="63">
        <f>'ERROR FINAL'!G58</f>
        <v>0</v>
      </c>
      <c r="D54" s="64">
        <f>'ERROR FINAL'!I58</f>
        <v>0</v>
      </c>
      <c r="E54" s="65">
        <f>'ERROR FINAL'!U58</f>
        <v>-100</v>
      </c>
      <c r="F54" s="66">
        <f>'ERROR FINAL'!AG58</f>
        <v>-100</v>
      </c>
      <c r="G54" s="66">
        <f>'ERROR FINAL'!AS58</f>
        <v>-100</v>
      </c>
      <c r="H54" s="67" t="str">
        <f>IF('ERROR FINAL'!AT58="CONFORME","CONFORME","NO CONFORME")</f>
        <v>NO CONFORME</v>
      </c>
      <c r="I54" s="68" t="str">
        <f t="shared" si="0"/>
        <v>Medición</v>
      </c>
    </row>
    <row r="55" spans="1:9" x14ac:dyDescent="0.25">
      <c r="A55" s="61">
        <f>'ERROR FINAL'!A59</f>
        <v>51</v>
      </c>
      <c r="B55" s="62">
        <f>'ERROR FINAL'!D59</f>
        <v>3</v>
      </c>
      <c r="C55" s="63">
        <f>'ERROR FINAL'!G59</f>
        <v>0</v>
      </c>
      <c r="D55" s="64">
        <f>'ERROR FINAL'!I59</f>
        <v>0</v>
      </c>
      <c r="E55" s="65">
        <f>'ERROR FINAL'!U59</f>
        <v>-100</v>
      </c>
      <c r="F55" s="66">
        <f>'ERROR FINAL'!AG59</f>
        <v>-100</v>
      </c>
      <c r="G55" s="66">
        <f>'ERROR FINAL'!AS59</f>
        <v>-100</v>
      </c>
      <c r="H55" s="67" t="str">
        <f>IF('ERROR FINAL'!AT59="CONFORME","CONFORME","NO CONFORME")</f>
        <v>NO CONFORME</v>
      </c>
      <c r="I55" s="68" t="str">
        <f t="shared" si="0"/>
        <v>Medición</v>
      </c>
    </row>
    <row r="56" spans="1:9" x14ac:dyDescent="0.25">
      <c r="A56" s="61">
        <f>'ERROR FINAL'!A60</f>
        <v>52</v>
      </c>
      <c r="B56" s="62">
        <f>'ERROR FINAL'!D60</f>
        <v>3</v>
      </c>
      <c r="C56" s="63">
        <f>'ERROR FINAL'!G60</f>
        <v>0</v>
      </c>
      <c r="D56" s="64">
        <f>'ERROR FINAL'!I60</f>
        <v>0</v>
      </c>
      <c r="E56" s="65">
        <f>'ERROR FINAL'!U60</f>
        <v>-100</v>
      </c>
      <c r="F56" s="66">
        <f>'ERROR FINAL'!AG60</f>
        <v>-100</v>
      </c>
      <c r="G56" s="66">
        <f>'ERROR FINAL'!AS60</f>
        <v>-100</v>
      </c>
      <c r="H56" s="67" t="str">
        <f>IF('ERROR FINAL'!AT60="CONFORME","CONFORME","NO CONFORME")</f>
        <v>NO CONFORME</v>
      </c>
      <c r="I56" s="68" t="str">
        <f t="shared" si="0"/>
        <v>Medición</v>
      </c>
    </row>
    <row r="57" spans="1:9" x14ac:dyDescent="0.25">
      <c r="A57" s="61">
        <f>'ERROR FINAL'!A61</f>
        <v>53</v>
      </c>
      <c r="B57" s="62">
        <f>'ERROR FINAL'!D61</f>
        <v>3</v>
      </c>
      <c r="C57" s="63">
        <f>'ERROR FINAL'!G61</f>
        <v>0</v>
      </c>
      <c r="D57" s="64">
        <f>'ERROR FINAL'!I61</f>
        <v>0</v>
      </c>
      <c r="E57" s="65">
        <f>'ERROR FINAL'!U61</f>
        <v>-100</v>
      </c>
      <c r="F57" s="66">
        <f>'ERROR FINAL'!AG61</f>
        <v>-100</v>
      </c>
      <c r="G57" s="66">
        <f>'ERROR FINAL'!AS61</f>
        <v>-100</v>
      </c>
      <c r="H57" s="67" t="str">
        <f>IF('ERROR FINAL'!AT61="CONFORME","CONFORME","NO CONFORME")</f>
        <v>NO CONFORME</v>
      </c>
      <c r="I57" s="68" t="str">
        <f t="shared" si="0"/>
        <v>Medición</v>
      </c>
    </row>
    <row r="58" spans="1:9" x14ac:dyDescent="0.25">
      <c r="A58" s="61">
        <f>'ERROR FINAL'!A62</f>
        <v>54</v>
      </c>
      <c r="B58" s="62">
        <f>'ERROR FINAL'!D62</f>
        <v>3</v>
      </c>
      <c r="C58" s="63">
        <f>'ERROR FINAL'!G62</f>
        <v>0</v>
      </c>
      <c r="D58" s="64">
        <f>'ERROR FINAL'!I62</f>
        <v>0</v>
      </c>
      <c r="E58" s="65">
        <f>'ERROR FINAL'!U62</f>
        <v>-100</v>
      </c>
      <c r="F58" s="66">
        <f>'ERROR FINAL'!AG62</f>
        <v>-100</v>
      </c>
      <c r="G58" s="66">
        <f>'ERROR FINAL'!AS62</f>
        <v>-100</v>
      </c>
      <c r="H58" s="67" t="str">
        <f>IF('ERROR FINAL'!AT62="CONFORME","CONFORME","NO CONFORME")</f>
        <v>NO CONFORME</v>
      </c>
      <c r="I58" s="68" t="str">
        <f t="shared" si="0"/>
        <v>Medición</v>
      </c>
    </row>
    <row r="59" spans="1:9" x14ac:dyDescent="0.25">
      <c r="A59" s="61">
        <f>'ERROR FINAL'!A63</f>
        <v>55</v>
      </c>
      <c r="B59" s="62">
        <f>'ERROR FINAL'!D63</f>
        <v>3</v>
      </c>
      <c r="C59" s="63">
        <f>'ERROR FINAL'!G63</f>
        <v>0</v>
      </c>
      <c r="D59" s="64">
        <f>'ERROR FINAL'!I63</f>
        <v>0</v>
      </c>
      <c r="E59" s="65">
        <f>'ERROR FINAL'!U63</f>
        <v>-100</v>
      </c>
      <c r="F59" s="66">
        <f>'ERROR FINAL'!AG63</f>
        <v>-100</v>
      </c>
      <c r="G59" s="66">
        <f>'ERROR FINAL'!AS63</f>
        <v>-100</v>
      </c>
      <c r="H59" s="67" t="str">
        <f>IF('ERROR FINAL'!AT63="CONFORME","CONFORME","NO CONFORME")</f>
        <v>NO CONFORME</v>
      </c>
      <c r="I59" s="68" t="str">
        <f t="shared" si="0"/>
        <v>Medición</v>
      </c>
    </row>
    <row r="60" spans="1:9" x14ac:dyDescent="0.25">
      <c r="A60" s="61">
        <f>'ERROR FINAL'!A64</f>
        <v>56</v>
      </c>
      <c r="B60" s="62">
        <f>'ERROR FINAL'!D64</f>
        <v>3</v>
      </c>
      <c r="C60" s="63">
        <f>'ERROR FINAL'!G64</f>
        <v>0</v>
      </c>
      <c r="D60" s="64">
        <f>'ERROR FINAL'!I64</f>
        <v>0</v>
      </c>
      <c r="E60" s="65">
        <f>'ERROR FINAL'!U64</f>
        <v>-100</v>
      </c>
      <c r="F60" s="66">
        <f>'ERROR FINAL'!AG64</f>
        <v>-100</v>
      </c>
      <c r="G60" s="66">
        <f>'ERROR FINAL'!AS64</f>
        <v>-100</v>
      </c>
      <c r="H60" s="67" t="str">
        <f>IF('ERROR FINAL'!AT64="CONFORME","CONFORME","NO CONFORME")</f>
        <v>NO CONFORME</v>
      </c>
      <c r="I60" s="68" t="str">
        <f t="shared" si="0"/>
        <v>Medición</v>
      </c>
    </row>
    <row r="61" spans="1:9" x14ac:dyDescent="0.25">
      <c r="A61" s="61">
        <f>'ERROR FINAL'!A65</f>
        <v>57</v>
      </c>
      <c r="B61" s="62">
        <f>'ERROR FINAL'!D65</f>
        <v>3</v>
      </c>
      <c r="C61" s="63">
        <f>'ERROR FINAL'!G65</f>
        <v>0</v>
      </c>
      <c r="D61" s="64">
        <f>'ERROR FINAL'!I65</f>
        <v>0</v>
      </c>
      <c r="E61" s="65">
        <f>'ERROR FINAL'!U65</f>
        <v>-100</v>
      </c>
      <c r="F61" s="66">
        <f>'ERROR FINAL'!AG65</f>
        <v>-100</v>
      </c>
      <c r="G61" s="66">
        <f>'ERROR FINAL'!AS65</f>
        <v>-100</v>
      </c>
      <c r="H61" s="67" t="str">
        <f>IF('ERROR FINAL'!AT65="CONFORME","CONFORME","NO CONFORME")</f>
        <v>NO CONFORME</v>
      </c>
      <c r="I61" s="68" t="str">
        <f t="shared" si="0"/>
        <v>Medición</v>
      </c>
    </row>
    <row r="62" spans="1:9" x14ac:dyDescent="0.25">
      <c r="A62" s="61">
        <f>'ERROR FINAL'!A66</f>
        <v>58</v>
      </c>
      <c r="B62" s="62">
        <f>'ERROR FINAL'!D66</f>
        <v>3</v>
      </c>
      <c r="C62" s="63">
        <f>'ERROR FINAL'!G66</f>
        <v>0</v>
      </c>
      <c r="D62" s="64">
        <f>'ERROR FINAL'!I66</f>
        <v>0</v>
      </c>
      <c r="E62" s="65">
        <f>'ERROR FINAL'!U66</f>
        <v>-100</v>
      </c>
      <c r="F62" s="66">
        <f>'ERROR FINAL'!AG66</f>
        <v>-100</v>
      </c>
      <c r="G62" s="66">
        <f>'ERROR FINAL'!AS66</f>
        <v>-100</v>
      </c>
      <c r="H62" s="67" t="str">
        <f>IF('ERROR FINAL'!AT66="CONFORME","CONFORME","NO CONFORME")</f>
        <v>NO CONFORME</v>
      </c>
      <c r="I62" s="68" t="str">
        <f t="shared" si="0"/>
        <v>Medición</v>
      </c>
    </row>
    <row r="63" spans="1:9" x14ac:dyDescent="0.25">
      <c r="A63" s="61">
        <f>'ERROR FINAL'!A67</f>
        <v>59</v>
      </c>
      <c r="B63" s="62">
        <f>'ERROR FINAL'!D67</f>
        <v>3</v>
      </c>
      <c r="C63" s="63">
        <f>'ERROR FINAL'!G67</f>
        <v>0</v>
      </c>
      <c r="D63" s="64">
        <f>'ERROR FINAL'!I67</f>
        <v>0</v>
      </c>
      <c r="E63" s="65">
        <f>'ERROR FINAL'!U67</f>
        <v>-100</v>
      </c>
      <c r="F63" s="66">
        <f>'ERROR FINAL'!AG67</f>
        <v>-100</v>
      </c>
      <c r="G63" s="66">
        <f>'ERROR FINAL'!AS67</f>
        <v>-100</v>
      </c>
      <c r="H63" s="67" t="str">
        <f>IF('ERROR FINAL'!AT67="CONFORME","CONFORME","NO CONFORME")</f>
        <v>NO CONFORME</v>
      </c>
      <c r="I63" s="68" t="str">
        <f t="shared" si="0"/>
        <v>Medición</v>
      </c>
    </row>
    <row r="64" spans="1:9" x14ac:dyDescent="0.25">
      <c r="A64" s="61">
        <f>'ERROR FINAL'!A68</f>
        <v>60</v>
      </c>
      <c r="B64" s="62">
        <f>'ERROR FINAL'!D68</f>
        <v>3</v>
      </c>
      <c r="C64" s="63">
        <f>'ERROR FINAL'!G68</f>
        <v>0</v>
      </c>
      <c r="D64" s="64">
        <f>'ERROR FINAL'!I68</f>
        <v>0</v>
      </c>
      <c r="E64" s="65">
        <f>'ERROR FINAL'!U68</f>
        <v>-100</v>
      </c>
      <c r="F64" s="66">
        <f>'ERROR FINAL'!AG68</f>
        <v>-100</v>
      </c>
      <c r="G64" s="66">
        <f>'ERROR FINAL'!AS68</f>
        <v>-100</v>
      </c>
      <c r="H64" s="67" t="str">
        <f>IF('ERROR FINAL'!AT68="CONFORME","CONFORME","NO CONFORME")</f>
        <v>NO CONFORME</v>
      </c>
      <c r="I64" s="68" t="str">
        <f t="shared" si="0"/>
        <v>Medición</v>
      </c>
    </row>
    <row r="65" spans="1:9" x14ac:dyDescent="0.25">
      <c r="A65" s="61">
        <f>'ERROR FINAL'!A69</f>
        <v>61</v>
      </c>
      <c r="B65" s="62">
        <f>'ERROR FINAL'!D69</f>
        <v>3</v>
      </c>
      <c r="C65" s="63">
        <f>'ERROR FINAL'!G69</f>
        <v>0</v>
      </c>
      <c r="D65" s="64">
        <f>'ERROR FINAL'!I69</f>
        <v>0</v>
      </c>
      <c r="E65" s="65">
        <f>'ERROR FINAL'!U69</f>
        <v>-100</v>
      </c>
      <c r="F65" s="66">
        <f>'ERROR FINAL'!AG69</f>
        <v>-100</v>
      </c>
      <c r="G65" s="66">
        <f>'ERROR FINAL'!AS69</f>
        <v>-100</v>
      </c>
      <c r="H65" s="67" t="str">
        <f>IF('ERROR FINAL'!AT69="CONFORME","CONFORME","NO CONFORME")</f>
        <v>NO CONFORME</v>
      </c>
      <c r="I65" s="68" t="str">
        <f t="shared" si="0"/>
        <v>Medición</v>
      </c>
    </row>
    <row r="66" spans="1:9" x14ac:dyDescent="0.25">
      <c r="A66" s="61">
        <f>'ERROR FINAL'!A70</f>
        <v>62</v>
      </c>
      <c r="B66" s="62">
        <f>'ERROR FINAL'!D70</f>
        <v>3</v>
      </c>
      <c r="C66" s="63">
        <f>'ERROR FINAL'!G70</f>
        <v>0</v>
      </c>
      <c r="D66" s="64">
        <f>'ERROR FINAL'!I70</f>
        <v>0</v>
      </c>
      <c r="E66" s="65">
        <f>'ERROR FINAL'!U70</f>
        <v>-100</v>
      </c>
      <c r="F66" s="66">
        <f>'ERROR FINAL'!AG70</f>
        <v>-100</v>
      </c>
      <c r="G66" s="66">
        <f>'ERROR FINAL'!AS70</f>
        <v>-100</v>
      </c>
      <c r="H66" s="67" t="str">
        <f>IF('ERROR FINAL'!AT70="CONFORME","CONFORME","NO CONFORME")</f>
        <v>NO CONFORME</v>
      </c>
      <c r="I66" s="68" t="str">
        <f t="shared" si="0"/>
        <v>Medición</v>
      </c>
    </row>
    <row r="67" spans="1:9" x14ac:dyDescent="0.25">
      <c r="A67" s="61">
        <f>'ERROR FINAL'!A71</f>
        <v>63</v>
      </c>
      <c r="B67" s="62">
        <f>'ERROR FINAL'!D71</f>
        <v>3</v>
      </c>
      <c r="C67" s="63">
        <f>'ERROR FINAL'!G71</f>
        <v>0</v>
      </c>
      <c r="D67" s="64">
        <f>'ERROR FINAL'!I71</f>
        <v>0</v>
      </c>
      <c r="E67" s="65">
        <f>'ERROR FINAL'!U71</f>
        <v>-100</v>
      </c>
      <c r="F67" s="66">
        <f>'ERROR FINAL'!AG71</f>
        <v>-100</v>
      </c>
      <c r="G67" s="66">
        <f>'ERROR FINAL'!AS71</f>
        <v>-100</v>
      </c>
      <c r="H67" s="67" t="str">
        <f>IF('ERROR FINAL'!AT71="CONFORME","CONFORME","NO CONFORME")</f>
        <v>NO CONFORME</v>
      </c>
      <c r="I67" s="68" t="str">
        <f t="shared" si="0"/>
        <v>Medición</v>
      </c>
    </row>
    <row r="68" spans="1:9" x14ac:dyDescent="0.25">
      <c r="A68" s="61">
        <f>'ERROR FINAL'!A72</f>
        <v>64</v>
      </c>
      <c r="B68" s="62">
        <f>'ERROR FINAL'!D72</f>
        <v>3</v>
      </c>
      <c r="C68" s="63">
        <f>'ERROR FINAL'!G72</f>
        <v>0</v>
      </c>
      <c r="D68" s="64">
        <f>'ERROR FINAL'!I72</f>
        <v>0</v>
      </c>
      <c r="E68" s="65">
        <f>'ERROR FINAL'!U72</f>
        <v>-100</v>
      </c>
      <c r="F68" s="66">
        <f>'ERROR FINAL'!AG72</f>
        <v>-100</v>
      </c>
      <c r="G68" s="66">
        <f>'ERROR FINAL'!AS72</f>
        <v>-100</v>
      </c>
      <c r="H68" s="67" t="str">
        <f>IF('ERROR FINAL'!AT72="CONFORME","CONFORME","NO CONFORME")</f>
        <v>NO CONFORME</v>
      </c>
      <c r="I68" s="68" t="str">
        <f t="shared" si="0"/>
        <v>Medición</v>
      </c>
    </row>
    <row r="69" spans="1:9" x14ac:dyDescent="0.25">
      <c r="A69" s="61">
        <f>'ERROR FINAL'!A73</f>
        <v>65</v>
      </c>
      <c r="B69" s="62">
        <f>'ERROR FINAL'!D73</f>
        <v>3</v>
      </c>
      <c r="C69" s="63">
        <f>'ERROR FINAL'!G73</f>
        <v>0</v>
      </c>
      <c r="D69" s="64">
        <f>'ERROR FINAL'!I73</f>
        <v>0</v>
      </c>
      <c r="E69" s="65">
        <f>'ERROR FINAL'!U73</f>
        <v>-100</v>
      </c>
      <c r="F69" s="66">
        <f>'ERROR FINAL'!AG73</f>
        <v>-100</v>
      </c>
      <c r="G69" s="66">
        <f>'ERROR FINAL'!AS73</f>
        <v>-100</v>
      </c>
      <c r="H69" s="67" t="str">
        <f>IF('ERROR FINAL'!AT73="CONFORME","CONFORME","NO CONFORME")</f>
        <v>NO CONFORME</v>
      </c>
      <c r="I69" s="68" t="str">
        <f t="shared" si="0"/>
        <v>Medición</v>
      </c>
    </row>
    <row r="70" spans="1:9" x14ac:dyDescent="0.25">
      <c r="A70" s="61">
        <f>'ERROR FINAL'!A74</f>
        <v>66</v>
      </c>
      <c r="B70" s="62">
        <f>'ERROR FINAL'!D74</f>
        <v>3</v>
      </c>
      <c r="C70" s="63">
        <f>'ERROR FINAL'!G74</f>
        <v>0</v>
      </c>
      <c r="D70" s="64">
        <f>'ERROR FINAL'!I74</f>
        <v>0</v>
      </c>
      <c r="E70" s="65">
        <f>'ERROR FINAL'!U74</f>
        <v>-100</v>
      </c>
      <c r="F70" s="66">
        <f>'ERROR FINAL'!AG74</f>
        <v>-100</v>
      </c>
      <c r="G70" s="66">
        <f>'ERROR FINAL'!AS74</f>
        <v>-100</v>
      </c>
      <c r="H70" s="67" t="str">
        <f>IF('ERROR FINAL'!AT74="CONFORME","CONFORME","NO CONFORME")</f>
        <v>NO CONFORME</v>
      </c>
      <c r="I70" s="68" t="str">
        <f t="shared" si="0"/>
        <v>Medición</v>
      </c>
    </row>
    <row r="71" spans="1:9" x14ac:dyDescent="0.25">
      <c r="A71" s="61">
        <f>'ERROR FINAL'!A75</f>
        <v>67</v>
      </c>
      <c r="B71" s="62">
        <f>'ERROR FINAL'!D75</f>
        <v>3</v>
      </c>
      <c r="C71" s="63">
        <f>'ERROR FINAL'!G75</f>
        <v>0</v>
      </c>
      <c r="D71" s="64">
        <f>'ERROR FINAL'!I75</f>
        <v>0</v>
      </c>
      <c r="E71" s="65">
        <f>'ERROR FINAL'!U75</f>
        <v>-100</v>
      </c>
      <c r="F71" s="66">
        <f>'ERROR FINAL'!AG75</f>
        <v>-100</v>
      </c>
      <c r="G71" s="66">
        <f>'ERROR FINAL'!AS75</f>
        <v>-100</v>
      </c>
      <c r="H71" s="67" t="str">
        <f>IF('ERROR FINAL'!AT75="CONFORME","CONFORME","NO CONFORME")</f>
        <v>NO CONFORME</v>
      </c>
      <c r="I71" s="68" t="str">
        <f t="shared" ref="I71:I134" si="1">IF(D71=0,"Medición",IF(D71=1,"Daño físico",IF(D71=2,"Fuga",IF(D71=3,"Picado",IF(D71=4,"Desfasado",IF(D71=5,"Paralizado","¿?"))))))</f>
        <v>Medición</v>
      </c>
    </row>
    <row r="72" spans="1:9" x14ac:dyDescent="0.25">
      <c r="A72" s="61">
        <f>'ERROR FINAL'!A76</f>
        <v>68</v>
      </c>
      <c r="B72" s="62">
        <f>'ERROR FINAL'!D76</f>
        <v>3</v>
      </c>
      <c r="C72" s="63">
        <f>'ERROR FINAL'!G76</f>
        <v>0</v>
      </c>
      <c r="D72" s="64">
        <f>'ERROR FINAL'!I76</f>
        <v>0</v>
      </c>
      <c r="E72" s="65">
        <f>'ERROR FINAL'!U76</f>
        <v>-100</v>
      </c>
      <c r="F72" s="66">
        <f>'ERROR FINAL'!AG76</f>
        <v>-100</v>
      </c>
      <c r="G72" s="66">
        <f>'ERROR FINAL'!AS76</f>
        <v>-100</v>
      </c>
      <c r="H72" s="67" t="str">
        <f>IF('ERROR FINAL'!AT76="CONFORME","CONFORME","NO CONFORME")</f>
        <v>NO CONFORME</v>
      </c>
      <c r="I72" s="68" t="str">
        <f t="shared" si="1"/>
        <v>Medición</v>
      </c>
    </row>
    <row r="73" spans="1:9" x14ac:dyDescent="0.25">
      <c r="A73" s="61">
        <f>'ERROR FINAL'!A77</f>
        <v>69</v>
      </c>
      <c r="B73" s="62">
        <f>'ERROR FINAL'!D77</f>
        <v>3</v>
      </c>
      <c r="C73" s="63">
        <f>'ERROR FINAL'!G77</f>
        <v>0</v>
      </c>
      <c r="D73" s="64">
        <f>'ERROR FINAL'!I77</f>
        <v>0</v>
      </c>
      <c r="E73" s="65">
        <f>'ERROR FINAL'!U77</f>
        <v>-100</v>
      </c>
      <c r="F73" s="66">
        <f>'ERROR FINAL'!AG77</f>
        <v>-100</v>
      </c>
      <c r="G73" s="66">
        <f>'ERROR FINAL'!AS77</f>
        <v>-100</v>
      </c>
      <c r="H73" s="67" t="str">
        <f>IF('ERROR FINAL'!AT77="CONFORME","CONFORME","NO CONFORME")</f>
        <v>NO CONFORME</v>
      </c>
      <c r="I73" s="68" t="str">
        <f t="shared" si="1"/>
        <v>Medición</v>
      </c>
    </row>
    <row r="74" spans="1:9" x14ac:dyDescent="0.25">
      <c r="A74" s="61">
        <f>'ERROR FINAL'!A78</f>
        <v>70</v>
      </c>
      <c r="B74" s="62">
        <f>'ERROR FINAL'!D78</f>
        <v>3</v>
      </c>
      <c r="C74" s="63">
        <f>'ERROR FINAL'!G78</f>
        <v>0</v>
      </c>
      <c r="D74" s="64">
        <f>'ERROR FINAL'!I78</f>
        <v>0</v>
      </c>
      <c r="E74" s="65">
        <f>'ERROR FINAL'!U78</f>
        <v>-100</v>
      </c>
      <c r="F74" s="66">
        <f>'ERROR FINAL'!AG78</f>
        <v>-100</v>
      </c>
      <c r="G74" s="66">
        <f>'ERROR FINAL'!AS78</f>
        <v>-100</v>
      </c>
      <c r="H74" s="67" t="str">
        <f>IF('ERROR FINAL'!AT78="CONFORME","CONFORME","NO CONFORME")</f>
        <v>NO CONFORME</v>
      </c>
      <c r="I74" s="68" t="str">
        <f t="shared" si="1"/>
        <v>Medición</v>
      </c>
    </row>
    <row r="75" spans="1:9" x14ac:dyDescent="0.25">
      <c r="A75" s="61">
        <f>'ERROR FINAL'!A79</f>
        <v>71</v>
      </c>
      <c r="B75" s="62">
        <f>'ERROR FINAL'!D79</f>
        <v>3</v>
      </c>
      <c r="C75" s="63">
        <f>'ERROR FINAL'!G79</f>
        <v>0</v>
      </c>
      <c r="D75" s="64">
        <f>'ERROR FINAL'!I79</f>
        <v>0</v>
      </c>
      <c r="E75" s="65">
        <f>'ERROR FINAL'!U79</f>
        <v>-100</v>
      </c>
      <c r="F75" s="66">
        <f>'ERROR FINAL'!AG79</f>
        <v>-100</v>
      </c>
      <c r="G75" s="66">
        <f>'ERROR FINAL'!AS79</f>
        <v>-100</v>
      </c>
      <c r="H75" s="67" t="str">
        <f>IF('ERROR FINAL'!AT79="CONFORME","CONFORME","NO CONFORME")</f>
        <v>NO CONFORME</v>
      </c>
      <c r="I75" s="68" t="str">
        <f t="shared" si="1"/>
        <v>Medición</v>
      </c>
    </row>
    <row r="76" spans="1:9" x14ac:dyDescent="0.25">
      <c r="A76" s="61">
        <f>'ERROR FINAL'!A80</f>
        <v>72</v>
      </c>
      <c r="B76" s="62">
        <f>'ERROR FINAL'!D80</f>
        <v>3</v>
      </c>
      <c r="C76" s="63">
        <f>'ERROR FINAL'!G80</f>
        <v>0</v>
      </c>
      <c r="D76" s="64">
        <f>'ERROR FINAL'!I80</f>
        <v>0</v>
      </c>
      <c r="E76" s="65">
        <f>'ERROR FINAL'!U80</f>
        <v>-100</v>
      </c>
      <c r="F76" s="66">
        <f>'ERROR FINAL'!AG80</f>
        <v>-100</v>
      </c>
      <c r="G76" s="66">
        <f>'ERROR FINAL'!AS80</f>
        <v>-100</v>
      </c>
      <c r="H76" s="67" t="str">
        <f>IF('ERROR FINAL'!AT80="CONFORME","CONFORME","NO CONFORME")</f>
        <v>NO CONFORME</v>
      </c>
      <c r="I76" s="68" t="str">
        <f t="shared" si="1"/>
        <v>Medición</v>
      </c>
    </row>
    <row r="77" spans="1:9" x14ac:dyDescent="0.25">
      <c r="A77" s="61">
        <f>'ERROR FINAL'!A81</f>
        <v>73</v>
      </c>
      <c r="B77" s="62">
        <f>'ERROR FINAL'!D81</f>
        <v>3</v>
      </c>
      <c r="C77" s="63">
        <f>'ERROR FINAL'!G81</f>
        <v>0</v>
      </c>
      <c r="D77" s="64">
        <f>'ERROR FINAL'!I81</f>
        <v>0</v>
      </c>
      <c r="E77" s="65">
        <f>'ERROR FINAL'!U81</f>
        <v>-100</v>
      </c>
      <c r="F77" s="66">
        <f>'ERROR FINAL'!AG81</f>
        <v>-100</v>
      </c>
      <c r="G77" s="66">
        <f>'ERROR FINAL'!AS81</f>
        <v>-100</v>
      </c>
      <c r="H77" s="67" t="str">
        <f>IF('ERROR FINAL'!AT81="CONFORME","CONFORME","NO CONFORME")</f>
        <v>NO CONFORME</v>
      </c>
      <c r="I77" s="68" t="str">
        <f t="shared" si="1"/>
        <v>Medición</v>
      </c>
    </row>
    <row r="78" spans="1:9" x14ac:dyDescent="0.25">
      <c r="A78" s="61">
        <f>'ERROR FINAL'!A82</f>
        <v>74</v>
      </c>
      <c r="B78" s="62">
        <f>'ERROR FINAL'!D82</f>
        <v>3</v>
      </c>
      <c r="C78" s="63">
        <f>'ERROR FINAL'!G82</f>
        <v>0</v>
      </c>
      <c r="D78" s="64">
        <f>'ERROR FINAL'!I82</f>
        <v>0</v>
      </c>
      <c r="E78" s="65">
        <f>'ERROR FINAL'!U82</f>
        <v>-100</v>
      </c>
      <c r="F78" s="66">
        <f>'ERROR FINAL'!AG82</f>
        <v>-100</v>
      </c>
      <c r="G78" s="66">
        <f>'ERROR FINAL'!AS82</f>
        <v>-100</v>
      </c>
      <c r="H78" s="67" t="str">
        <f>IF('ERROR FINAL'!AT82="CONFORME","CONFORME","NO CONFORME")</f>
        <v>NO CONFORME</v>
      </c>
      <c r="I78" s="68" t="str">
        <f t="shared" si="1"/>
        <v>Medición</v>
      </c>
    </row>
    <row r="79" spans="1:9" x14ac:dyDescent="0.25">
      <c r="A79" s="61">
        <f>'ERROR FINAL'!A83</f>
        <v>75</v>
      </c>
      <c r="B79" s="62">
        <f>'ERROR FINAL'!D83</f>
        <v>3</v>
      </c>
      <c r="C79" s="63">
        <f>'ERROR FINAL'!G83</f>
        <v>0</v>
      </c>
      <c r="D79" s="64">
        <f>'ERROR FINAL'!I83</f>
        <v>0</v>
      </c>
      <c r="E79" s="65">
        <f>'ERROR FINAL'!U83</f>
        <v>-100</v>
      </c>
      <c r="F79" s="66">
        <f>'ERROR FINAL'!AG83</f>
        <v>-100</v>
      </c>
      <c r="G79" s="66">
        <f>'ERROR FINAL'!AS83</f>
        <v>-100</v>
      </c>
      <c r="H79" s="67" t="str">
        <f>IF('ERROR FINAL'!AT83="CONFORME","CONFORME","NO CONFORME")</f>
        <v>NO CONFORME</v>
      </c>
      <c r="I79" s="68" t="str">
        <f t="shared" si="1"/>
        <v>Medición</v>
      </c>
    </row>
    <row r="80" spans="1:9" x14ac:dyDescent="0.25">
      <c r="A80" s="61">
        <f>'ERROR FINAL'!A84</f>
        <v>76</v>
      </c>
      <c r="B80" s="62">
        <f>'ERROR FINAL'!D84</f>
        <v>3</v>
      </c>
      <c r="C80" s="63">
        <f>'ERROR FINAL'!G84</f>
        <v>0</v>
      </c>
      <c r="D80" s="64">
        <f>'ERROR FINAL'!I84</f>
        <v>0</v>
      </c>
      <c r="E80" s="65">
        <f>'ERROR FINAL'!U84</f>
        <v>-100</v>
      </c>
      <c r="F80" s="66">
        <f>'ERROR FINAL'!AG84</f>
        <v>-100</v>
      </c>
      <c r="G80" s="66">
        <f>'ERROR FINAL'!AS84</f>
        <v>-100</v>
      </c>
      <c r="H80" s="67" t="str">
        <f>IF('ERROR FINAL'!AT84="CONFORME","CONFORME","NO CONFORME")</f>
        <v>NO CONFORME</v>
      </c>
      <c r="I80" s="68" t="str">
        <f t="shared" si="1"/>
        <v>Medición</v>
      </c>
    </row>
    <row r="81" spans="1:9" x14ac:dyDescent="0.25">
      <c r="A81" s="61">
        <f>'ERROR FINAL'!A85</f>
        <v>77</v>
      </c>
      <c r="B81" s="62">
        <f>'ERROR FINAL'!D85</f>
        <v>3</v>
      </c>
      <c r="C81" s="63">
        <f>'ERROR FINAL'!G85</f>
        <v>0</v>
      </c>
      <c r="D81" s="64">
        <f>'ERROR FINAL'!I85</f>
        <v>0</v>
      </c>
      <c r="E81" s="65">
        <f>'ERROR FINAL'!U85</f>
        <v>-100</v>
      </c>
      <c r="F81" s="66">
        <f>'ERROR FINAL'!AG85</f>
        <v>-100</v>
      </c>
      <c r="G81" s="66">
        <f>'ERROR FINAL'!AS85</f>
        <v>-100</v>
      </c>
      <c r="H81" s="67" t="str">
        <f>IF('ERROR FINAL'!AT85="CONFORME","CONFORME","NO CONFORME")</f>
        <v>NO CONFORME</v>
      </c>
      <c r="I81" s="68" t="str">
        <f t="shared" si="1"/>
        <v>Medición</v>
      </c>
    </row>
    <row r="82" spans="1:9" x14ac:dyDescent="0.25">
      <c r="A82" s="61">
        <f>'ERROR FINAL'!A86</f>
        <v>78</v>
      </c>
      <c r="B82" s="62">
        <f>'ERROR FINAL'!D86</f>
        <v>3</v>
      </c>
      <c r="C82" s="63">
        <f>'ERROR FINAL'!G86</f>
        <v>0</v>
      </c>
      <c r="D82" s="64">
        <f>'ERROR FINAL'!I86</f>
        <v>0</v>
      </c>
      <c r="E82" s="65">
        <f>'ERROR FINAL'!U86</f>
        <v>-100</v>
      </c>
      <c r="F82" s="66">
        <f>'ERROR FINAL'!AG86</f>
        <v>-100</v>
      </c>
      <c r="G82" s="66">
        <f>'ERROR FINAL'!AS86</f>
        <v>-100</v>
      </c>
      <c r="H82" s="67" t="str">
        <f>IF('ERROR FINAL'!AT86="CONFORME","CONFORME","NO CONFORME")</f>
        <v>NO CONFORME</v>
      </c>
      <c r="I82" s="68" t="str">
        <f t="shared" si="1"/>
        <v>Medición</v>
      </c>
    </row>
    <row r="83" spans="1:9" x14ac:dyDescent="0.25">
      <c r="A83" s="61">
        <f>'ERROR FINAL'!A87</f>
        <v>79</v>
      </c>
      <c r="B83" s="62">
        <f>'ERROR FINAL'!D87</f>
        <v>3</v>
      </c>
      <c r="C83" s="63">
        <f>'ERROR FINAL'!G87</f>
        <v>0</v>
      </c>
      <c r="D83" s="64">
        <f>'ERROR FINAL'!I87</f>
        <v>0</v>
      </c>
      <c r="E83" s="65">
        <f>'ERROR FINAL'!U87</f>
        <v>-100</v>
      </c>
      <c r="F83" s="66">
        <f>'ERROR FINAL'!AG87</f>
        <v>-100</v>
      </c>
      <c r="G83" s="66">
        <f>'ERROR FINAL'!AS87</f>
        <v>-100</v>
      </c>
      <c r="H83" s="67" t="str">
        <f>IF('ERROR FINAL'!AT87="CONFORME","CONFORME","NO CONFORME")</f>
        <v>NO CONFORME</v>
      </c>
      <c r="I83" s="68" t="str">
        <f t="shared" si="1"/>
        <v>Medición</v>
      </c>
    </row>
    <row r="84" spans="1:9" x14ac:dyDescent="0.25">
      <c r="A84" s="61">
        <f>'ERROR FINAL'!A88</f>
        <v>80</v>
      </c>
      <c r="B84" s="62">
        <f>'ERROR FINAL'!D88</f>
        <v>3</v>
      </c>
      <c r="C84" s="63">
        <f>'ERROR FINAL'!G88</f>
        <v>0</v>
      </c>
      <c r="D84" s="64">
        <f>'ERROR FINAL'!I88</f>
        <v>0</v>
      </c>
      <c r="E84" s="65">
        <f>'ERROR FINAL'!U88</f>
        <v>-100</v>
      </c>
      <c r="F84" s="66">
        <f>'ERROR FINAL'!AG88</f>
        <v>-100</v>
      </c>
      <c r="G84" s="66">
        <f>'ERROR FINAL'!AS88</f>
        <v>-100</v>
      </c>
      <c r="H84" s="67" t="str">
        <f>IF('ERROR FINAL'!AT88="CONFORME","CONFORME","NO CONFORME")</f>
        <v>NO CONFORME</v>
      </c>
      <c r="I84" s="68" t="str">
        <f t="shared" si="1"/>
        <v>Medición</v>
      </c>
    </row>
    <row r="85" spans="1:9" x14ac:dyDescent="0.25">
      <c r="A85" s="61">
        <f>'ERROR FINAL'!A89</f>
        <v>81</v>
      </c>
      <c r="B85" s="62">
        <f>'ERROR FINAL'!D89</f>
        <v>3</v>
      </c>
      <c r="C85" s="63">
        <f>'ERROR FINAL'!G89</f>
        <v>0</v>
      </c>
      <c r="D85" s="64">
        <f>'ERROR FINAL'!I89</f>
        <v>0</v>
      </c>
      <c r="E85" s="65">
        <f>'ERROR FINAL'!U89</f>
        <v>-100</v>
      </c>
      <c r="F85" s="66">
        <f>'ERROR FINAL'!AG89</f>
        <v>-100</v>
      </c>
      <c r="G85" s="66">
        <f>'ERROR FINAL'!AS89</f>
        <v>-100</v>
      </c>
      <c r="H85" s="67" t="str">
        <f>IF('ERROR FINAL'!AT89="CONFORME","CONFORME","NO CONFORME")</f>
        <v>NO CONFORME</v>
      </c>
      <c r="I85" s="68" t="str">
        <f t="shared" si="1"/>
        <v>Medición</v>
      </c>
    </row>
    <row r="86" spans="1:9" x14ac:dyDescent="0.25">
      <c r="A86" s="61">
        <f>'ERROR FINAL'!A90</f>
        <v>82</v>
      </c>
      <c r="B86" s="62">
        <f>'ERROR FINAL'!D90</f>
        <v>3</v>
      </c>
      <c r="C86" s="63">
        <f>'ERROR FINAL'!G90</f>
        <v>0</v>
      </c>
      <c r="D86" s="64">
        <f>'ERROR FINAL'!I90</f>
        <v>0</v>
      </c>
      <c r="E86" s="65">
        <f>'ERROR FINAL'!U90</f>
        <v>-100</v>
      </c>
      <c r="F86" s="66">
        <f>'ERROR FINAL'!AG90</f>
        <v>-100</v>
      </c>
      <c r="G86" s="66">
        <f>'ERROR FINAL'!AS90</f>
        <v>-100</v>
      </c>
      <c r="H86" s="67" t="str">
        <f>IF('ERROR FINAL'!AT90="CONFORME","CONFORME","NO CONFORME")</f>
        <v>NO CONFORME</v>
      </c>
      <c r="I86" s="68" t="str">
        <f t="shared" si="1"/>
        <v>Medición</v>
      </c>
    </row>
    <row r="87" spans="1:9" x14ac:dyDescent="0.25">
      <c r="A87" s="61">
        <f>'ERROR FINAL'!A91</f>
        <v>83</v>
      </c>
      <c r="B87" s="62">
        <f>'ERROR FINAL'!D91</f>
        <v>3</v>
      </c>
      <c r="C87" s="63">
        <f>'ERROR FINAL'!G91</f>
        <v>0</v>
      </c>
      <c r="D87" s="64">
        <f>'ERROR FINAL'!I91</f>
        <v>0</v>
      </c>
      <c r="E87" s="65">
        <f>'ERROR FINAL'!U91</f>
        <v>-100</v>
      </c>
      <c r="F87" s="66">
        <f>'ERROR FINAL'!AG91</f>
        <v>-100</v>
      </c>
      <c r="G87" s="66">
        <f>'ERROR FINAL'!AS91</f>
        <v>-100</v>
      </c>
      <c r="H87" s="67" t="str">
        <f>IF('ERROR FINAL'!AT91="CONFORME","CONFORME","NO CONFORME")</f>
        <v>NO CONFORME</v>
      </c>
      <c r="I87" s="68" t="str">
        <f t="shared" si="1"/>
        <v>Medición</v>
      </c>
    </row>
    <row r="88" spans="1:9" x14ac:dyDescent="0.25">
      <c r="A88" s="61">
        <f>'ERROR FINAL'!A92</f>
        <v>84</v>
      </c>
      <c r="B88" s="62">
        <f>'ERROR FINAL'!D92</f>
        <v>3</v>
      </c>
      <c r="C88" s="63">
        <f>'ERROR FINAL'!G92</f>
        <v>0</v>
      </c>
      <c r="D88" s="64">
        <f>'ERROR FINAL'!I92</f>
        <v>0</v>
      </c>
      <c r="E88" s="65">
        <f>'ERROR FINAL'!U92</f>
        <v>-100</v>
      </c>
      <c r="F88" s="66">
        <f>'ERROR FINAL'!AG92</f>
        <v>-100</v>
      </c>
      <c r="G88" s="66">
        <f>'ERROR FINAL'!AS92</f>
        <v>-100</v>
      </c>
      <c r="H88" s="67" t="str">
        <f>IF('ERROR FINAL'!AT92="CONFORME","CONFORME","NO CONFORME")</f>
        <v>NO CONFORME</v>
      </c>
      <c r="I88" s="68" t="str">
        <f t="shared" si="1"/>
        <v>Medición</v>
      </c>
    </row>
    <row r="89" spans="1:9" x14ac:dyDescent="0.25">
      <c r="A89" s="61">
        <f>'ERROR FINAL'!A93</f>
        <v>85</v>
      </c>
      <c r="B89" s="62">
        <f>'ERROR FINAL'!D93</f>
        <v>3</v>
      </c>
      <c r="C89" s="63">
        <f>'ERROR FINAL'!G93</f>
        <v>0</v>
      </c>
      <c r="D89" s="64">
        <f>'ERROR FINAL'!I93</f>
        <v>0</v>
      </c>
      <c r="E89" s="65">
        <f>'ERROR FINAL'!U93</f>
        <v>-100</v>
      </c>
      <c r="F89" s="66">
        <f>'ERROR FINAL'!AG93</f>
        <v>-100</v>
      </c>
      <c r="G89" s="66">
        <f>'ERROR FINAL'!AS93</f>
        <v>-100</v>
      </c>
      <c r="H89" s="67" t="str">
        <f>IF('ERROR FINAL'!AT93="CONFORME","CONFORME","NO CONFORME")</f>
        <v>NO CONFORME</v>
      </c>
      <c r="I89" s="68" t="str">
        <f t="shared" si="1"/>
        <v>Medición</v>
      </c>
    </row>
    <row r="90" spans="1:9" x14ac:dyDescent="0.25">
      <c r="A90" s="61">
        <f>'ERROR FINAL'!A94</f>
        <v>86</v>
      </c>
      <c r="B90" s="62">
        <f>'ERROR FINAL'!D94</f>
        <v>3</v>
      </c>
      <c r="C90" s="63">
        <f>'ERROR FINAL'!G94</f>
        <v>0</v>
      </c>
      <c r="D90" s="64">
        <f>'ERROR FINAL'!I94</f>
        <v>0</v>
      </c>
      <c r="E90" s="65">
        <f>'ERROR FINAL'!U94</f>
        <v>-100</v>
      </c>
      <c r="F90" s="66">
        <f>'ERROR FINAL'!AG94</f>
        <v>-100</v>
      </c>
      <c r="G90" s="66">
        <f>'ERROR FINAL'!AS94</f>
        <v>-100</v>
      </c>
      <c r="H90" s="67" t="str">
        <f>IF('ERROR FINAL'!AT94="CONFORME","CONFORME","NO CONFORME")</f>
        <v>NO CONFORME</v>
      </c>
      <c r="I90" s="68" t="str">
        <f t="shared" si="1"/>
        <v>Medición</v>
      </c>
    </row>
    <row r="91" spans="1:9" x14ac:dyDescent="0.25">
      <c r="A91" s="61">
        <f>'ERROR FINAL'!A95</f>
        <v>87</v>
      </c>
      <c r="B91" s="62">
        <f>'ERROR FINAL'!D95</f>
        <v>3</v>
      </c>
      <c r="C91" s="63">
        <f>'ERROR FINAL'!G95</f>
        <v>0</v>
      </c>
      <c r="D91" s="64">
        <f>'ERROR FINAL'!I95</f>
        <v>0</v>
      </c>
      <c r="E91" s="65">
        <f>'ERROR FINAL'!U95</f>
        <v>-100</v>
      </c>
      <c r="F91" s="66">
        <f>'ERROR FINAL'!AG95</f>
        <v>-100</v>
      </c>
      <c r="G91" s="66">
        <f>'ERROR FINAL'!AS95</f>
        <v>-100</v>
      </c>
      <c r="H91" s="67" t="str">
        <f>IF('ERROR FINAL'!AT95="CONFORME","CONFORME","NO CONFORME")</f>
        <v>NO CONFORME</v>
      </c>
      <c r="I91" s="68" t="str">
        <f t="shared" si="1"/>
        <v>Medición</v>
      </c>
    </row>
    <row r="92" spans="1:9" x14ac:dyDescent="0.25">
      <c r="A92" s="61">
        <f>'ERROR FINAL'!A96</f>
        <v>88</v>
      </c>
      <c r="B92" s="62">
        <f>'ERROR FINAL'!D96</f>
        <v>3</v>
      </c>
      <c r="C92" s="63">
        <f>'ERROR FINAL'!G96</f>
        <v>0</v>
      </c>
      <c r="D92" s="64">
        <f>'ERROR FINAL'!I96</f>
        <v>0</v>
      </c>
      <c r="E92" s="65">
        <f>'ERROR FINAL'!U96</f>
        <v>-100</v>
      </c>
      <c r="F92" s="66">
        <f>'ERROR FINAL'!AG96</f>
        <v>-100</v>
      </c>
      <c r="G92" s="66">
        <f>'ERROR FINAL'!AS96</f>
        <v>-100</v>
      </c>
      <c r="H92" s="67" t="str">
        <f>IF('ERROR FINAL'!AT96="CONFORME","CONFORME","NO CONFORME")</f>
        <v>NO CONFORME</v>
      </c>
      <c r="I92" s="68" t="str">
        <f t="shared" si="1"/>
        <v>Medición</v>
      </c>
    </row>
    <row r="93" spans="1:9" x14ac:dyDescent="0.25">
      <c r="A93" s="61">
        <f>'ERROR FINAL'!A97</f>
        <v>89</v>
      </c>
      <c r="B93" s="62">
        <f>'ERROR FINAL'!D97</f>
        <v>3</v>
      </c>
      <c r="C93" s="63">
        <f>'ERROR FINAL'!G97</f>
        <v>0</v>
      </c>
      <c r="D93" s="64">
        <f>'ERROR FINAL'!I97</f>
        <v>0</v>
      </c>
      <c r="E93" s="65">
        <f>'ERROR FINAL'!U97</f>
        <v>-100</v>
      </c>
      <c r="F93" s="66">
        <f>'ERROR FINAL'!AG97</f>
        <v>-100</v>
      </c>
      <c r="G93" s="66">
        <f>'ERROR FINAL'!AS97</f>
        <v>-100</v>
      </c>
      <c r="H93" s="67" t="str">
        <f>IF('ERROR FINAL'!AT97="CONFORME","CONFORME","NO CONFORME")</f>
        <v>NO CONFORME</v>
      </c>
      <c r="I93" s="68" t="str">
        <f t="shared" si="1"/>
        <v>Medición</v>
      </c>
    </row>
    <row r="94" spans="1:9" x14ac:dyDescent="0.25">
      <c r="A94" s="61">
        <f>'ERROR FINAL'!A98</f>
        <v>90</v>
      </c>
      <c r="B94" s="62">
        <f>'ERROR FINAL'!D98</f>
        <v>3</v>
      </c>
      <c r="C94" s="63">
        <f>'ERROR FINAL'!G98</f>
        <v>0</v>
      </c>
      <c r="D94" s="64">
        <f>'ERROR FINAL'!I98</f>
        <v>0</v>
      </c>
      <c r="E94" s="65">
        <f>'ERROR FINAL'!U98</f>
        <v>-100</v>
      </c>
      <c r="F94" s="66">
        <f>'ERROR FINAL'!AG98</f>
        <v>-100</v>
      </c>
      <c r="G94" s="66">
        <f>'ERROR FINAL'!AS98</f>
        <v>-100</v>
      </c>
      <c r="H94" s="67" t="str">
        <f>IF('ERROR FINAL'!AT98="CONFORME","CONFORME","NO CONFORME")</f>
        <v>NO CONFORME</v>
      </c>
      <c r="I94" s="68" t="str">
        <f t="shared" si="1"/>
        <v>Medición</v>
      </c>
    </row>
    <row r="95" spans="1:9" x14ac:dyDescent="0.25">
      <c r="A95" s="61">
        <f>'ERROR FINAL'!A99</f>
        <v>91</v>
      </c>
      <c r="B95" s="62">
        <f>'ERROR FINAL'!D99</f>
        <v>3</v>
      </c>
      <c r="C95" s="63">
        <f>'ERROR FINAL'!G99</f>
        <v>0</v>
      </c>
      <c r="D95" s="64">
        <f>'ERROR FINAL'!I99</f>
        <v>0</v>
      </c>
      <c r="E95" s="65">
        <f>'ERROR FINAL'!U99</f>
        <v>-100</v>
      </c>
      <c r="F95" s="66">
        <f>'ERROR FINAL'!AG99</f>
        <v>-100</v>
      </c>
      <c r="G95" s="66">
        <f>'ERROR FINAL'!AS99</f>
        <v>-100</v>
      </c>
      <c r="H95" s="67" t="str">
        <f>IF('ERROR FINAL'!AT99="CONFORME","CONFORME","NO CONFORME")</f>
        <v>NO CONFORME</v>
      </c>
      <c r="I95" s="68" t="str">
        <f t="shared" si="1"/>
        <v>Medición</v>
      </c>
    </row>
    <row r="96" spans="1:9" x14ac:dyDescent="0.25">
      <c r="A96" s="61">
        <f>'ERROR FINAL'!A100</f>
        <v>92</v>
      </c>
      <c r="B96" s="62">
        <f>'ERROR FINAL'!D100</f>
        <v>3</v>
      </c>
      <c r="C96" s="63">
        <f>'ERROR FINAL'!G100</f>
        <v>0</v>
      </c>
      <c r="D96" s="64">
        <f>'ERROR FINAL'!I100</f>
        <v>0</v>
      </c>
      <c r="E96" s="65">
        <f>'ERROR FINAL'!U100</f>
        <v>-100</v>
      </c>
      <c r="F96" s="66">
        <f>'ERROR FINAL'!AG100</f>
        <v>-100</v>
      </c>
      <c r="G96" s="66">
        <f>'ERROR FINAL'!AS100</f>
        <v>-100</v>
      </c>
      <c r="H96" s="67" t="str">
        <f>IF('ERROR FINAL'!AT100="CONFORME","CONFORME","NO CONFORME")</f>
        <v>NO CONFORME</v>
      </c>
      <c r="I96" s="68" t="str">
        <f t="shared" si="1"/>
        <v>Medición</v>
      </c>
    </row>
    <row r="97" spans="1:9" x14ac:dyDescent="0.25">
      <c r="A97" s="61">
        <f>'ERROR FINAL'!A101</f>
        <v>93</v>
      </c>
      <c r="B97" s="62">
        <f>'ERROR FINAL'!D101</f>
        <v>3</v>
      </c>
      <c r="C97" s="63">
        <f>'ERROR FINAL'!G101</f>
        <v>0</v>
      </c>
      <c r="D97" s="64">
        <f>'ERROR FINAL'!I101</f>
        <v>0</v>
      </c>
      <c r="E97" s="65">
        <f>'ERROR FINAL'!U101</f>
        <v>-100</v>
      </c>
      <c r="F97" s="66">
        <f>'ERROR FINAL'!AG101</f>
        <v>-100</v>
      </c>
      <c r="G97" s="66">
        <f>'ERROR FINAL'!AS101</f>
        <v>-100</v>
      </c>
      <c r="H97" s="67" t="str">
        <f>IF('ERROR FINAL'!AT101="CONFORME","CONFORME","NO CONFORME")</f>
        <v>NO CONFORME</v>
      </c>
      <c r="I97" s="68" t="str">
        <f t="shared" si="1"/>
        <v>Medición</v>
      </c>
    </row>
    <row r="98" spans="1:9" x14ac:dyDescent="0.25">
      <c r="A98" s="61">
        <f>'ERROR FINAL'!A102</f>
        <v>94</v>
      </c>
      <c r="B98" s="62">
        <f>'ERROR FINAL'!D102</f>
        <v>3</v>
      </c>
      <c r="C98" s="63">
        <f>'ERROR FINAL'!G102</f>
        <v>0</v>
      </c>
      <c r="D98" s="64">
        <f>'ERROR FINAL'!I102</f>
        <v>0</v>
      </c>
      <c r="E98" s="65">
        <f>'ERROR FINAL'!U102</f>
        <v>-100</v>
      </c>
      <c r="F98" s="66">
        <f>'ERROR FINAL'!AG102</f>
        <v>-100</v>
      </c>
      <c r="G98" s="66">
        <f>'ERROR FINAL'!AS102</f>
        <v>-100</v>
      </c>
      <c r="H98" s="67" t="str">
        <f>IF('ERROR FINAL'!AT102="CONFORME","CONFORME","NO CONFORME")</f>
        <v>NO CONFORME</v>
      </c>
      <c r="I98" s="68" t="str">
        <f t="shared" si="1"/>
        <v>Medición</v>
      </c>
    </row>
    <row r="99" spans="1:9" x14ac:dyDescent="0.25">
      <c r="A99" s="61">
        <f>'ERROR FINAL'!A103</f>
        <v>95</v>
      </c>
      <c r="B99" s="62">
        <f>'ERROR FINAL'!D103</f>
        <v>3</v>
      </c>
      <c r="C99" s="63">
        <f>'ERROR FINAL'!G103</f>
        <v>0</v>
      </c>
      <c r="D99" s="64">
        <f>'ERROR FINAL'!I103</f>
        <v>0</v>
      </c>
      <c r="E99" s="65">
        <f>'ERROR FINAL'!U103</f>
        <v>-100</v>
      </c>
      <c r="F99" s="66">
        <f>'ERROR FINAL'!AG103</f>
        <v>-100</v>
      </c>
      <c r="G99" s="66">
        <f>'ERROR FINAL'!AS103</f>
        <v>-100</v>
      </c>
      <c r="H99" s="67" t="str">
        <f>IF('ERROR FINAL'!AT103="CONFORME","CONFORME","NO CONFORME")</f>
        <v>NO CONFORME</v>
      </c>
      <c r="I99" s="68" t="str">
        <f t="shared" si="1"/>
        <v>Medición</v>
      </c>
    </row>
    <row r="100" spans="1:9" x14ac:dyDescent="0.25">
      <c r="A100" s="61">
        <f>'ERROR FINAL'!A104</f>
        <v>96</v>
      </c>
      <c r="B100" s="62">
        <f>'ERROR FINAL'!D104</f>
        <v>3</v>
      </c>
      <c r="C100" s="63">
        <f>'ERROR FINAL'!G104</f>
        <v>0</v>
      </c>
      <c r="D100" s="64">
        <f>'ERROR FINAL'!I104</f>
        <v>0</v>
      </c>
      <c r="E100" s="65">
        <f>'ERROR FINAL'!U104</f>
        <v>-100</v>
      </c>
      <c r="F100" s="66">
        <f>'ERROR FINAL'!AG104</f>
        <v>-100</v>
      </c>
      <c r="G100" s="66">
        <f>'ERROR FINAL'!AS104</f>
        <v>-100</v>
      </c>
      <c r="H100" s="67" t="str">
        <f>IF('ERROR FINAL'!AT104="CONFORME","CONFORME","NO CONFORME")</f>
        <v>NO CONFORME</v>
      </c>
      <c r="I100" s="68" t="str">
        <f t="shared" si="1"/>
        <v>Medición</v>
      </c>
    </row>
    <row r="101" spans="1:9" x14ac:dyDescent="0.25">
      <c r="A101" s="61">
        <f>'ERROR FINAL'!A105</f>
        <v>97</v>
      </c>
      <c r="B101" s="62">
        <f>'ERROR FINAL'!D105</f>
        <v>3</v>
      </c>
      <c r="C101" s="63">
        <f>'ERROR FINAL'!G105</f>
        <v>0</v>
      </c>
      <c r="D101" s="64">
        <f>'ERROR FINAL'!I105</f>
        <v>0</v>
      </c>
      <c r="E101" s="65">
        <f>'ERROR FINAL'!U105</f>
        <v>-100</v>
      </c>
      <c r="F101" s="66">
        <f>'ERROR FINAL'!AG105</f>
        <v>-100</v>
      </c>
      <c r="G101" s="66">
        <f>'ERROR FINAL'!AS105</f>
        <v>-100</v>
      </c>
      <c r="H101" s="67" t="str">
        <f>IF('ERROR FINAL'!AT105="CONFORME","CONFORME","NO CONFORME")</f>
        <v>NO CONFORME</v>
      </c>
      <c r="I101" s="68" t="str">
        <f t="shared" si="1"/>
        <v>Medición</v>
      </c>
    </row>
    <row r="102" spans="1:9" x14ac:dyDescent="0.25">
      <c r="A102" s="61">
        <f>'ERROR FINAL'!A106</f>
        <v>98</v>
      </c>
      <c r="B102" s="62">
        <f>'ERROR FINAL'!D106</f>
        <v>3</v>
      </c>
      <c r="C102" s="63">
        <f>'ERROR FINAL'!G106</f>
        <v>0</v>
      </c>
      <c r="D102" s="64">
        <f>'ERROR FINAL'!I106</f>
        <v>0</v>
      </c>
      <c r="E102" s="65">
        <f>'ERROR FINAL'!U106</f>
        <v>-100</v>
      </c>
      <c r="F102" s="66">
        <f>'ERROR FINAL'!AG106</f>
        <v>-100</v>
      </c>
      <c r="G102" s="66">
        <f>'ERROR FINAL'!AS106</f>
        <v>-100</v>
      </c>
      <c r="H102" s="67" t="str">
        <f>IF('ERROR FINAL'!AT106="CONFORME","CONFORME","NO CONFORME")</f>
        <v>NO CONFORME</v>
      </c>
      <c r="I102" s="68" t="str">
        <f t="shared" si="1"/>
        <v>Medición</v>
      </c>
    </row>
    <row r="103" spans="1:9" x14ac:dyDescent="0.25">
      <c r="A103" s="61">
        <f>'ERROR FINAL'!A107</f>
        <v>99</v>
      </c>
      <c r="B103" s="62">
        <f>'ERROR FINAL'!D107</f>
        <v>3</v>
      </c>
      <c r="C103" s="63">
        <f>'ERROR FINAL'!G107</f>
        <v>0</v>
      </c>
      <c r="D103" s="64">
        <f>'ERROR FINAL'!I107</f>
        <v>0</v>
      </c>
      <c r="E103" s="65">
        <f>'ERROR FINAL'!U107</f>
        <v>-100</v>
      </c>
      <c r="F103" s="66">
        <f>'ERROR FINAL'!AG107</f>
        <v>-100</v>
      </c>
      <c r="G103" s="66">
        <f>'ERROR FINAL'!AS107</f>
        <v>-100</v>
      </c>
      <c r="H103" s="67" t="str">
        <f>IF('ERROR FINAL'!AT107="CONFORME","CONFORME","NO CONFORME")</f>
        <v>NO CONFORME</v>
      </c>
      <c r="I103" s="68" t="str">
        <f t="shared" si="1"/>
        <v>Medición</v>
      </c>
    </row>
    <row r="104" spans="1:9" x14ac:dyDescent="0.25">
      <c r="A104" s="61">
        <f>'ERROR FINAL'!A108</f>
        <v>100</v>
      </c>
      <c r="B104" s="62">
        <f>'ERROR FINAL'!D108</f>
        <v>3</v>
      </c>
      <c r="C104" s="63">
        <f>'ERROR FINAL'!G108</f>
        <v>0</v>
      </c>
      <c r="D104" s="64">
        <f>'ERROR FINAL'!I108</f>
        <v>0</v>
      </c>
      <c r="E104" s="65">
        <f>'ERROR FINAL'!U108</f>
        <v>-100</v>
      </c>
      <c r="F104" s="66">
        <f>'ERROR FINAL'!AG108</f>
        <v>-100</v>
      </c>
      <c r="G104" s="66">
        <f>'ERROR FINAL'!AS108</f>
        <v>-100</v>
      </c>
      <c r="H104" s="67" t="str">
        <f>IF('ERROR FINAL'!AT108="CONFORME","CONFORME","NO CONFORME")</f>
        <v>NO CONFORME</v>
      </c>
      <c r="I104" s="68" t="str">
        <f t="shared" si="1"/>
        <v>Medición</v>
      </c>
    </row>
    <row r="105" spans="1:9" x14ac:dyDescent="0.25">
      <c r="A105" s="61">
        <f>'ERROR FINAL'!A109</f>
        <v>101</v>
      </c>
      <c r="B105" s="62">
        <f>'ERROR FINAL'!D109</f>
        <v>3</v>
      </c>
      <c r="C105" s="63">
        <f>'ERROR FINAL'!G109</f>
        <v>0</v>
      </c>
      <c r="D105" s="64">
        <f>'ERROR FINAL'!I109</f>
        <v>0</v>
      </c>
      <c r="E105" s="65">
        <f>'ERROR FINAL'!U109</f>
        <v>-100</v>
      </c>
      <c r="F105" s="66">
        <f>'ERROR FINAL'!AG109</f>
        <v>-100</v>
      </c>
      <c r="G105" s="66">
        <f>'ERROR FINAL'!AS109</f>
        <v>-100</v>
      </c>
      <c r="H105" s="67" t="str">
        <f>IF('ERROR FINAL'!AT109="CONFORME","CONFORME","NO CONFORME")</f>
        <v>NO CONFORME</v>
      </c>
      <c r="I105" s="68" t="str">
        <f t="shared" si="1"/>
        <v>Medición</v>
      </c>
    </row>
    <row r="106" spans="1:9" x14ac:dyDescent="0.25">
      <c r="A106" s="61">
        <f>'ERROR FINAL'!A110</f>
        <v>102</v>
      </c>
      <c r="B106" s="62">
        <f>'ERROR FINAL'!D110</f>
        <v>3</v>
      </c>
      <c r="C106" s="63">
        <f>'ERROR FINAL'!G110</f>
        <v>0</v>
      </c>
      <c r="D106" s="64">
        <f>'ERROR FINAL'!I110</f>
        <v>0</v>
      </c>
      <c r="E106" s="65">
        <f>'ERROR FINAL'!U110</f>
        <v>-100</v>
      </c>
      <c r="F106" s="66">
        <f>'ERROR FINAL'!AG110</f>
        <v>-100</v>
      </c>
      <c r="G106" s="66">
        <f>'ERROR FINAL'!AS110</f>
        <v>-100</v>
      </c>
      <c r="H106" s="67" t="str">
        <f>IF('ERROR FINAL'!AT110="CONFORME","CONFORME","NO CONFORME")</f>
        <v>NO CONFORME</v>
      </c>
      <c r="I106" s="68" t="str">
        <f t="shared" si="1"/>
        <v>Medición</v>
      </c>
    </row>
    <row r="107" spans="1:9" x14ac:dyDescent="0.25">
      <c r="A107" s="61">
        <f>'ERROR FINAL'!A111</f>
        <v>103</v>
      </c>
      <c r="B107" s="62">
        <f>'ERROR FINAL'!D111</f>
        <v>3</v>
      </c>
      <c r="C107" s="63">
        <f>'ERROR FINAL'!G111</f>
        <v>0</v>
      </c>
      <c r="D107" s="64">
        <f>'ERROR FINAL'!I111</f>
        <v>0</v>
      </c>
      <c r="E107" s="65">
        <f>'ERROR FINAL'!U111</f>
        <v>-100</v>
      </c>
      <c r="F107" s="66">
        <f>'ERROR FINAL'!AG111</f>
        <v>-100</v>
      </c>
      <c r="G107" s="66">
        <f>'ERROR FINAL'!AS111</f>
        <v>-100</v>
      </c>
      <c r="H107" s="67" t="str">
        <f>IF('ERROR FINAL'!AT111="CONFORME","CONFORME","NO CONFORME")</f>
        <v>NO CONFORME</v>
      </c>
      <c r="I107" s="68" t="str">
        <f t="shared" si="1"/>
        <v>Medición</v>
      </c>
    </row>
    <row r="108" spans="1:9" x14ac:dyDescent="0.25">
      <c r="A108" s="61">
        <f>'ERROR FINAL'!A112</f>
        <v>104</v>
      </c>
      <c r="B108" s="62">
        <f>'ERROR FINAL'!D112</f>
        <v>3</v>
      </c>
      <c r="C108" s="63">
        <f>'ERROR FINAL'!G112</f>
        <v>0</v>
      </c>
      <c r="D108" s="64">
        <f>'ERROR FINAL'!I112</f>
        <v>0</v>
      </c>
      <c r="E108" s="65">
        <f>'ERROR FINAL'!U112</f>
        <v>-100</v>
      </c>
      <c r="F108" s="66">
        <f>'ERROR FINAL'!AG112</f>
        <v>-100</v>
      </c>
      <c r="G108" s="66">
        <f>'ERROR FINAL'!AS112</f>
        <v>-100</v>
      </c>
      <c r="H108" s="67" t="str">
        <f>IF('ERROR FINAL'!AT112="CONFORME","CONFORME","NO CONFORME")</f>
        <v>NO CONFORME</v>
      </c>
      <c r="I108" s="68" t="str">
        <f t="shared" si="1"/>
        <v>Medición</v>
      </c>
    </row>
    <row r="109" spans="1:9" x14ac:dyDescent="0.25">
      <c r="A109" s="61">
        <f>'ERROR FINAL'!A113</f>
        <v>105</v>
      </c>
      <c r="B109" s="62">
        <f>'ERROR FINAL'!D113</f>
        <v>3</v>
      </c>
      <c r="C109" s="63">
        <f>'ERROR FINAL'!G113</f>
        <v>0</v>
      </c>
      <c r="D109" s="64">
        <f>'ERROR FINAL'!I113</f>
        <v>0</v>
      </c>
      <c r="E109" s="65">
        <f>'ERROR FINAL'!U113</f>
        <v>-100</v>
      </c>
      <c r="F109" s="66">
        <f>'ERROR FINAL'!AG113</f>
        <v>-100</v>
      </c>
      <c r="G109" s="66">
        <f>'ERROR FINAL'!AS113</f>
        <v>-100</v>
      </c>
      <c r="H109" s="67" t="str">
        <f>IF('ERROR FINAL'!AT113="CONFORME","CONFORME","NO CONFORME")</f>
        <v>NO CONFORME</v>
      </c>
      <c r="I109" s="68" t="str">
        <f t="shared" si="1"/>
        <v>Medición</v>
      </c>
    </row>
    <row r="110" spans="1:9" x14ac:dyDescent="0.25">
      <c r="A110" s="61">
        <f>'ERROR FINAL'!A114</f>
        <v>106</v>
      </c>
      <c r="B110" s="62">
        <f>'ERROR FINAL'!D114</f>
        <v>3</v>
      </c>
      <c r="C110" s="63">
        <f>'ERROR FINAL'!G114</f>
        <v>0</v>
      </c>
      <c r="D110" s="64">
        <f>'ERROR FINAL'!I114</f>
        <v>0</v>
      </c>
      <c r="E110" s="65">
        <f>'ERROR FINAL'!U114</f>
        <v>-100</v>
      </c>
      <c r="F110" s="66">
        <f>'ERROR FINAL'!AG114</f>
        <v>-100</v>
      </c>
      <c r="G110" s="66">
        <f>'ERROR FINAL'!AS114</f>
        <v>-100</v>
      </c>
      <c r="H110" s="67" t="str">
        <f>IF('ERROR FINAL'!AT114="CONFORME","CONFORME","NO CONFORME")</f>
        <v>NO CONFORME</v>
      </c>
      <c r="I110" s="68" t="str">
        <f t="shared" si="1"/>
        <v>Medición</v>
      </c>
    </row>
    <row r="111" spans="1:9" x14ac:dyDescent="0.25">
      <c r="A111" s="61">
        <f>'ERROR FINAL'!A115</f>
        <v>107</v>
      </c>
      <c r="B111" s="62">
        <f>'ERROR FINAL'!D115</f>
        <v>3</v>
      </c>
      <c r="C111" s="63">
        <f>'ERROR FINAL'!G115</f>
        <v>0</v>
      </c>
      <c r="D111" s="64">
        <f>'ERROR FINAL'!I115</f>
        <v>0</v>
      </c>
      <c r="E111" s="65">
        <f>'ERROR FINAL'!U115</f>
        <v>-100</v>
      </c>
      <c r="F111" s="66">
        <f>'ERROR FINAL'!AG115</f>
        <v>-100</v>
      </c>
      <c r="G111" s="66">
        <f>'ERROR FINAL'!AS115</f>
        <v>-100</v>
      </c>
      <c r="H111" s="67" t="str">
        <f>IF('ERROR FINAL'!AT115="CONFORME","CONFORME","NO CONFORME")</f>
        <v>NO CONFORME</v>
      </c>
      <c r="I111" s="68" t="str">
        <f t="shared" si="1"/>
        <v>Medición</v>
      </c>
    </row>
    <row r="112" spans="1:9" x14ac:dyDescent="0.25">
      <c r="A112" s="61">
        <f>'ERROR FINAL'!A116</f>
        <v>108</v>
      </c>
      <c r="B112" s="62">
        <f>'ERROR FINAL'!D116</f>
        <v>3</v>
      </c>
      <c r="C112" s="63">
        <f>'ERROR FINAL'!G116</f>
        <v>0</v>
      </c>
      <c r="D112" s="64">
        <f>'ERROR FINAL'!I116</f>
        <v>0</v>
      </c>
      <c r="E112" s="65">
        <f>'ERROR FINAL'!U116</f>
        <v>-100</v>
      </c>
      <c r="F112" s="66">
        <f>'ERROR FINAL'!AG116</f>
        <v>-100</v>
      </c>
      <c r="G112" s="66">
        <f>'ERROR FINAL'!AS116</f>
        <v>-100</v>
      </c>
      <c r="H112" s="67" t="str">
        <f>IF('ERROR FINAL'!AT116="CONFORME","CONFORME","NO CONFORME")</f>
        <v>NO CONFORME</v>
      </c>
      <c r="I112" s="68" t="str">
        <f t="shared" si="1"/>
        <v>Medición</v>
      </c>
    </row>
    <row r="113" spans="1:9" x14ac:dyDescent="0.25">
      <c r="A113" s="61">
        <f>'ERROR FINAL'!A117</f>
        <v>109</v>
      </c>
      <c r="B113" s="62">
        <f>'ERROR FINAL'!D117</f>
        <v>3</v>
      </c>
      <c r="C113" s="63">
        <f>'ERROR FINAL'!G117</f>
        <v>0</v>
      </c>
      <c r="D113" s="64">
        <f>'ERROR FINAL'!I117</f>
        <v>0</v>
      </c>
      <c r="E113" s="65">
        <f>'ERROR FINAL'!U117</f>
        <v>-100</v>
      </c>
      <c r="F113" s="66">
        <f>'ERROR FINAL'!AG117</f>
        <v>-100</v>
      </c>
      <c r="G113" s="66">
        <f>'ERROR FINAL'!AS117</f>
        <v>-100</v>
      </c>
      <c r="H113" s="67" t="str">
        <f>IF('ERROR FINAL'!AT117="CONFORME","CONFORME","NO CONFORME")</f>
        <v>NO CONFORME</v>
      </c>
      <c r="I113" s="68" t="str">
        <f t="shared" si="1"/>
        <v>Medición</v>
      </c>
    </row>
    <row r="114" spans="1:9" x14ac:dyDescent="0.25">
      <c r="A114" s="61">
        <f>'ERROR FINAL'!A118</f>
        <v>110</v>
      </c>
      <c r="B114" s="62">
        <f>'ERROR FINAL'!D118</f>
        <v>3</v>
      </c>
      <c r="C114" s="63">
        <f>'ERROR FINAL'!G118</f>
        <v>0</v>
      </c>
      <c r="D114" s="64">
        <f>'ERROR FINAL'!I118</f>
        <v>0</v>
      </c>
      <c r="E114" s="65">
        <f>'ERROR FINAL'!U118</f>
        <v>-100</v>
      </c>
      <c r="F114" s="66">
        <f>'ERROR FINAL'!AG118</f>
        <v>-100</v>
      </c>
      <c r="G114" s="66">
        <f>'ERROR FINAL'!AS118</f>
        <v>-100</v>
      </c>
      <c r="H114" s="67" t="str">
        <f>IF('ERROR FINAL'!AT118="CONFORME","CONFORME","NO CONFORME")</f>
        <v>NO CONFORME</v>
      </c>
      <c r="I114" s="68" t="str">
        <f t="shared" si="1"/>
        <v>Medición</v>
      </c>
    </row>
    <row r="115" spans="1:9" x14ac:dyDescent="0.25">
      <c r="A115" s="61">
        <f>'ERROR FINAL'!A119</f>
        <v>111</v>
      </c>
      <c r="B115" s="62">
        <f>'ERROR FINAL'!D119</f>
        <v>3</v>
      </c>
      <c r="C115" s="63">
        <f>'ERROR FINAL'!G119</f>
        <v>0</v>
      </c>
      <c r="D115" s="64">
        <f>'ERROR FINAL'!I119</f>
        <v>0</v>
      </c>
      <c r="E115" s="65">
        <f>'ERROR FINAL'!U119</f>
        <v>-100</v>
      </c>
      <c r="F115" s="66">
        <f>'ERROR FINAL'!AG119</f>
        <v>-100</v>
      </c>
      <c r="G115" s="66">
        <f>'ERROR FINAL'!AS119</f>
        <v>-100</v>
      </c>
      <c r="H115" s="67" t="str">
        <f>IF('ERROR FINAL'!AT119="CONFORME","CONFORME","NO CONFORME")</f>
        <v>NO CONFORME</v>
      </c>
      <c r="I115" s="68" t="str">
        <f t="shared" si="1"/>
        <v>Medición</v>
      </c>
    </row>
    <row r="116" spans="1:9" x14ac:dyDescent="0.25">
      <c r="A116" s="61">
        <f>'ERROR FINAL'!A120</f>
        <v>112</v>
      </c>
      <c r="B116" s="62">
        <f>'ERROR FINAL'!D120</f>
        <v>3</v>
      </c>
      <c r="C116" s="63">
        <f>'ERROR FINAL'!G120</f>
        <v>0</v>
      </c>
      <c r="D116" s="64">
        <f>'ERROR FINAL'!I120</f>
        <v>0</v>
      </c>
      <c r="E116" s="65">
        <f>'ERROR FINAL'!U120</f>
        <v>-100</v>
      </c>
      <c r="F116" s="66">
        <f>'ERROR FINAL'!AG120</f>
        <v>-100</v>
      </c>
      <c r="G116" s="66">
        <f>'ERROR FINAL'!AS120</f>
        <v>-100</v>
      </c>
      <c r="H116" s="67" t="str">
        <f>IF('ERROR FINAL'!AT120="CONFORME","CONFORME","NO CONFORME")</f>
        <v>NO CONFORME</v>
      </c>
      <c r="I116" s="68" t="str">
        <f t="shared" si="1"/>
        <v>Medición</v>
      </c>
    </row>
    <row r="117" spans="1:9" x14ac:dyDescent="0.25">
      <c r="A117" s="61">
        <f>'ERROR FINAL'!A121</f>
        <v>113</v>
      </c>
      <c r="B117" s="62">
        <f>'ERROR FINAL'!D121</f>
        <v>3</v>
      </c>
      <c r="C117" s="63">
        <f>'ERROR FINAL'!G121</f>
        <v>0</v>
      </c>
      <c r="D117" s="64">
        <f>'ERROR FINAL'!I121</f>
        <v>0</v>
      </c>
      <c r="E117" s="65">
        <f>'ERROR FINAL'!U121</f>
        <v>-100</v>
      </c>
      <c r="F117" s="66">
        <f>'ERROR FINAL'!AG121</f>
        <v>-100</v>
      </c>
      <c r="G117" s="66">
        <f>'ERROR FINAL'!AS121</f>
        <v>-100</v>
      </c>
      <c r="H117" s="67" t="str">
        <f>IF('ERROR FINAL'!AT121="CONFORME","CONFORME","NO CONFORME")</f>
        <v>NO CONFORME</v>
      </c>
      <c r="I117" s="68" t="str">
        <f t="shared" si="1"/>
        <v>Medición</v>
      </c>
    </row>
    <row r="118" spans="1:9" x14ac:dyDescent="0.25">
      <c r="A118" s="61">
        <f>'ERROR FINAL'!A122</f>
        <v>114</v>
      </c>
      <c r="B118" s="62">
        <f>'ERROR FINAL'!D122</f>
        <v>3</v>
      </c>
      <c r="C118" s="63">
        <f>'ERROR FINAL'!G122</f>
        <v>0</v>
      </c>
      <c r="D118" s="64">
        <f>'ERROR FINAL'!I122</f>
        <v>0</v>
      </c>
      <c r="E118" s="65">
        <f>'ERROR FINAL'!U122</f>
        <v>-100</v>
      </c>
      <c r="F118" s="66">
        <f>'ERROR FINAL'!AG122</f>
        <v>-100</v>
      </c>
      <c r="G118" s="66">
        <f>'ERROR FINAL'!AS122</f>
        <v>-100</v>
      </c>
      <c r="H118" s="67" t="str">
        <f>IF('ERROR FINAL'!AT122="CONFORME","CONFORME","NO CONFORME")</f>
        <v>NO CONFORME</v>
      </c>
      <c r="I118" s="68" t="str">
        <f t="shared" si="1"/>
        <v>Medición</v>
      </c>
    </row>
    <row r="119" spans="1:9" x14ac:dyDescent="0.25">
      <c r="A119" s="61">
        <f>'ERROR FINAL'!A123</f>
        <v>115</v>
      </c>
      <c r="B119" s="62">
        <f>'ERROR FINAL'!D123</f>
        <v>3</v>
      </c>
      <c r="C119" s="63">
        <f>'ERROR FINAL'!G123</f>
        <v>0</v>
      </c>
      <c r="D119" s="64">
        <f>'ERROR FINAL'!I123</f>
        <v>0</v>
      </c>
      <c r="E119" s="65">
        <f>'ERROR FINAL'!U123</f>
        <v>-100</v>
      </c>
      <c r="F119" s="66">
        <f>'ERROR FINAL'!AG123</f>
        <v>-100</v>
      </c>
      <c r="G119" s="66">
        <f>'ERROR FINAL'!AS123</f>
        <v>-100</v>
      </c>
      <c r="H119" s="67" t="str">
        <f>IF('ERROR FINAL'!AT123="CONFORME","CONFORME","NO CONFORME")</f>
        <v>NO CONFORME</v>
      </c>
      <c r="I119" s="68" t="str">
        <f t="shared" si="1"/>
        <v>Medición</v>
      </c>
    </row>
    <row r="120" spans="1:9" x14ac:dyDescent="0.25">
      <c r="A120" s="61">
        <f>'ERROR FINAL'!A124</f>
        <v>116</v>
      </c>
      <c r="B120" s="62">
        <f>'ERROR FINAL'!D124</f>
        <v>3</v>
      </c>
      <c r="C120" s="63">
        <f>'ERROR FINAL'!G124</f>
        <v>0</v>
      </c>
      <c r="D120" s="64">
        <f>'ERROR FINAL'!I124</f>
        <v>0</v>
      </c>
      <c r="E120" s="65">
        <f>'ERROR FINAL'!U124</f>
        <v>-100</v>
      </c>
      <c r="F120" s="66">
        <f>'ERROR FINAL'!AG124</f>
        <v>-100</v>
      </c>
      <c r="G120" s="66">
        <f>'ERROR FINAL'!AS124</f>
        <v>-100</v>
      </c>
      <c r="H120" s="67" t="str">
        <f>IF('ERROR FINAL'!AT124="CONFORME","CONFORME","NO CONFORME")</f>
        <v>NO CONFORME</v>
      </c>
      <c r="I120" s="68" t="str">
        <f t="shared" si="1"/>
        <v>Medición</v>
      </c>
    </row>
    <row r="121" spans="1:9" x14ac:dyDescent="0.25">
      <c r="A121" s="61">
        <f>'ERROR FINAL'!A125</f>
        <v>117</v>
      </c>
      <c r="B121" s="62">
        <f>'ERROR FINAL'!D125</f>
        <v>3</v>
      </c>
      <c r="C121" s="63">
        <f>'ERROR FINAL'!G125</f>
        <v>0</v>
      </c>
      <c r="D121" s="64">
        <f>'ERROR FINAL'!I125</f>
        <v>0</v>
      </c>
      <c r="E121" s="65">
        <f>'ERROR FINAL'!U125</f>
        <v>-100</v>
      </c>
      <c r="F121" s="66">
        <f>'ERROR FINAL'!AG125</f>
        <v>-100</v>
      </c>
      <c r="G121" s="66">
        <f>'ERROR FINAL'!AS125</f>
        <v>-100</v>
      </c>
      <c r="H121" s="67" t="str">
        <f>IF('ERROR FINAL'!AT125="CONFORME","CONFORME","NO CONFORME")</f>
        <v>NO CONFORME</v>
      </c>
      <c r="I121" s="68" t="str">
        <f t="shared" si="1"/>
        <v>Medición</v>
      </c>
    </row>
    <row r="122" spans="1:9" x14ac:dyDescent="0.25">
      <c r="A122" s="61">
        <f>'ERROR FINAL'!A126</f>
        <v>118</v>
      </c>
      <c r="B122" s="62">
        <f>'ERROR FINAL'!D126</f>
        <v>3</v>
      </c>
      <c r="C122" s="63">
        <f>'ERROR FINAL'!G126</f>
        <v>0</v>
      </c>
      <c r="D122" s="64">
        <f>'ERROR FINAL'!I126</f>
        <v>0</v>
      </c>
      <c r="E122" s="65">
        <f>'ERROR FINAL'!U126</f>
        <v>-100</v>
      </c>
      <c r="F122" s="66">
        <f>'ERROR FINAL'!AG126</f>
        <v>-100</v>
      </c>
      <c r="G122" s="66">
        <f>'ERROR FINAL'!AS126</f>
        <v>-100</v>
      </c>
      <c r="H122" s="67" t="str">
        <f>IF('ERROR FINAL'!AT126="CONFORME","CONFORME","NO CONFORME")</f>
        <v>NO CONFORME</v>
      </c>
      <c r="I122" s="68" t="str">
        <f t="shared" si="1"/>
        <v>Medición</v>
      </c>
    </row>
    <row r="123" spans="1:9" x14ac:dyDescent="0.25">
      <c r="A123" s="61">
        <f>'ERROR FINAL'!A127</f>
        <v>119</v>
      </c>
      <c r="B123" s="62">
        <f>'ERROR FINAL'!D127</f>
        <v>3</v>
      </c>
      <c r="C123" s="63">
        <f>'ERROR FINAL'!G127</f>
        <v>0</v>
      </c>
      <c r="D123" s="64">
        <f>'ERROR FINAL'!I127</f>
        <v>0</v>
      </c>
      <c r="E123" s="65">
        <f>'ERROR FINAL'!U127</f>
        <v>-100</v>
      </c>
      <c r="F123" s="66">
        <f>'ERROR FINAL'!AG127</f>
        <v>-100</v>
      </c>
      <c r="G123" s="66">
        <f>'ERROR FINAL'!AS127</f>
        <v>-100</v>
      </c>
      <c r="H123" s="67" t="str">
        <f>IF('ERROR FINAL'!AT127="CONFORME","CONFORME","NO CONFORME")</f>
        <v>NO CONFORME</v>
      </c>
      <c r="I123" s="68" t="str">
        <f t="shared" si="1"/>
        <v>Medición</v>
      </c>
    </row>
    <row r="124" spans="1:9" x14ac:dyDescent="0.25">
      <c r="A124" s="61">
        <f>'ERROR FINAL'!A128</f>
        <v>120</v>
      </c>
      <c r="B124" s="62">
        <f>'ERROR FINAL'!D128</f>
        <v>3</v>
      </c>
      <c r="C124" s="63">
        <f>'ERROR FINAL'!G128</f>
        <v>0</v>
      </c>
      <c r="D124" s="64">
        <f>'ERROR FINAL'!I128</f>
        <v>0</v>
      </c>
      <c r="E124" s="65">
        <f>'ERROR FINAL'!U128</f>
        <v>-100</v>
      </c>
      <c r="F124" s="66">
        <f>'ERROR FINAL'!AG128</f>
        <v>-100</v>
      </c>
      <c r="G124" s="66">
        <f>'ERROR FINAL'!AS128</f>
        <v>-100</v>
      </c>
      <c r="H124" s="67" t="str">
        <f>IF('ERROR FINAL'!AT128="CONFORME","CONFORME","NO CONFORME")</f>
        <v>NO CONFORME</v>
      </c>
      <c r="I124" s="68" t="str">
        <f t="shared" si="1"/>
        <v>Medición</v>
      </c>
    </row>
    <row r="125" spans="1:9" x14ac:dyDescent="0.25">
      <c r="A125" s="61">
        <f>'ERROR FINAL'!A129</f>
        <v>121</v>
      </c>
      <c r="B125" s="62">
        <f>'ERROR FINAL'!D129</f>
        <v>3</v>
      </c>
      <c r="C125" s="63">
        <f>'ERROR FINAL'!G129</f>
        <v>0</v>
      </c>
      <c r="D125" s="64">
        <f>'ERROR FINAL'!I129</f>
        <v>0</v>
      </c>
      <c r="E125" s="65">
        <f>'ERROR FINAL'!U129</f>
        <v>-100</v>
      </c>
      <c r="F125" s="66">
        <f>'ERROR FINAL'!AG129</f>
        <v>-100</v>
      </c>
      <c r="G125" s="66">
        <f>'ERROR FINAL'!AS129</f>
        <v>-100</v>
      </c>
      <c r="H125" s="67" t="str">
        <f>IF('ERROR FINAL'!AT129="CONFORME","CONFORME","NO CONFORME")</f>
        <v>NO CONFORME</v>
      </c>
      <c r="I125" s="68" t="str">
        <f t="shared" si="1"/>
        <v>Medición</v>
      </c>
    </row>
    <row r="126" spans="1:9" x14ac:dyDescent="0.25">
      <c r="A126" s="61">
        <f>'ERROR FINAL'!A130</f>
        <v>122</v>
      </c>
      <c r="B126" s="62">
        <f>'ERROR FINAL'!D130</f>
        <v>3</v>
      </c>
      <c r="C126" s="63">
        <f>'ERROR FINAL'!G130</f>
        <v>0</v>
      </c>
      <c r="D126" s="64">
        <f>'ERROR FINAL'!I130</f>
        <v>0</v>
      </c>
      <c r="E126" s="65">
        <f>'ERROR FINAL'!U130</f>
        <v>-100</v>
      </c>
      <c r="F126" s="66">
        <f>'ERROR FINAL'!AG130</f>
        <v>-100</v>
      </c>
      <c r="G126" s="66">
        <f>'ERROR FINAL'!AS130</f>
        <v>-100</v>
      </c>
      <c r="H126" s="67" t="str">
        <f>IF('ERROR FINAL'!AT130="CONFORME","CONFORME","NO CONFORME")</f>
        <v>NO CONFORME</v>
      </c>
      <c r="I126" s="68" t="str">
        <f t="shared" si="1"/>
        <v>Medición</v>
      </c>
    </row>
    <row r="127" spans="1:9" x14ac:dyDescent="0.25">
      <c r="A127" s="61">
        <f>'ERROR FINAL'!A131</f>
        <v>123</v>
      </c>
      <c r="B127" s="62">
        <f>'ERROR FINAL'!D131</f>
        <v>3</v>
      </c>
      <c r="C127" s="63">
        <f>'ERROR FINAL'!G131</f>
        <v>0</v>
      </c>
      <c r="D127" s="64">
        <f>'ERROR FINAL'!I131</f>
        <v>0</v>
      </c>
      <c r="E127" s="65">
        <f>'ERROR FINAL'!U131</f>
        <v>-100</v>
      </c>
      <c r="F127" s="66">
        <f>'ERROR FINAL'!AG131</f>
        <v>-100</v>
      </c>
      <c r="G127" s="66">
        <f>'ERROR FINAL'!AS131</f>
        <v>-100</v>
      </c>
      <c r="H127" s="67" t="str">
        <f>IF('ERROR FINAL'!AT131="CONFORME","CONFORME","NO CONFORME")</f>
        <v>NO CONFORME</v>
      </c>
      <c r="I127" s="68" t="str">
        <f t="shared" si="1"/>
        <v>Medición</v>
      </c>
    </row>
    <row r="128" spans="1:9" x14ac:dyDescent="0.25">
      <c r="A128" s="61">
        <f>'ERROR FINAL'!A132</f>
        <v>124</v>
      </c>
      <c r="B128" s="62">
        <f>'ERROR FINAL'!D132</f>
        <v>3</v>
      </c>
      <c r="C128" s="63">
        <f>'ERROR FINAL'!G132</f>
        <v>0</v>
      </c>
      <c r="D128" s="64">
        <f>'ERROR FINAL'!I132</f>
        <v>0</v>
      </c>
      <c r="E128" s="65">
        <f>'ERROR FINAL'!U132</f>
        <v>-100</v>
      </c>
      <c r="F128" s="66">
        <f>'ERROR FINAL'!AG132</f>
        <v>-100</v>
      </c>
      <c r="G128" s="66">
        <f>'ERROR FINAL'!AS132</f>
        <v>-100</v>
      </c>
      <c r="H128" s="67" t="str">
        <f>IF('ERROR FINAL'!AT132="CONFORME","CONFORME","NO CONFORME")</f>
        <v>NO CONFORME</v>
      </c>
      <c r="I128" s="68" t="str">
        <f t="shared" si="1"/>
        <v>Medición</v>
      </c>
    </row>
    <row r="129" spans="1:9" x14ac:dyDescent="0.25">
      <c r="A129" s="61">
        <f>'ERROR FINAL'!A133</f>
        <v>125</v>
      </c>
      <c r="B129" s="62">
        <f>'ERROR FINAL'!D133</f>
        <v>3</v>
      </c>
      <c r="C129" s="63">
        <f>'ERROR FINAL'!G133</f>
        <v>0</v>
      </c>
      <c r="D129" s="64">
        <f>'ERROR FINAL'!I133</f>
        <v>0</v>
      </c>
      <c r="E129" s="65">
        <f>'ERROR FINAL'!U133</f>
        <v>-100</v>
      </c>
      <c r="F129" s="66">
        <f>'ERROR FINAL'!AG133</f>
        <v>-100</v>
      </c>
      <c r="G129" s="66">
        <f>'ERROR FINAL'!AS133</f>
        <v>-100</v>
      </c>
      <c r="H129" s="67" t="str">
        <f>IF('ERROR FINAL'!AT133="CONFORME","CONFORME","NO CONFORME")</f>
        <v>NO CONFORME</v>
      </c>
      <c r="I129" s="68" t="str">
        <f t="shared" si="1"/>
        <v>Medición</v>
      </c>
    </row>
    <row r="130" spans="1:9" x14ac:dyDescent="0.25">
      <c r="A130" s="61">
        <f>'ERROR FINAL'!A134</f>
        <v>126</v>
      </c>
      <c r="B130" s="62">
        <f>'ERROR FINAL'!D134</f>
        <v>3</v>
      </c>
      <c r="C130" s="63">
        <f>'ERROR FINAL'!G134</f>
        <v>0</v>
      </c>
      <c r="D130" s="64">
        <f>'ERROR FINAL'!I134</f>
        <v>0</v>
      </c>
      <c r="E130" s="65">
        <f>'ERROR FINAL'!U134</f>
        <v>-100</v>
      </c>
      <c r="F130" s="66">
        <f>'ERROR FINAL'!AG134</f>
        <v>-100</v>
      </c>
      <c r="G130" s="66">
        <f>'ERROR FINAL'!AS134</f>
        <v>-100</v>
      </c>
      <c r="H130" s="67" t="str">
        <f>IF('ERROR FINAL'!AT134="CONFORME","CONFORME","NO CONFORME")</f>
        <v>NO CONFORME</v>
      </c>
      <c r="I130" s="68" t="str">
        <f t="shared" si="1"/>
        <v>Medición</v>
      </c>
    </row>
    <row r="131" spans="1:9" x14ac:dyDescent="0.25">
      <c r="A131" s="61">
        <f>'ERROR FINAL'!A135</f>
        <v>127</v>
      </c>
      <c r="B131" s="62">
        <f>'ERROR FINAL'!D135</f>
        <v>3</v>
      </c>
      <c r="C131" s="63">
        <f>'ERROR FINAL'!G135</f>
        <v>0</v>
      </c>
      <c r="D131" s="64">
        <f>'ERROR FINAL'!I135</f>
        <v>0</v>
      </c>
      <c r="E131" s="65">
        <f>'ERROR FINAL'!U135</f>
        <v>-100</v>
      </c>
      <c r="F131" s="66">
        <f>'ERROR FINAL'!AG135</f>
        <v>-100</v>
      </c>
      <c r="G131" s="66">
        <f>'ERROR FINAL'!AS135</f>
        <v>-100</v>
      </c>
      <c r="H131" s="67" t="str">
        <f>IF('ERROR FINAL'!AT135="CONFORME","CONFORME","NO CONFORME")</f>
        <v>NO CONFORME</v>
      </c>
      <c r="I131" s="68" t="str">
        <f t="shared" si="1"/>
        <v>Medición</v>
      </c>
    </row>
    <row r="132" spans="1:9" x14ac:dyDescent="0.25">
      <c r="A132" s="61">
        <f>'ERROR FINAL'!A136</f>
        <v>128</v>
      </c>
      <c r="B132" s="62">
        <f>'ERROR FINAL'!D136</f>
        <v>3</v>
      </c>
      <c r="C132" s="63">
        <f>'ERROR FINAL'!G136</f>
        <v>0</v>
      </c>
      <c r="D132" s="64">
        <f>'ERROR FINAL'!I136</f>
        <v>0</v>
      </c>
      <c r="E132" s="65">
        <f>'ERROR FINAL'!U136</f>
        <v>-100</v>
      </c>
      <c r="F132" s="66">
        <f>'ERROR FINAL'!AG136</f>
        <v>-100</v>
      </c>
      <c r="G132" s="66">
        <f>'ERROR FINAL'!AS136</f>
        <v>-100</v>
      </c>
      <c r="H132" s="67" t="str">
        <f>IF('ERROR FINAL'!AT136="CONFORME","CONFORME","NO CONFORME")</f>
        <v>NO CONFORME</v>
      </c>
      <c r="I132" s="68" t="str">
        <f t="shared" si="1"/>
        <v>Medición</v>
      </c>
    </row>
    <row r="133" spans="1:9" x14ac:dyDescent="0.25">
      <c r="A133" s="61">
        <f>'ERROR FINAL'!A137</f>
        <v>129</v>
      </c>
      <c r="B133" s="62">
        <f>'ERROR FINAL'!D137</f>
        <v>3</v>
      </c>
      <c r="C133" s="63">
        <f>'ERROR FINAL'!G137</f>
        <v>0</v>
      </c>
      <c r="D133" s="64">
        <f>'ERROR FINAL'!I137</f>
        <v>0</v>
      </c>
      <c r="E133" s="65">
        <f>'ERROR FINAL'!U137</f>
        <v>-100</v>
      </c>
      <c r="F133" s="66">
        <f>'ERROR FINAL'!AG137</f>
        <v>-100</v>
      </c>
      <c r="G133" s="66">
        <f>'ERROR FINAL'!AS137</f>
        <v>-100</v>
      </c>
      <c r="H133" s="67" t="str">
        <f>IF('ERROR FINAL'!AT137="CONFORME","CONFORME","NO CONFORME")</f>
        <v>NO CONFORME</v>
      </c>
      <c r="I133" s="68" t="str">
        <f t="shared" si="1"/>
        <v>Medición</v>
      </c>
    </row>
    <row r="134" spans="1:9" x14ac:dyDescent="0.25">
      <c r="A134" s="61">
        <f>'ERROR FINAL'!A138</f>
        <v>130</v>
      </c>
      <c r="B134" s="62">
        <f>'ERROR FINAL'!D138</f>
        <v>3</v>
      </c>
      <c r="C134" s="63">
        <f>'ERROR FINAL'!G138</f>
        <v>0</v>
      </c>
      <c r="D134" s="64">
        <f>'ERROR FINAL'!I138</f>
        <v>0</v>
      </c>
      <c r="E134" s="65">
        <f>'ERROR FINAL'!U138</f>
        <v>-100</v>
      </c>
      <c r="F134" s="66">
        <f>'ERROR FINAL'!AG138</f>
        <v>-100</v>
      </c>
      <c r="G134" s="66">
        <f>'ERROR FINAL'!AS138</f>
        <v>-100</v>
      </c>
      <c r="H134" s="67" t="str">
        <f>IF('ERROR FINAL'!AT138="CONFORME","CONFORME","NO CONFORME")</f>
        <v>NO CONFORME</v>
      </c>
      <c r="I134" s="68" t="str">
        <f t="shared" si="1"/>
        <v>Medición</v>
      </c>
    </row>
    <row r="135" spans="1:9" x14ac:dyDescent="0.25">
      <c r="A135" s="61">
        <f>'ERROR FINAL'!A139</f>
        <v>131</v>
      </c>
      <c r="B135" s="62">
        <f>'ERROR FINAL'!D139</f>
        <v>3</v>
      </c>
      <c r="C135" s="63">
        <f>'ERROR FINAL'!G139</f>
        <v>0</v>
      </c>
      <c r="D135" s="64">
        <f>'ERROR FINAL'!I139</f>
        <v>0</v>
      </c>
      <c r="E135" s="65">
        <f>'ERROR FINAL'!U139</f>
        <v>-100</v>
      </c>
      <c r="F135" s="66">
        <f>'ERROR FINAL'!AG139</f>
        <v>-100</v>
      </c>
      <c r="G135" s="66">
        <f>'ERROR FINAL'!AS139</f>
        <v>-100</v>
      </c>
      <c r="H135" s="67" t="str">
        <f>IF('ERROR FINAL'!AT139="CONFORME","CONFORME","NO CONFORME")</f>
        <v>NO CONFORME</v>
      </c>
      <c r="I135" s="68" t="str">
        <f t="shared" ref="I135:I198" si="2">IF(D135=0,"Medición",IF(D135=1,"Daño físico",IF(D135=2,"Fuga",IF(D135=3,"Picado",IF(D135=4,"Desfasado",IF(D135=5,"Paralizado","¿?"))))))</f>
        <v>Medición</v>
      </c>
    </row>
    <row r="136" spans="1:9" x14ac:dyDescent="0.25">
      <c r="A136" s="61">
        <f>'ERROR FINAL'!A140</f>
        <v>132</v>
      </c>
      <c r="B136" s="62">
        <f>'ERROR FINAL'!D140</f>
        <v>3</v>
      </c>
      <c r="C136" s="63">
        <f>'ERROR FINAL'!G140</f>
        <v>0</v>
      </c>
      <c r="D136" s="64">
        <f>'ERROR FINAL'!I140</f>
        <v>0</v>
      </c>
      <c r="E136" s="65">
        <f>'ERROR FINAL'!U140</f>
        <v>-100</v>
      </c>
      <c r="F136" s="66">
        <f>'ERROR FINAL'!AG140</f>
        <v>-100</v>
      </c>
      <c r="G136" s="66">
        <f>'ERROR FINAL'!AS140</f>
        <v>-100</v>
      </c>
      <c r="H136" s="67" t="str">
        <f>IF('ERROR FINAL'!AT140="CONFORME","CONFORME","NO CONFORME")</f>
        <v>NO CONFORME</v>
      </c>
      <c r="I136" s="68" t="str">
        <f t="shared" si="2"/>
        <v>Medición</v>
      </c>
    </row>
    <row r="137" spans="1:9" x14ac:dyDescent="0.25">
      <c r="A137" s="61">
        <f>'ERROR FINAL'!A141</f>
        <v>133</v>
      </c>
      <c r="B137" s="62">
        <f>'ERROR FINAL'!D141</f>
        <v>3</v>
      </c>
      <c r="C137" s="63">
        <f>'ERROR FINAL'!G141</f>
        <v>0</v>
      </c>
      <c r="D137" s="64">
        <f>'ERROR FINAL'!I141</f>
        <v>0</v>
      </c>
      <c r="E137" s="65">
        <f>'ERROR FINAL'!U141</f>
        <v>-100</v>
      </c>
      <c r="F137" s="66">
        <f>'ERROR FINAL'!AG141</f>
        <v>-100</v>
      </c>
      <c r="G137" s="66">
        <f>'ERROR FINAL'!AS141</f>
        <v>-100</v>
      </c>
      <c r="H137" s="67" t="str">
        <f>IF('ERROR FINAL'!AT141="CONFORME","CONFORME","NO CONFORME")</f>
        <v>NO CONFORME</v>
      </c>
      <c r="I137" s="68" t="str">
        <f t="shared" si="2"/>
        <v>Medición</v>
      </c>
    </row>
    <row r="138" spans="1:9" x14ac:dyDescent="0.25">
      <c r="A138" s="61">
        <f>'ERROR FINAL'!A142</f>
        <v>134</v>
      </c>
      <c r="B138" s="62">
        <f>'ERROR FINAL'!D142</f>
        <v>3</v>
      </c>
      <c r="C138" s="63">
        <f>'ERROR FINAL'!G142</f>
        <v>0</v>
      </c>
      <c r="D138" s="64">
        <f>'ERROR FINAL'!I142</f>
        <v>0</v>
      </c>
      <c r="E138" s="65">
        <f>'ERROR FINAL'!U142</f>
        <v>-100</v>
      </c>
      <c r="F138" s="66">
        <f>'ERROR FINAL'!AG142</f>
        <v>-100</v>
      </c>
      <c r="G138" s="66">
        <f>'ERROR FINAL'!AS142</f>
        <v>-100</v>
      </c>
      <c r="H138" s="67" t="str">
        <f>IF('ERROR FINAL'!AT142="CONFORME","CONFORME","NO CONFORME")</f>
        <v>NO CONFORME</v>
      </c>
      <c r="I138" s="68" t="str">
        <f t="shared" si="2"/>
        <v>Medición</v>
      </c>
    </row>
    <row r="139" spans="1:9" x14ac:dyDescent="0.25">
      <c r="A139" s="61">
        <f>'ERROR FINAL'!A143</f>
        <v>135</v>
      </c>
      <c r="B139" s="62">
        <f>'ERROR FINAL'!D143</f>
        <v>3</v>
      </c>
      <c r="C139" s="63">
        <f>'ERROR FINAL'!G143</f>
        <v>0</v>
      </c>
      <c r="D139" s="64">
        <f>'ERROR FINAL'!I143</f>
        <v>0</v>
      </c>
      <c r="E139" s="65">
        <f>'ERROR FINAL'!U143</f>
        <v>-100</v>
      </c>
      <c r="F139" s="66">
        <f>'ERROR FINAL'!AG143</f>
        <v>-100</v>
      </c>
      <c r="G139" s="66">
        <f>'ERROR FINAL'!AS143</f>
        <v>-100</v>
      </c>
      <c r="H139" s="67" t="str">
        <f>IF('ERROR FINAL'!AT143="CONFORME","CONFORME","NO CONFORME")</f>
        <v>NO CONFORME</v>
      </c>
      <c r="I139" s="68" t="str">
        <f t="shared" si="2"/>
        <v>Medición</v>
      </c>
    </row>
    <row r="140" spans="1:9" x14ac:dyDescent="0.25">
      <c r="A140" s="61">
        <f>'ERROR FINAL'!A144</f>
        <v>136</v>
      </c>
      <c r="B140" s="62">
        <f>'ERROR FINAL'!D144</f>
        <v>3</v>
      </c>
      <c r="C140" s="63">
        <f>'ERROR FINAL'!G144</f>
        <v>0</v>
      </c>
      <c r="D140" s="64">
        <f>'ERROR FINAL'!I144</f>
        <v>0</v>
      </c>
      <c r="E140" s="65">
        <f>'ERROR FINAL'!U144</f>
        <v>-100</v>
      </c>
      <c r="F140" s="66">
        <f>'ERROR FINAL'!AG144</f>
        <v>-100</v>
      </c>
      <c r="G140" s="66">
        <f>'ERROR FINAL'!AS144</f>
        <v>-100</v>
      </c>
      <c r="H140" s="67" t="str">
        <f>IF('ERROR FINAL'!AT144="CONFORME","CONFORME","NO CONFORME")</f>
        <v>NO CONFORME</v>
      </c>
      <c r="I140" s="68" t="str">
        <f t="shared" si="2"/>
        <v>Medición</v>
      </c>
    </row>
    <row r="141" spans="1:9" x14ac:dyDescent="0.25">
      <c r="A141" s="61">
        <f>'ERROR FINAL'!A145</f>
        <v>137</v>
      </c>
      <c r="B141" s="62">
        <f>'ERROR FINAL'!D145</f>
        <v>3</v>
      </c>
      <c r="C141" s="63">
        <f>'ERROR FINAL'!G145</f>
        <v>0</v>
      </c>
      <c r="D141" s="64">
        <f>'ERROR FINAL'!I145</f>
        <v>0</v>
      </c>
      <c r="E141" s="65">
        <f>'ERROR FINAL'!U145</f>
        <v>-100</v>
      </c>
      <c r="F141" s="66">
        <f>'ERROR FINAL'!AG145</f>
        <v>-100</v>
      </c>
      <c r="G141" s="66">
        <f>'ERROR FINAL'!AS145</f>
        <v>-100</v>
      </c>
      <c r="H141" s="67" t="str">
        <f>IF('ERROR FINAL'!AT145="CONFORME","CONFORME","NO CONFORME")</f>
        <v>NO CONFORME</v>
      </c>
      <c r="I141" s="68" t="str">
        <f t="shared" si="2"/>
        <v>Medición</v>
      </c>
    </row>
    <row r="142" spans="1:9" x14ac:dyDescent="0.25">
      <c r="A142" s="61">
        <f>'ERROR FINAL'!A146</f>
        <v>138</v>
      </c>
      <c r="B142" s="62">
        <f>'ERROR FINAL'!D146</f>
        <v>3</v>
      </c>
      <c r="C142" s="63">
        <f>'ERROR FINAL'!G146</f>
        <v>0</v>
      </c>
      <c r="D142" s="64">
        <f>'ERROR FINAL'!I146</f>
        <v>0</v>
      </c>
      <c r="E142" s="65">
        <f>'ERROR FINAL'!U146</f>
        <v>-100</v>
      </c>
      <c r="F142" s="66">
        <f>'ERROR FINAL'!AG146</f>
        <v>-100</v>
      </c>
      <c r="G142" s="66">
        <f>'ERROR FINAL'!AS146</f>
        <v>-100</v>
      </c>
      <c r="H142" s="67" t="str">
        <f>IF('ERROR FINAL'!AT146="CONFORME","CONFORME","NO CONFORME")</f>
        <v>NO CONFORME</v>
      </c>
      <c r="I142" s="68" t="str">
        <f t="shared" si="2"/>
        <v>Medición</v>
      </c>
    </row>
    <row r="143" spans="1:9" x14ac:dyDescent="0.25">
      <c r="A143" s="61">
        <f>'ERROR FINAL'!A147</f>
        <v>139</v>
      </c>
      <c r="B143" s="62">
        <f>'ERROR FINAL'!D147</f>
        <v>3</v>
      </c>
      <c r="C143" s="63">
        <f>'ERROR FINAL'!G147</f>
        <v>0</v>
      </c>
      <c r="D143" s="64">
        <f>'ERROR FINAL'!I147</f>
        <v>0</v>
      </c>
      <c r="E143" s="65">
        <f>'ERROR FINAL'!U147</f>
        <v>-100</v>
      </c>
      <c r="F143" s="66">
        <f>'ERROR FINAL'!AG147</f>
        <v>-100</v>
      </c>
      <c r="G143" s="66">
        <f>'ERROR FINAL'!AS147</f>
        <v>-100</v>
      </c>
      <c r="H143" s="67" t="str">
        <f>IF('ERROR FINAL'!AT147="CONFORME","CONFORME","NO CONFORME")</f>
        <v>NO CONFORME</v>
      </c>
      <c r="I143" s="68" t="str">
        <f t="shared" si="2"/>
        <v>Medición</v>
      </c>
    </row>
    <row r="144" spans="1:9" x14ac:dyDescent="0.25">
      <c r="A144" s="61">
        <f>'ERROR FINAL'!A148</f>
        <v>140</v>
      </c>
      <c r="B144" s="62">
        <f>'ERROR FINAL'!D148</f>
        <v>3</v>
      </c>
      <c r="C144" s="63">
        <f>'ERROR FINAL'!G148</f>
        <v>0</v>
      </c>
      <c r="D144" s="64">
        <f>'ERROR FINAL'!I148</f>
        <v>0</v>
      </c>
      <c r="E144" s="65">
        <f>'ERROR FINAL'!U148</f>
        <v>-100</v>
      </c>
      <c r="F144" s="66">
        <f>'ERROR FINAL'!AG148</f>
        <v>-100</v>
      </c>
      <c r="G144" s="66">
        <f>'ERROR FINAL'!AS148</f>
        <v>-100</v>
      </c>
      <c r="H144" s="67" t="str">
        <f>IF('ERROR FINAL'!AT148="CONFORME","CONFORME","NO CONFORME")</f>
        <v>NO CONFORME</v>
      </c>
      <c r="I144" s="68" t="str">
        <f t="shared" si="2"/>
        <v>Medición</v>
      </c>
    </row>
    <row r="145" spans="1:9" x14ac:dyDescent="0.25">
      <c r="A145" s="61">
        <f>'ERROR FINAL'!A149</f>
        <v>141</v>
      </c>
      <c r="B145" s="62">
        <f>'ERROR FINAL'!D149</f>
        <v>3</v>
      </c>
      <c r="C145" s="63">
        <f>'ERROR FINAL'!G149</f>
        <v>0</v>
      </c>
      <c r="D145" s="64">
        <f>'ERROR FINAL'!I149</f>
        <v>0</v>
      </c>
      <c r="E145" s="65">
        <f>'ERROR FINAL'!U149</f>
        <v>-100</v>
      </c>
      <c r="F145" s="66">
        <f>'ERROR FINAL'!AG149</f>
        <v>-100</v>
      </c>
      <c r="G145" s="66">
        <f>'ERROR FINAL'!AS149</f>
        <v>-100</v>
      </c>
      <c r="H145" s="67" t="str">
        <f>IF('ERROR FINAL'!AT149="CONFORME","CONFORME","NO CONFORME")</f>
        <v>NO CONFORME</v>
      </c>
      <c r="I145" s="68" t="str">
        <f t="shared" si="2"/>
        <v>Medición</v>
      </c>
    </row>
    <row r="146" spans="1:9" x14ac:dyDescent="0.25">
      <c r="A146" s="61">
        <f>'ERROR FINAL'!A150</f>
        <v>142</v>
      </c>
      <c r="B146" s="62">
        <f>'ERROR FINAL'!D150</f>
        <v>3</v>
      </c>
      <c r="C146" s="63">
        <f>'ERROR FINAL'!G150</f>
        <v>0</v>
      </c>
      <c r="D146" s="64">
        <f>'ERROR FINAL'!I150</f>
        <v>0</v>
      </c>
      <c r="E146" s="65">
        <f>'ERROR FINAL'!U150</f>
        <v>-100</v>
      </c>
      <c r="F146" s="66">
        <f>'ERROR FINAL'!AG150</f>
        <v>-100</v>
      </c>
      <c r="G146" s="66">
        <f>'ERROR FINAL'!AS150</f>
        <v>-100</v>
      </c>
      <c r="H146" s="67" t="str">
        <f>IF('ERROR FINAL'!AT150="CONFORME","CONFORME","NO CONFORME")</f>
        <v>NO CONFORME</v>
      </c>
      <c r="I146" s="68" t="str">
        <f t="shared" si="2"/>
        <v>Medición</v>
      </c>
    </row>
    <row r="147" spans="1:9" x14ac:dyDescent="0.25">
      <c r="A147" s="61">
        <f>'ERROR FINAL'!A151</f>
        <v>143</v>
      </c>
      <c r="B147" s="62">
        <f>'ERROR FINAL'!D151</f>
        <v>3</v>
      </c>
      <c r="C147" s="63">
        <f>'ERROR FINAL'!G151</f>
        <v>0</v>
      </c>
      <c r="D147" s="64">
        <f>'ERROR FINAL'!I151</f>
        <v>0</v>
      </c>
      <c r="E147" s="65">
        <f>'ERROR FINAL'!U151</f>
        <v>-100</v>
      </c>
      <c r="F147" s="66">
        <f>'ERROR FINAL'!AG151</f>
        <v>-100</v>
      </c>
      <c r="G147" s="66">
        <f>'ERROR FINAL'!AS151</f>
        <v>-100</v>
      </c>
      <c r="H147" s="67" t="str">
        <f>IF('ERROR FINAL'!AT151="CONFORME","CONFORME","NO CONFORME")</f>
        <v>NO CONFORME</v>
      </c>
      <c r="I147" s="68" t="str">
        <f t="shared" si="2"/>
        <v>Medición</v>
      </c>
    </row>
    <row r="148" spans="1:9" x14ac:dyDescent="0.25">
      <c r="A148" s="61">
        <f>'ERROR FINAL'!A152</f>
        <v>144</v>
      </c>
      <c r="B148" s="62">
        <f>'ERROR FINAL'!D152</f>
        <v>3</v>
      </c>
      <c r="C148" s="63">
        <f>'ERROR FINAL'!G152</f>
        <v>0</v>
      </c>
      <c r="D148" s="64">
        <f>'ERROR FINAL'!I152</f>
        <v>0</v>
      </c>
      <c r="E148" s="65">
        <f>'ERROR FINAL'!U152</f>
        <v>-100</v>
      </c>
      <c r="F148" s="66">
        <f>'ERROR FINAL'!AG152</f>
        <v>-100</v>
      </c>
      <c r="G148" s="66">
        <f>'ERROR FINAL'!AS152</f>
        <v>-100</v>
      </c>
      <c r="H148" s="67" t="str">
        <f>IF('ERROR FINAL'!AT152="CONFORME","CONFORME","NO CONFORME")</f>
        <v>NO CONFORME</v>
      </c>
      <c r="I148" s="68" t="str">
        <f t="shared" si="2"/>
        <v>Medición</v>
      </c>
    </row>
    <row r="149" spans="1:9" x14ac:dyDescent="0.25">
      <c r="A149" s="61">
        <f>'ERROR FINAL'!A153</f>
        <v>145</v>
      </c>
      <c r="B149" s="62">
        <f>'ERROR FINAL'!D153</f>
        <v>3</v>
      </c>
      <c r="C149" s="63">
        <f>'ERROR FINAL'!G153</f>
        <v>0</v>
      </c>
      <c r="D149" s="64">
        <f>'ERROR FINAL'!I153</f>
        <v>0</v>
      </c>
      <c r="E149" s="65">
        <f>'ERROR FINAL'!U153</f>
        <v>-100</v>
      </c>
      <c r="F149" s="66">
        <f>'ERROR FINAL'!AG153</f>
        <v>-100</v>
      </c>
      <c r="G149" s="66">
        <f>'ERROR FINAL'!AS153</f>
        <v>-100</v>
      </c>
      <c r="H149" s="67" t="str">
        <f>IF('ERROR FINAL'!AT153="CONFORME","CONFORME","NO CONFORME")</f>
        <v>NO CONFORME</v>
      </c>
      <c r="I149" s="68" t="str">
        <f t="shared" si="2"/>
        <v>Medición</v>
      </c>
    </row>
    <row r="150" spans="1:9" x14ac:dyDescent="0.25">
      <c r="A150" s="61">
        <f>'ERROR FINAL'!A154</f>
        <v>146</v>
      </c>
      <c r="B150" s="62">
        <f>'ERROR FINAL'!D154</f>
        <v>3</v>
      </c>
      <c r="C150" s="63">
        <f>'ERROR FINAL'!G154</f>
        <v>0</v>
      </c>
      <c r="D150" s="64">
        <f>'ERROR FINAL'!I154</f>
        <v>0</v>
      </c>
      <c r="E150" s="65">
        <f>'ERROR FINAL'!U154</f>
        <v>-100</v>
      </c>
      <c r="F150" s="66">
        <f>'ERROR FINAL'!AG154</f>
        <v>-100</v>
      </c>
      <c r="G150" s="66">
        <f>'ERROR FINAL'!AS154</f>
        <v>-100</v>
      </c>
      <c r="H150" s="67" t="str">
        <f>IF('ERROR FINAL'!AT154="CONFORME","CONFORME","NO CONFORME")</f>
        <v>NO CONFORME</v>
      </c>
      <c r="I150" s="68" t="str">
        <f t="shared" si="2"/>
        <v>Medición</v>
      </c>
    </row>
    <row r="151" spans="1:9" x14ac:dyDescent="0.25">
      <c r="A151" s="61">
        <f>'ERROR FINAL'!A155</f>
        <v>147</v>
      </c>
      <c r="B151" s="62">
        <f>'ERROR FINAL'!D155</f>
        <v>3</v>
      </c>
      <c r="C151" s="63">
        <f>'ERROR FINAL'!G155</f>
        <v>0</v>
      </c>
      <c r="D151" s="64">
        <f>'ERROR FINAL'!I155</f>
        <v>0</v>
      </c>
      <c r="E151" s="65">
        <f>'ERROR FINAL'!U155</f>
        <v>-100</v>
      </c>
      <c r="F151" s="66">
        <f>'ERROR FINAL'!AG155</f>
        <v>-100</v>
      </c>
      <c r="G151" s="66">
        <f>'ERROR FINAL'!AS155</f>
        <v>-100</v>
      </c>
      <c r="H151" s="67" t="str">
        <f>IF('ERROR FINAL'!AT155="CONFORME","CONFORME","NO CONFORME")</f>
        <v>NO CONFORME</v>
      </c>
      <c r="I151" s="68" t="str">
        <f t="shared" si="2"/>
        <v>Medición</v>
      </c>
    </row>
    <row r="152" spans="1:9" x14ac:dyDescent="0.25">
      <c r="A152" s="61">
        <f>'ERROR FINAL'!A156</f>
        <v>148</v>
      </c>
      <c r="B152" s="62">
        <f>'ERROR FINAL'!D156</f>
        <v>3</v>
      </c>
      <c r="C152" s="63">
        <f>'ERROR FINAL'!G156</f>
        <v>0</v>
      </c>
      <c r="D152" s="64">
        <f>'ERROR FINAL'!I156</f>
        <v>0</v>
      </c>
      <c r="E152" s="65">
        <f>'ERROR FINAL'!U156</f>
        <v>-100</v>
      </c>
      <c r="F152" s="66">
        <f>'ERROR FINAL'!AG156</f>
        <v>-100</v>
      </c>
      <c r="G152" s="66">
        <f>'ERROR FINAL'!AS156</f>
        <v>-100</v>
      </c>
      <c r="H152" s="67" t="str">
        <f>IF('ERROR FINAL'!AT156="CONFORME","CONFORME","NO CONFORME")</f>
        <v>NO CONFORME</v>
      </c>
      <c r="I152" s="68" t="str">
        <f t="shared" si="2"/>
        <v>Medición</v>
      </c>
    </row>
    <row r="153" spans="1:9" x14ac:dyDescent="0.25">
      <c r="A153" s="61">
        <f>'ERROR FINAL'!A157</f>
        <v>149</v>
      </c>
      <c r="B153" s="62">
        <f>'ERROR FINAL'!D157</f>
        <v>3</v>
      </c>
      <c r="C153" s="63">
        <f>'ERROR FINAL'!G157</f>
        <v>0</v>
      </c>
      <c r="D153" s="64">
        <f>'ERROR FINAL'!I157</f>
        <v>0</v>
      </c>
      <c r="E153" s="65">
        <f>'ERROR FINAL'!U157</f>
        <v>-100</v>
      </c>
      <c r="F153" s="66">
        <f>'ERROR FINAL'!AG157</f>
        <v>-100</v>
      </c>
      <c r="G153" s="66">
        <f>'ERROR FINAL'!AS157</f>
        <v>-100</v>
      </c>
      <c r="H153" s="67" t="str">
        <f>IF('ERROR FINAL'!AT157="CONFORME","CONFORME","NO CONFORME")</f>
        <v>NO CONFORME</v>
      </c>
      <c r="I153" s="68" t="str">
        <f t="shared" si="2"/>
        <v>Medición</v>
      </c>
    </row>
    <row r="154" spans="1:9" x14ac:dyDescent="0.25">
      <c r="A154" s="61">
        <f>'ERROR FINAL'!A158</f>
        <v>150</v>
      </c>
      <c r="B154" s="62">
        <f>'ERROR FINAL'!D158</f>
        <v>3</v>
      </c>
      <c r="C154" s="63">
        <f>'ERROR FINAL'!G158</f>
        <v>0</v>
      </c>
      <c r="D154" s="64">
        <f>'ERROR FINAL'!I158</f>
        <v>0</v>
      </c>
      <c r="E154" s="65">
        <f>'ERROR FINAL'!U158</f>
        <v>-100</v>
      </c>
      <c r="F154" s="66">
        <f>'ERROR FINAL'!AG158</f>
        <v>-100</v>
      </c>
      <c r="G154" s="66">
        <f>'ERROR FINAL'!AS158</f>
        <v>-100</v>
      </c>
      <c r="H154" s="67" t="str">
        <f>IF('ERROR FINAL'!AT158="CONFORME","CONFORME","NO CONFORME")</f>
        <v>NO CONFORME</v>
      </c>
      <c r="I154" s="68" t="str">
        <f t="shared" si="2"/>
        <v>Medición</v>
      </c>
    </row>
    <row r="155" spans="1:9" x14ac:dyDescent="0.25">
      <c r="A155" s="61">
        <f>'ERROR FINAL'!A159</f>
        <v>151</v>
      </c>
      <c r="B155" s="62">
        <f>'ERROR FINAL'!D159</f>
        <v>3</v>
      </c>
      <c r="C155" s="63">
        <f>'ERROR FINAL'!G159</f>
        <v>0</v>
      </c>
      <c r="D155" s="64">
        <f>'ERROR FINAL'!I159</f>
        <v>0</v>
      </c>
      <c r="E155" s="65">
        <f>'ERROR FINAL'!U159</f>
        <v>-100</v>
      </c>
      <c r="F155" s="66">
        <f>'ERROR FINAL'!AG159</f>
        <v>-100</v>
      </c>
      <c r="G155" s="66">
        <f>'ERROR FINAL'!AS159</f>
        <v>-100</v>
      </c>
      <c r="H155" s="67" t="str">
        <f>IF('ERROR FINAL'!AT159="CONFORME","CONFORME","NO CONFORME")</f>
        <v>NO CONFORME</v>
      </c>
      <c r="I155" s="68" t="str">
        <f t="shared" si="2"/>
        <v>Medición</v>
      </c>
    </row>
    <row r="156" spans="1:9" x14ac:dyDescent="0.25">
      <c r="A156" s="61">
        <f>'ERROR FINAL'!A160</f>
        <v>152</v>
      </c>
      <c r="B156" s="62">
        <f>'ERROR FINAL'!D160</f>
        <v>3</v>
      </c>
      <c r="C156" s="63">
        <f>'ERROR FINAL'!G160</f>
        <v>0</v>
      </c>
      <c r="D156" s="64">
        <f>'ERROR FINAL'!I160</f>
        <v>0</v>
      </c>
      <c r="E156" s="65">
        <f>'ERROR FINAL'!U160</f>
        <v>-100</v>
      </c>
      <c r="F156" s="66">
        <f>'ERROR FINAL'!AG160</f>
        <v>-100</v>
      </c>
      <c r="G156" s="66">
        <f>'ERROR FINAL'!AS160</f>
        <v>-100</v>
      </c>
      <c r="H156" s="67" t="str">
        <f>IF('ERROR FINAL'!AT160="CONFORME","CONFORME","NO CONFORME")</f>
        <v>NO CONFORME</v>
      </c>
      <c r="I156" s="68" t="str">
        <f t="shared" si="2"/>
        <v>Medición</v>
      </c>
    </row>
    <row r="157" spans="1:9" x14ac:dyDescent="0.25">
      <c r="A157" s="61">
        <f>'ERROR FINAL'!A161</f>
        <v>153</v>
      </c>
      <c r="B157" s="62">
        <f>'ERROR FINAL'!D161</f>
        <v>3</v>
      </c>
      <c r="C157" s="63">
        <f>'ERROR FINAL'!G161</f>
        <v>0</v>
      </c>
      <c r="D157" s="64">
        <f>'ERROR FINAL'!I161</f>
        <v>0</v>
      </c>
      <c r="E157" s="65">
        <f>'ERROR FINAL'!U161</f>
        <v>-100</v>
      </c>
      <c r="F157" s="66">
        <f>'ERROR FINAL'!AG161</f>
        <v>-100</v>
      </c>
      <c r="G157" s="66">
        <f>'ERROR FINAL'!AS161</f>
        <v>-100</v>
      </c>
      <c r="H157" s="67" t="str">
        <f>IF('ERROR FINAL'!AT161="CONFORME","CONFORME","NO CONFORME")</f>
        <v>NO CONFORME</v>
      </c>
      <c r="I157" s="68" t="str">
        <f t="shared" si="2"/>
        <v>Medición</v>
      </c>
    </row>
    <row r="158" spans="1:9" x14ac:dyDescent="0.25">
      <c r="A158" s="61">
        <f>'ERROR FINAL'!A162</f>
        <v>154</v>
      </c>
      <c r="B158" s="62">
        <f>'ERROR FINAL'!D162</f>
        <v>3</v>
      </c>
      <c r="C158" s="63">
        <f>'ERROR FINAL'!G162</f>
        <v>0</v>
      </c>
      <c r="D158" s="64">
        <f>'ERROR FINAL'!I162</f>
        <v>0</v>
      </c>
      <c r="E158" s="65">
        <f>'ERROR FINAL'!U162</f>
        <v>-100</v>
      </c>
      <c r="F158" s="66">
        <f>'ERROR FINAL'!AG162</f>
        <v>-100</v>
      </c>
      <c r="G158" s="66">
        <f>'ERROR FINAL'!AS162</f>
        <v>-100</v>
      </c>
      <c r="H158" s="67" t="str">
        <f>IF('ERROR FINAL'!AT162="CONFORME","CONFORME","NO CONFORME")</f>
        <v>NO CONFORME</v>
      </c>
      <c r="I158" s="68" t="str">
        <f t="shared" si="2"/>
        <v>Medición</v>
      </c>
    </row>
    <row r="159" spans="1:9" x14ac:dyDescent="0.25">
      <c r="A159" s="61">
        <f>'ERROR FINAL'!A163</f>
        <v>155</v>
      </c>
      <c r="B159" s="62">
        <f>'ERROR FINAL'!D163</f>
        <v>3</v>
      </c>
      <c r="C159" s="63">
        <f>'ERROR FINAL'!G163</f>
        <v>0</v>
      </c>
      <c r="D159" s="64">
        <f>'ERROR FINAL'!I163</f>
        <v>0</v>
      </c>
      <c r="E159" s="65">
        <f>'ERROR FINAL'!U163</f>
        <v>-100</v>
      </c>
      <c r="F159" s="66">
        <f>'ERROR FINAL'!AG163</f>
        <v>-100</v>
      </c>
      <c r="G159" s="66">
        <f>'ERROR FINAL'!AS163</f>
        <v>-100</v>
      </c>
      <c r="H159" s="67" t="str">
        <f>IF('ERROR FINAL'!AT163="CONFORME","CONFORME","NO CONFORME")</f>
        <v>NO CONFORME</v>
      </c>
      <c r="I159" s="68" t="str">
        <f t="shared" si="2"/>
        <v>Medición</v>
      </c>
    </row>
    <row r="160" spans="1:9" x14ac:dyDescent="0.25">
      <c r="A160" s="61">
        <f>'ERROR FINAL'!A164</f>
        <v>156</v>
      </c>
      <c r="B160" s="62">
        <f>'ERROR FINAL'!D164</f>
        <v>3</v>
      </c>
      <c r="C160" s="63">
        <f>'ERROR FINAL'!G164</f>
        <v>0</v>
      </c>
      <c r="D160" s="64">
        <f>'ERROR FINAL'!I164</f>
        <v>0</v>
      </c>
      <c r="E160" s="65">
        <f>'ERROR FINAL'!U164</f>
        <v>-100</v>
      </c>
      <c r="F160" s="66">
        <f>'ERROR FINAL'!AG164</f>
        <v>-100</v>
      </c>
      <c r="G160" s="66">
        <f>'ERROR FINAL'!AS164</f>
        <v>-100</v>
      </c>
      <c r="H160" s="67" t="str">
        <f>IF('ERROR FINAL'!AT164="CONFORME","CONFORME","NO CONFORME")</f>
        <v>NO CONFORME</v>
      </c>
      <c r="I160" s="68" t="str">
        <f t="shared" si="2"/>
        <v>Medición</v>
      </c>
    </row>
    <row r="161" spans="1:9" x14ac:dyDescent="0.25">
      <c r="A161" s="61">
        <f>'ERROR FINAL'!A165</f>
        <v>157</v>
      </c>
      <c r="B161" s="62">
        <f>'ERROR FINAL'!D165</f>
        <v>3</v>
      </c>
      <c r="C161" s="63">
        <f>'ERROR FINAL'!G165</f>
        <v>0</v>
      </c>
      <c r="D161" s="64">
        <f>'ERROR FINAL'!I165</f>
        <v>0</v>
      </c>
      <c r="E161" s="65">
        <f>'ERROR FINAL'!U165</f>
        <v>-100</v>
      </c>
      <c r="F161" s="66">
        <f>'ERROR FINAL'!AG165</f>
        <v>-100</v>
      </c>
      <c r="G161" s="66">
        <f>'ERROR FINAL'!AS165</f>
        <v>-100</v>
      </c>
      <c r="H161" s="67" t="str">
        <f>IF('ERROR FINAL'!AT165="CONFORME","CONFORME","NO CONFORME")</f>
        <v>NO CONFORME</v>
      </c>
      <c r="I161" s="68" t="str">
        <f t="shared" si="2"/>
        <v>Medición</v>
      </c>
    </row>
    <row r="162" spans="1:9" x14ac:dyDescent="0.25">
      <c r="A162" s="61">
        <f>'ERROR FINAL'!A166</f>
        <v>158</v>
      </c>
      <c r="B162" s="62">
        <f>'ERROR FINAL'!D166</f>
        <v>3</v>
      </c>
      <c r="C162" s="63">
        <f>'ERROR FINAL'!G166</f>
        <v>0</v>
      </c>
      <c r="D162" s="64">
        <f>'ERROR FINAL'!I166</f>
        <v>0</v>
      </c>
      <c r="E162" s="65">
        <f>'ERROR FINAL'!U166</f>
        <v>-100</v>
      </c>
      <c r="F162" s="66">
        <f>'ERROR FINAL'!AG166</f>
        <v>-100</v>
      </c>
      <c r="G162" s="66">
        <f>'ERROR FINAL'!AS166</f>
        <v>-100</v>
      </c>
      <c r="H162" s="67" t="str">
        <f>IF('ERROR FINAL'!AT166="CONFORME","CONFORME","NO CONFORME")</f>
        <v>NO CONFORME</v>
      </c>
      <c r="I162" s="68" t="str">
        <f t="shared" si="2"/>
        <v>Medición</v>
      </c>
    </row>
    <row r="163" spans="1:9" x14ac:dyDescent="0.25">
      <c r="A163" s="61">
        <f>'ERROR FINAL'!A167</f>
        <v>159</v>
      </c>
      <c r="B163" s="62">
        <f>'ERROR FINAL'!D167</f>
        <v>3</v>
      </c>
      <c r="C163" s="63">
        <f>'ERROR FINAL'!G167</f>
        <v>0</v>
      </c>
      <c r="D163" s="64">
        <f>'ERROR FINAL'!I167</f>
        <v>0</v>
      </c>
      <c r="E163" s="65">
        <f>'ERROR FINAL'!U167</f>
        <v>-100</v>
      </c>
      <c r="F163" s="66">
        <f>'ERROR FINAL'!AG167</f>
        <v>-100</v>
      </c>
      <c r="G163" s="66">
        <f>'ERROR FINAL'!AS167</f>
        <v>-100</v>
      </c>
      <c r="H163" s="67" t="str">
        <f>IF('ERROR FINAL'!AT167="CONFORME","CONFORME","NO CONFORME")</f>
        <v>NO CONFORME</v>
      </c>
      <c r="I163" s="68" t="str">
        <f t="shared" si="2"/>
        <v>Medición</v>
      </c>
    </row>
    <row r="164" spans="1:9" x14ac:dyDescent="0.25">
      <c r="A164" s="61">
        <f>'ERROR FINAL'!A168</f>
        <v>160</v>
      </c>
      <c r="B164" s="62">
        <f>'ERROR FINAL'!D168</f>
        <v>3</v>
      </c>
      <c r="C164" s="63">
        <f>'ERROR FINAL'!G168</f>
        <v>0</v>
      </c>
      <c r="D164" s="64">
        <f>'ERROR FINAL'!I168</f>
        <v>0</v>
      </c>
      <c r="E164" s="65">
        <f>'ERROR FINAL'!U168</f>
        <v>-100</v>
      </c>
      <c r="F164" s="66">
        <f>'ERROR FINAL'!AG168</f>
        <v>-100</v>
      </c>
      <c r="G164" s="66">
        <f>'ERROR FINAL'!AS168</f>
        <v>-100</v>
      </c>
      <c r="H164" s="67" t="str">
        <f>IF('ERROR FINAL'!AT168="CONFORME","CONFORME","NO CONFORME")</f>
        <v>NO CONFORME</v>
      </c>
      <c r="I164" s="68" t="str">
        <f t="shared" si="2"/>
        <v>Medición</v>
      </c>
    </row>
    <row r="165" spans="1:9" x14ac:dyDescent="0.25">
      <c r="A165" s="61">
        <f>'ERROR FINAL'!A169</f>
        <v>161</v>
      </c>
      <c r="B165" s="62">
        <f>'ERROR FINAL'!D169</f>
        <v>3</v>
      </c>
      <c r="C165" s="63">
        <f>'ERROR FINAL'!G169</f>
        <v>0</v>
      </c>
      <c r="D165" s="64">
        <f>'ERROR FINAL'!I169</f>
        <v>0</v>
      </c>
      <c r="E165" s="65">
        <f>'ERROR FINAL'!U169</f>
        <v>-100</v>
      </c>
      <c r="F165" s="66">
        <f>'ERROR FINAL'!AG169</f>
        <v>-100</v>
      </c>
      <c r="G165" s="66">
        <f>'ERROR FINAL'!AS169</f>
        <v>-100</v>
      </c>
      <c r="H165" s="67" t="str">
        <f>IF('ERROR FINAL'!AT169="CONFORME","CONFORME","NO CONFORME")</f>
        <v>NO CONFORME</v>
      </c>
      <c r="I165" s="68" t="str">
        <f t="shared" si="2"/>
        <v>Medición</v>
      </c>
    </row>
    <row r="166" spans="1:9" x14ac:dyDescent="0.25">
      <c r="A166" s="61">
        <f>'ERROR FINAL'!A170</f>
        <v>162</v>
      </c>
      <c r="B166" s="62">
        <f>'ERROR FINAL'!D170</f>
        <v>3</v>
      </c>
      <c r="C166" s="63">
        <f>'ERROR FINAL'!G170</f>
        <v>0</v>
      </c>
      <c r="D166" s="64">
        <f>'ERROR FINAL'!I170</f>
        <v>0</v>
      </c>
      <c r="E166" s="65">
        <f>'ERROR FINAL'!U170</f>
        <v>-100</v>
      </c>
      <c r="F166" s="66">
        <f>'ERROR FINAL'!AG170</f>
        <v>-100</v>
      </c>
      <c r="G166" s="66">
        <f>'ERROR FINAL'!AS170</f>
        <v>-100</v>
      </c>
      <c r="H166" s="67" t="str">
        <f>IF('ERROR FINAL'!AT170="CONFORME","CONFORME","NO CONFORME")</f>
        <v>NO CONFORME</v>
      </c>
      <c r="I166" s="68" t="str">
        <f t="shared" si="2"/>
        <v>Medición</v>
      </c>
    </row>
    <row r="167" spans="1:9" x14ac:dyDescent="0.25">
      <c r="A167" s="61">
        <f>'ERROR FINAL'!A171</f>
        <v>163</v>
      </c>
      <c r="B167" s="62">
        <f>'ERROR FINAL'!D171</f>
        <v>3</v>
      </c>
      <c r="C167" s="63">
        <f>'ERROR FINAL'!G171</f>
        <v>0</v>
      </c>
      <c r="D167" s="64">
        <f>'ERROR FINAL'!I171</f>
        <v>0</v>
      </c>
      <c r="E167" s="65">
        <f>'ERROR FINAL'!U171</f>
        <v>-100</v>
      </c>
      <c r="F167" s="66">
        <f>'ERROR FINAL'!AG171</f>
        <v>-100</v>
      </c>
      <c r="G167" s="66">
        <f>'ERROR FINAL'!AS171</f>
        <v>-100</v>
      </c>
      <c r="H167" s="67" t="str">
        <f>IF('ERROR FINAL'!AT171="CONFORME","CONFORME","NO CONFORME")</f>
        <v>NO CONFORME</v>
      </c>
      <c r="I167" s="68" t="str">
        <f t="shared" si="2"/>
        <v>Medición</v>
      </c>
    </row>
    <row r="168" spans="1:9" x14ac:dyDescent="0.25">
      <c r="A168" s="61">
        <f>'ERROR FINAL'!A172</f>
        <v>164</v>
      </c>
      <c r="B168" s="62">
        <f>'ERROR FINAL'!D172</f>
        <v>3</v>
      </c>
      <c r="C168" s="63">
        <f>'ERROR FINAL'!G172</f>
        <v>0</v>
      </c>
      <c r="D168" s="64">
        <f>'ERROR FINAL'!I172</f>
        <v>0</v>
      </c>
      <c r="E168" s="65">
        <f>'ERROR FINAL'!U172</f>
        <v>-100</v>
      </c>
      <c r="F168" s="66">
        <f>'ERROR FINAL'!AG172</f>
        <v>-100</v>
      </c>
      <c r="G168" s="66">
        <f>'ERROR FINAL'!AS172</f>
        <v>-100</v>
      </c>
      <c r="H168" s="67" t="str">
        <f>IF('ERROR FINAL'!AT172="CONFORME","CONFORME","NO CONFORME")</f>
        <v>NO CONFORME</v>
      </c>
      <c r="I168" s="68" t="str">
        <f t="shared" si="2"/>
        <v>Medición</v>
      </c>
    </row>
    <row r="169" spans="1:9" x14ac:dyDescent="0.25">
      <c r="A169" s="61">
        <f>'ERROR FINAL'!A173</f>
        <v>165</v>
      </c>
      <c r="B169" s="62">
        <f>'ERROR FINAL'!D173</f>
        <v>3</v>
      </c>
      <c r="C169" s="63">
        <f>'ERROR FINAL'!G173</f>
        <v>0</v>
      </c>
      <c r="D169" s="64">
        <f>'ERROR FINAL'!I173</f>
        <v>0</v>
      </c>
      <c r="E169" s="65">
        <f>'ERROR FINAL'!U173</f>
        <v>-100</v>
      </c>
      <c r="F169" s="66">
        <f>'ERROR FINAL'!AG173</f>
        <v>-100</v>
      </c>
      <c r="G169" s="66">
        <f>'ERROR FINAL'!AS173</f>
        <v>-100</v>
      </c>
      <c r="H169" s="67" t="str">
        <f>IF('ERROR FINAL'!AT173="CONFORME","CONFORME","NO CONFORME")</f>
        <v>NO CONFORME</v>
      </c>
      <c r="I169" s="68" t="str">
        <f t="shared" si="2"/>
        <v>Medición</v>
      </c>
    </row>
    <row r="170" spans="1:9" x14ac:dyDescent="0.25">
      <c r="A170" s="61">
        <f>'ERROR FINAL'!A174</f>
        <v>166</v>
      </c>
      <c r="B170" s="62">
        <f>'ERROR FINAL'!D174</f>
        <v>3</v>
      </c>
      <c r="C170" s="63">
        <f>'ERROR FINAL'!G174</f>
        <v>0</v>
      </c>
      <c r="D170" s="64">
        <f>'ERROR FINAL'!I174</f>
        <v>0</v>
      </c>
      <c r="E170" s="65">
        <f>'ERROR FINAL'!U174</f>
        <v>-100</v>
      </c>
      <c r="F170" s="66">
        <f>'ERROR FINAL'!AG174</f>
        <v>-100</v>
      </c>
      <c r="G170" s="66">
        <f>'ERROR FINAL'!AS174</f>
        <v>-100</v>
      </c>
      <c r="H170" s="67" t="str">
        <f>IF('ERROR FINAL'!AT174="CONFORME","CONFORME","NO CONFORME")</f>
        <v>NO CONFORME</v>
      </c>
      <c r="I170" s="68" t="str">
        <f t="shared" si="2"/>
        <v>Medición</v>
      </c>
    </row>
    <row r="171" spans="1:9" x14ac:dyDescent="0.25">
      <c r="A171" s="61">
        <f>'ERROR FINAL'!A175</f>
        <v>167</v>
      </c>
      <c r="B171" s="62">
        <f>'ERROR FINAL'!D175</f>
        <v>3</v>
      </c>
      <c r="C171" s="63">
        <f>'ERROR FINAL'!G175</f>
        <v>0</v>
      </c>
      <c r="D171" s="64">
        <f>'ERROR FINAL'!I175</f>
        <v>0</v>
      </c>
      <c r="E171" s="65">
        <f>'ERROR FINAL'!U175</f>
        <v>-100</v>
      </c>
      <c r="F171" s="66">
        <f>'ERROR FINAL'!AG175</f>
        <v>-100</v>
      </c>
      <c r="G171" s="66">
        <f>'ERROR FINAL'!AS175</f>
        <v>-100</v>
      </c>
      <c r="H171" s="67" t="str">
        <f>IF('ERROR FINAL'!AT175="CONFORME","CONFORME","NO CONFORME")</f>
        <v>NO CONFORME</v>
      </c>
      <c r="I171" s="68" t="str">
        <f t="shared" si="2"/>
        <v>Medición</v>
      </c>
    </row>
    <row r="172" spans="1:9" x14ac:dyDescent="0.25">
      <c r="A172" s="61">
        <f>'ERROR FINAL'!A176</f>
        <v>168</v>
      </c>
      <c r="B172" s="62">
        <f>'ERROR FINAL'!D176</f>
        <v>3</v>
      </c>
      <c r="C172" s="63">
        <f>'ERROR FINAL'!G176</f>
        <v>0</v>
      </c>
      <c r="D172" s="64">
        <f>'ERROR FINAL'!I176</f>
        <v>0</v>
      </c>
      <c r="E172" s="65">
        <f>'ERROR FINAL'!U176</f>
        <v>-100</v>
      </c>
      <c r="F172" s="66">
        <f>'ERROR FINAL'!AG176</f>
        <v>-100</v>
      </c>
      <c r="G172" s="66">
        <f>'ERROR FINAL'!AS176</f>
        <v>-100</v>
      </c>
      <c r="H172" s="67" t="str">
        <f>IF('ERROR FINAL'!AT176="CONFORME","CONFORME","NO CONFORME")</f>
        <v>NO CONFORME</v>
      </c>
      <c r="I172" s="68" t="str">
        <f t="shared" si="2"/>
        <v>Medición</v>
      </c>
    </row>
    <row r="173" spans="1:9" x14ac:dyDescent="0.25">
      <c r="A173" s="61">
        <f>'ERROR FINAL'!A177</f>
        <v>169</v>
      </c>
      <c r="B173" s="62">
        <f>'ERROR FINAL'!D177</f>
        <v>3</v>
      </c>
      <c r="C173" s="63">
        <f>'ERROR FINAL'!G177</f>
        <v>0</v>
      </c>
      <c r="D173" s="64">
        <f>'ERROR FINAL'!I177</f>
        <v>0</v>
      </c>
      <c r="E173" s="65">
        <f>'ERROR FINAL'!U177</f>
        <v>-100</v>
      </c>
      <c r="F173" s="66">
        <f>'ERROR FINAL'!AG177</f>
        <v>-100</v>
      </c>
      <c r="G173" s="66">
        <f>'ERROR FINAL'!AS177</f>
        <v>-100</v>
      </c>
      <c r="H173" s="67" t="str">
        <f>IF('ERROR FINAL'!AT177="CONFORME","CONFORME","NO CONFORME")</f>
        <v>NO CONFORME</v>
      </c>
      <c r="I173" s="68" t="str">
        <f t="shared" si="2"/>
        <v>Medición</v>
      </c>
    </row>
    <row r="174" spans="1:9" x14ac:dyDescent="0.25">
      <c r="A174" s="61">
        <f>'ERROR FINAL'!A178</f>
        <v>170</v>
      </c>
      <c r="B174" s="62">
        <f>'ERROR FINAL'!D178</f>
        <v>3</v>
      </c>
      <c r="C174" s="63">
        <f>'ERROR FINAL'!G178</f>
        <v>0</v>
      </c>
      <c r="D174" s="64">
        <f>'ERROR FINAL'!I178</f>
        <v>0</v>
      </c>
      <c r="E174" s="65">
        <f>'ERROR FINAL'!U178</f>
        <v>-100</v>
      </c>
      <c r="F174" s="66">
        <f>'ERROR FINAL'!AG178</f>
        <v>-100</v>
      </c>
      <c r="G174" s="66">
        <f>'ERROR FINAL'!AS178</f>
        <v>-100</v>
      </c>
      <c r="H174" s="67" t="str">
        <f>IF('ERROR FINAL'!AT178="CONFORME","CONFORME","NO CONFORME")</f>
        <v>NO CONFORME</v>
      </c>
      <c r="I174" s="68" t="str">
        <f t="shared" si="2"/>
        <v>Medición</v>
      </c>
    </row>
    <row r="175" spans="1:9" x14ac:dyDescent="0.25">
      <c r="A175" s="61">
        <f>'ERROR FINAL'!A179</f>
        <v>171</v>
      </c>
      <c r="B175" s="62">
        <f>'ERROR FINAL'!D179</f>
        <v>3</v>
      </c>
      <c r="C175" s="63">
        <f>'ERROR FINAL'!G179</f>
        <v>0</v>
      </c>
      <c r="D175" s="64">
        <f>'ERROR FINAL'!I179</f>
        <v>0</v>
      </c>
      <c r="E175" s="65">
        <f>'ERROR FINAL'!U179</f>
        <v>-100</v>
      </c>
      <c r="F175" s="66">
        <f>'ERROR FINAL'!AG179</f>
        <v>-100</v>
      </c>
      <c r="G175" s="66">
        <f>'ERROR FINAL'!AS179</f>
        <v>-100</v>
      </c>
      <c r="H175" s="67" t="str">
        <f>IF('ERROR FINAL'!AT179="CONFORME","CONFORME","NO CONFORME")</f>
        <v>NO CONFORME</v>
      </c>
      <c r="I175" s="68" t="str">
        <f t="shared" si="2"/>
        <v>Medición</v>
      </c>
    </row>
    <row r="176" spans="1:9" x14ac:dyDescent="0.25">
      <c r="A176" s="61">
        <f>'ERROR FINAL'!A180</f>
        <v>172</v>
      </c>
      <c r="B176" s="62">
        <f>'ERROR FINAL'!D180</f>
        <v>3</v>
      </c>
      <c r="C176" s="63">
        <f>'ERROR FINAL'!G180</f>
        <v>0</v>
      </c>
      <c r="D176" s="64">
        <f>'ERROR FINAL'!I180</f>
        <v>0</v>
      </c>
      <c r="E176" s="65">
        <f>'ERROR FINAL'!U180</f>
        <v>-100</v>
      </c>
      <c r="F176" s="66">
        <f>'ERROR FINAL'!AG180</f>
        <v>-100</v>
      </c>
      <c r="G176" s="66">
        <f>'ERROR FINAL'!AS180</f>
        <v>-100</v>
      </c>
      <c r="H176" s="67" t="str">
        <f>IF('ERROR FINAL'!AT180="CONFORME","CONFORME","NO CONFORME")</f>
        <v>NO CONFORME</v>
      </c>
      <c r="I176" s="68" t="str">
        <f t="shared" si="2"/>
        <v>Medición</v>
      </c>
    </row>
    <row r="177" spans="1:9" x14ac:dyDescent="0.25">
      <c r="A177" s="61">
        <f>'ERROR FINAL'!A181</f>
        <v>173</v>
      </c>
      <c r="B177" s="62">
        <f>'ERROR FINAL'!D181</f>
        <v>3</v>
      </c>
      <c r="C177" s="63">
        <f>'ERROR FINAL'!G181</f>
        <v>0</v>
      </c>
      <c r="D177" s="64">
        <f>'ERROR FINAL'!I181</f>
        <v>0</v>
      </c>
      <c r="E177" s="65">
        <f>'ERROR FINAL'!U181</f>
        <v>-100</v>
      </c>
      <c r="F177" s="66">
        <f>'ERROR FINAL'!AG181</f>
        <v>-100</v>
      </c>
      <c r="G177" s="66">
        <f>'ERROR FINAL'!AS181</f>
        <v>-100</v>
      </c>
      <c r="H177" s="67" t="str">
        <f>IF('ERROR FINAL'!AT181="CONFORME","CONFORME","NO CONFORME")</f>
        <v>NO CONFORME</v>
      </c>
      <c r="I177" s="68" t="str">
        <f t="shared" si="2"/>
        <v>Medición</v>
      </c>
    </row>
    <row r="178" spans="1:9" x14ac:dyDescent="0.25">
      <c r="A178" s="61">
        <f>'ERROR FINAL'!A182</f>
        <v>174</v>
      </c>
      <c r="B178" s="62">
        <f>'ERROR FINAL'!D182</f>
        <v>3</v>
      </c>
      <c r="C178" s="63">
        <f>'ERROR FINAL'!G182</f>
        <v>0</v>
      </c>
      <c r="D178" s="64">
        <f>'ERROR FINAL'!I182</f>
        <v>0</v>
      </c>
      <c r="E178" s="65">
        <f>'ERROR FINAL'!U182</f>
        <v>-100</v>
      </c>
      <c r="F178" s="66">
        <f>'ERROR FINAL'!AG182</f>
        <v>-100</v>
      </c>
      <c r="G178" s="66">
        <f>'ERROR FINAL'!AS182</f>
        <v>-100</v>
      </c>
      <c r="H178" s="67" t="str">
        <f>IF('ERROR FINAL'!AT182="CONFORME","CONFORME","NO CONFORME")</f>
        <v>NO CONFORME</v>
      </c>
      <c r="I178" s="68" t="str">
        <f t="shared" si="2"/>
        <v>Medición</v>
      </c>
    </row>
    <row r="179" spans="1:9" x14ac:dyDescent="0.25">
      <c r="A179" s="61">
        <f>'ERROR FINAL'!A183</f>
        <v>175</v>
      </c>
      <c r="B179" s="62">
        <f>'ERROR FINAL'!D183</f>
        <v>3</v>
      </c>
      <c r="C179" s="63">
        <f>'ERROR FINAL'!G183</f>
        <v>0</v>
      </c>
      <c r="D179" s="64">
        <f>'ERROR FINAL'!I183</f>
        <v>0</v>
      </c>
      <c r="E179" s="65">
        <f>'ERROR FINAL'!U183</f>
        <v>-100</v>
      </c>
      <c r="F179" s="66">
        <f>'ERROR FINAL'!AG183</f>
        <v>-100</v>
      </c>
      <c r="G179" s="66">
        <f>'ERROR FINAL'!AS183</f>
        <v>-100</v>
      </c>
      <c r="H179" s="67" t="str">
        <f>IF('ERROR FINAL'!AT183="CONFORME","CONFORME","NO CONFORME")</f>
        <v>NO CONFORME</v>
      </c>
      <c r="I179" s="68" t="str">
        <f t="shared" si="2"/>
        <v>Medición</v>
      </c>
    </row>
    <row r="180" spans="1:9" x14ac:dyDescent="0.25">
      <c r="A180" s="61">
        <f>'ERROR FINAL'!A184</f>
        <v>176</v>
      </c>
      <c r="B180" s="62">
        <f>'ERROR FINAL'!D184</f>
        <v>3</v>
      </c>
      <c r="C180" s="63">
        <f>'ERROR FINAL'!G184</f>
        <v>0</v>
      </c>
      <c r="D180" s="64">
        <f>'ERROR FINAL'!I184</f>
        <v>0</v>
      </c>
      <c r="E180" s="65">
        <f>'ERROR FINAL'!U184</f>
        <v>-100</v>
      </c>
      <c r="F180" s="66">
        <f>'ERROR FINAL'!AG184</f>
        <v>-100</v>
      </c>
      <c r="G180" s="66">
        <f>'ERROR FINAL'!AS184</f>
        <v>-100</v>
      </c>
      <c r="H180" s="67" t="str">
        <f>IF('ERROR FINAL'!AT184="CONFORME","CONFORME","NO CONFORME")</f>
        <v>NO CONFORME</v>
      </c>
      <c r="I180" s="68" t="str">
        <f t="shared" si="2"/>
        <v>Medición</v>
      </c>
    </row>
    <row r="181" spans="1:9" x14ac:dyDescent="0.25">
      <c r="A181" s="61">
        <f>'ERROR FINAL'!A185</f>
        <v>177</v>
      </c>
      <c r="B181" s="62">
        <f>'ERROR FINAL'!D185</f>
        <v>3</v>
      </c>
      <c r="C181" s="63">
        <f>'ERROR FINAL'!G185</f>
        <v>0</v>
      </c>
      <c r="D181" s="64">
        <f>'ERROR FINAL'!I185</f>
        <v>0</v>
      </c>
      <c r="E181" s="65">
        <f>'ERROR FINAL'!U185</f>
        <v>-100</v>
      </c>
      <c r="F181" s="66">
        <f>'ERROR FINAL'!AG185</f>
        <v>-100</v>
      </c>
      <c r="G181" s="66">
        <f>'ERROR FINAL'!AS185</f>
        <v>-100</v>
      </c>
      <c r="H181" s="67" t="str">
        <f>IF('ERROR FINAL'!AT185="CONFORME","CONFORME","NO CONFORME")</f>
        <v>NO CONFORME</v>
      </c>
      <c r="I181" s="68" t="str">
        <f t="shared" si="2"/>
        <v>Medición</v>
      </c>
    </row>
    <row r="182" spans="1:9" x14ac:dyDescent="0.25">
      <c r="A182" s="61">
        <f>'ERROR FINAL'!A186</f>
        <v>178</v>
      </c>
      <c r="B182" s="62">
        <f>'ERROR FINAL'!D186</f>
        <v>3</v>
      </c>
      <c r="C182" s="63">
        <f>'ERROR FINAL'!G186</f>
        <v>0</v>
      </c>
      <c r="D182" s="64">
        <f>'ERROR FINAL'!I186</f>
        <v>0</v>
      </c>
      <c r="E182" s="65">
        <f>'ERROR FINAL'!U186</f>
        <v>-100</v>
      </c>
      <c r="F182" s="66">
        <f>'ERROR FINAL'!AG186</f>
        <v>-100</v>
      </c>
      <c r="G182" s="66">
        <f>'ERROR FINAL'!AS186</f>
        <v>-100</v>
      </c>
      <c r="H182" s="67" t="str">
        <f>IF('ERROR FINAL'!AT186="CONFORME","CONFORME","NO CONFORME")</f>
        <v>NO CONFORME</v>
      </c>
      <c r="I182" s="68" t="str">
        <f t="shared" si="2"/>
        <v>Medición</v>
      </c>
    </row>
    <row r="183" spans="1:9" x14ac:dyDescent="0.25">
      <c r="A183" s="61">
        <f>'ERROR FINAL'!A187</f>
        <v>179</v>
      </c>
      <c r="B183" s="62">
        <f>'ERROR FINAL'!D187</f>
        <v>3</v>
      </c>
      <c r="C183" s="63">
        <f>'ERROR FINAL'!G187</f>
        <v>0</v>
      </c>
      <c r="D183" s="64">
        <f>'ERROR FINAL'!I187</f>
        <v>0</v>
      </c>
      <c r="E183" s="65">
        <f>'ERROR FINAL'!U187</f>
        <v>-100</v>
      </c>
      <c r="F183" s="66">
        <f>'ERROR FINAL'!AG187</f>
        <v>-100</v>
      </c>
      <c r="G183" s="66">
        <f>'ERROR FINAL'!AS187</f>
        <v>-100</v>
      </c>
      <c r="H183" s="67" t="str">
        <f>IF('ERROR FINAL'!AT187="CONFORME","CONFORME","NO CONFORME")</f>
        <v>NO CONFORME</v>
      </c>
      <c r="I183" s="68" t="str">
        <f t="shared" si="2"/>
        <v>Medición</v>
      </c>
    </row>
    <row r="184" spans="1:9" x14ac:dyDescent="0.25">
      <c r="A184" s="61">
        <f>'ERROR FINAL'!A188</f>
        <v>180</v>
      </c>
      <c r="B184" s="62">
        <f>'ERROR FINAL'!D188</f>
        <v>3</v>
      </c>
      <c r="C184" s="63">
        <f>'ERROR FINAL'!G188</f>
        <v>0</v>
      </c>
      <c r="D184" s="64">
        <f>'ERROR FINAL'!I188</f>
        <v>0</v>
      </c>
      <c r="E184" s="65">
        <f>'ERROR FINAL'!U188</f>
        <v>-100</v>
      </c>
      <c r="F184" s="66">
        <f>'ERROR FINAL'!AG188</f>
        <v>-100</v>
      </c>
      <c r="G184" s="66">
        <f>'ERROR FINAL'!AS188</f>
        <v>-100</v>
      </c>
      <c r="H184" s="67" t="str">
        <f>IF('ERROR FINAL'!AT188="CONFORME","CONFORME","NO CONFORME")</f>
        <v>NO CONFORME</v>
      </c>
      <c r="I184" s="68" t="str">
        <f t="shared" si="2"/>
        <v>Medición</v>
      </c>
    </row>
    <row r="185" spans="1:9" x14ac:dyDescent="0.25">
      <c r="A185" s="61">
        <f>'ERROR FINAL'!A189</f>
        <v>181</v>
      </c>
      <c r="B185" s="62">
        <f>'ERROR FINAL'!D189</f>
        <v>3</v>
      </c>
      <c r="C185" s="63">
        <f>'ERROR FINAL'!G189</f>
        <v>0</v>
      </c>
      <c r="D185" s="64">
        <f>'ERROR FINAL'!I189</f>
        <v>0</v>
      </c>
      <c r="E185" s="65">
        <f>'ERROR FINAL'!U189</f>
        <v>-100</v>
      </c>
      <c r="F185" s="66">
        <f>'ERROR FINAL'!AG189</f>
        <v>-100</v>
      </c>
      <c r="G185" s="66">
        <f>'ERROR FINAL'!AS189</f>
        <v>-100</v>
      </c>
      <c r="H185" s="67" t="str">
        <f>IF('ERROR FINAL'!AT189="CONFORME","CONFORME","NO CONFORME")</f>
        <v>NO CONFORME</v>
      </c>
      <c r="I185" s="68" t="str">
        <f t="shared" si="2"/>
        <v>Medición</v>
      </c>
    </row>
    <row r="186" spans="1:9" x14ac:dyDescent="0.25">
      <c r="A186" s="61">
        <f>'ERROR FINAL'!A190</f>
        <v>182</v>
      </c>
      <c r="B186" s="62">
        <f>'ERROR FINAL'!D190</f>
        <v>3</v>
      </c>
      <c r="C186" s="63">
        <f>'ERROR FINAL'!G190</f>
        <v>0</v>
      </c>
      <c r="D186" s="64">
        <f>'ERROR FINAL'!I190</f>
        <v>0</v>
      </c>
      <c r="E186" s="65">
        <f>'ERROR FINAL'!U190</f>
        <v>-100</v>
      </c>
      <c r="F186" s="66">
        <f>'ERROR FINAL'!AG190</f>
        <v>-100</v>
      </c>
      <c r="G186" s="66">
        <f>'ERROR FINAL'!AS190</f>
        <v>-100</v>
      </c>
      <c r="H186" s="67" t="str">
        <f>IF('ERROR FINAL'!AT190="CONFORME","CONFORME","NO CONFORME")</f>
        <v>NO CONFORME</v>
      </c>
      <c r="I186" s="68" t="str">
        <f t="shared" si="2"/>
        <v>Medición</v>
      </c>
    </row>
    <row r="187" spans="1:9" x14ac:dyDescent="0.25">
      <c r="A187" s="61">
        <f>'ERROR FINAL'!A191</f>
        <v>183</v>
      </c>
      <c r="B187" s="62">
        <f>'ERROR FINAL'!D191</f>
        <v>3</v>
      </c>
      <c r="C187" s="63">
        <f>'ERROR FINAL'!G191</f>
        <v>0</v>
      </c>
      <c r="D187" s="64">
        <f>'ERROR FINAL'!I191</f>
        <v>0</v>
      </c>
      <c r="E187" s="65">
        <f>'ERROR FINAL'!U191</f>
        <v>-100</v>
      </c>
      <c r="F187" s="66">
        <f>'ERROR FINAL'!AG191</f>
        <v>-100</v>
      </c>
      <c r="G187" s="66">
        <f>'ERROR FINAL'!AS191</f>
        <v>-100</v>
      </c>
      <c r="H187" s="67" t="str">
        <f>IF('ERROR FINAL'!AT191="CONFORME","CONFORME","NO CONFORME")</f>
        <v>NO CONFORME</v>
      </c>
      <c r="I187" s="68" t="str">
        <f t="shared" si="2"/>
        <v>Medición</v>
      </c>
    </row>
    <row r="188" spans="1:9" x14ac:dyDescent="0.25">
      <c r="A188" s="61">
        <f>'ERROR FINAL'!A192</f>
        <v>184</v>
      </c>
      <c r="B188" s="62">
        <f>'ERROR FINAL'!D192</f>
        <v>3</v>
      </c>
      <c r="C188" s="63">
        <f>'ERROR FINAL'!G192</f>
        <v>0</v>
      </c>
      <c r="D188" s="64">
        <f>'ERROR FINAL'!I192</f>
        <v>0</v>
      </c>
      <c r="E188" s="65">
        <f>'ERROR FINAL'!U192</f>
        <v>-100</v>
      </c>
      <c r="F188" s="66">
        <f>'ERROR FINAL'!AG192</f>
        <v>-100</v>
      </c>
      <c r="G188" s="66">
        <f>'ERROR FINAL'!AS192</f>
        <v>-100</v>
      </c>
      <c r="H188" s="67" t="str">
        <f>IF('ERROR FINAL'!AT192="CONFORME","CONFORME","NO CONFORME")</f>
        <v>NO CONFORME</v>
      </c>
      <c r="I188" s="68" t="str">
        <f t="shared" si="2"/>
        <v>Medición</v>
      </c>
    </row>
    <row r="189" spans="1:9" x14ac:dyDescent="0.25">
      <c r="A189" s="61">
        <f>'ERROR FINAL'!A193</f>
        <v>185</v>
      </c>
      <c r="B189" s="62">
        <f>'ERROR FINAL'!D193</f>
        <v>3</v>
      </c>
      <c r="C189" s="63">
        <f>'ERROR FINAL'!G193</f>
        <v>0</v>
      </c>
      <c r="D189" s="64">
        <f>'ERROR FINAL'!I193</f>
        <v>0</v>
      </c>
      <c r="E189" s="65">
        <f>'ERROR FINAL'!U193</f>
        <v>-100</v>
      </c>
      <c r="F189" s="66">
        <f>'ERROR FINAL'!AG193</f>
        <v>-100</v>
      </c>
      <c r="G189" s="66">
        <f>'ERROR FINAL'!AS193</f>
        <v>-100</v>
      </c>
      <c r="H189" s="67" t="str">
        <f>IF('ERROR FINAL'!AT193="CONFORME","CONFORME","NO CONFORME")</f>
        <v>NO CONFORME</v>
      </c>
      <c r="I189" s="68" t="str">
        <f t="shared" si="2"/>
        <v>Medición</v>
      </c>
    </row>
    <row r="190" spans="1:9" x14ac:dyDescent="0.25">
      <c r="A190" s="61">
        <f>'ERROR FINAL'!A194</f>
        <v>186</v>
      </c>
      <c r="B190" s="62">
        <f>'ERROR FINAL'!D194</f>
        <v>3</v>
      </c>
      <c r="C190" s="63">
        <f>'ERROR FINAL'!G194</f>
        <v>0</v>
      </c>
      <c r="D190" s="64">
        <f>'ERROR FINAL'!I194</f>
        <v>0</v>
      </c>
      <c r="E190" s="65">
        <f>'ERROR FINAL'!U194</f>
        <v>-100</v>
      </c>
      <c r="F190" s="66">
        <f>'ERROR FINAL'!AG194</f>
        <v>-100</v>
      </c>
      <c r="G190" s="66">
        <f>'ERROR FINAL'!AS194</f>
        <v>-100</v>
      </c>
      <c r="H190" s="67" t="str">
        <f>IF('ERROR FINAL'!AT194="CONFORME","CONFORME","NO CONFORME")</f>
        <v>NO CONFORME</v>
      </c>
      <c r="I190" s="68" t="str">
        <f t="shared" si="2"/>
        <v>Medición</v>
      </c>
    </row>
    <row r="191" spans="1:9" x14ac:dyDescent="0.25">
      <c r="A191" s="61">
        <f>'ERROR FINAL'!A195</f>
        <v>187</v>
      </c>
      <c r="B191" s="62">
        <f>'ERROR FINAL'!D195</f>
        <v>3</v>
      </c>
      <c r="C191" s="63">
        <f>'ERROR FINAL'!G195</f>
        <v>0</v>
      </c>
      <c r="D191" s="64">
        <f>'ERROR FINAL'!I195</f>
        <v>0</v>
      </c>
      <c r="E191" s="65">
        <f>'ERROR FINAL'!U195</f>
        <v>-100</v>
      </c>
      <c r="F191" s="66">
        <f>'ERROR FINAL'!AG195</f>
        <v>-100</v>
      </c>
      <c r="G191" s="66">
        <f>'ERROR FINAL'!AS195</f>
        <v>-100</v>
      </c>
      <c r="H191" s="67" t="str">
        <f>IF('ERROR FINAL'!AT195="CONFORME","CONFORME","NO CONFORME")</f>
        <v>NO CONFORME</v>
      </c>
      <c r="I191" s="68" t="str">
        <f t="shared" si="2"/>
        <v>Medición</v>
      </c>
    </row>
    <row r="192" spans="1:9" x14ac:dyDescent="0.25">
      <c r="A192" s="61">
        <f>'ERROR FINAL'!A196</f>
        <v>188</v>
      </c>
      <c r="B192" s="62">
        <f>'ERROR FINAL'!D196</f>
        <v>3</v>
      </c>
      <c r="C192" s="63">
        <f>'ERROR FINAL'!G196</f>
        <v>0</v>
      </c>
      <c r="D192" s="64">
        <f>'ERROR FINAL'!I196</f>
        <v>0</v>
      </c>
      <c r="E192" s="65">
        <f>'ERROR FINAL'!U196</f>
        <v>-100</v>
      </c>
      <c r="F192" s="66">
        <f>'ERROR FINAL'!AG196</f>
        <v>-100</v>
      </c>
      <c r="G192" s="66">
        <f>'ERROR FINAL'!AS196</f>
        <v>-100</v>
      </c>
      <c r="H192" s="67" t="str">
        <f>IF('ERROR FINAL'!AT196="CONFORME","CONFORME","NO CONFORME")</f>
        <v>NO CONFORME</v>
      </c>
      <c r="I192" s="68" t="str">
        <f t="shared" si="2"/>
        <v>Medición</v>
      </c>
    </row>
    <row r="193" spans="1:9" x14ac:dyDescent="0.25">
      <c r="A193" s="61">
        <f>'ERROR FINAL'!A197</f>
        <v>189</v>
      </c>
      <c r="B193" s="62">
        <f>'ERROR FINAL'!D197</f>
        <v>3</v>
      </c>
      <c r="C193" s="63">
        <f>'ERROR FINAL'!G197</f>
        <v>0</v>
      </c>
      <c r="D193" s="64">
        <f>'ERROR FINAL'!I197</f>
        <v>0</v>
      </c>
      <c r="E193" s="65">
        <f>'ERROR FINAL'!U197</f>
        <v>-100</v>
      </c>
      <c r="F193" s="66">
        <f>'ERROR FINAL'!AG197</f>
        <v>-100</v>
      </c>
      <c r="G193" s="66">
        <f>'ERROR FINAL'!AS197</f>
        <v>-100</v>
      </c>
      <c r="H193" s="67" t="str">
        <f>IF('ERROR FINAL'!AT197="CONFORME","CONFORME","NO CONFORME")</f>
        <v>NO CONFORME</v>
      </c>
      <c r="I193" s="68" t="str">
        <f t="shared" si="2"/>
        <v>Medición</v>
      </c>
    </row>
    <row r="194" spans="1:9" x14ac:dyDescent="0.25">
      <c r="A194" s="61">
        <f>'ERROR FINAL'!A198</f>
        <v>190</v>
      </c>
      <c r="B194" s="62">
        <f>'ERROR FINAL'!D198</f>
        <v>3</v>
      </c>
      <c r="C194" s="63">
        <f>'ERROR FINAL'!G198</f>
        <v>0</v>
      </c>
      <c r="D194" s="64">
        <f>'ERROR FINAL'!I198</f>
        <v>0</v>
      </c>
      <c r="E194" s="65">
        <f>'ERROR FINAL'!U198</f>
        <v>-100</v>
      </c>
      <c r="F194" s="66">
        <f>'ERROR FINAL'!AG198</f>
        <v>-100</v>
      </c>
      <c r="G194" s="66">
        <f>'ERROR FINAL'!AS198</f>
        <v>-100</v>
      </c>
      <c r="H194" s="67" t="str">
        <f>IF('ERROR FINAL'!AT198="CONFORME","CONFORME","NO CONFORME")</f>
        <v>NO CONFORME</v>
      </c>
      <c r="I194" s="68" t="str">
        <f t="shared" si="2"/>
        <v>Medición</v>
      </c>
    </row>
    <row r="195" spans="1:9" x14ac:dyDescent="0.25">
      <c r="A195" s="61">
        <f>'ERROR FINAL'!A199</f>
        <v>191</v>
      </c>
      <c r="B195" s="62">
        <f>'ERROR FINAL'!D199</f>
        <v>3</v>
      </c>
      <c r="C195" s="63">
        <f>'ERROR FINAL'!G199</f>
        <v>0</v>
      </c>
      <c r="D195" s="64">
        <f>'ERROR FINAL'!I199</f>
        <v>0</v>
      </c>
      <c r="E195" s="65">
        <f>'ERROR FINAL'!U199</f>
        <v>-100</v>
      </c>
      <c r="F195" s="66">
        <f>'ERROR FINAL'!AG199</f>
        <v>-100</v>
      </c>
      <c r="G195" s="66">
        <f>'ERROR FINAL'!AS199</f>
        <v>-100</v>
      </c>
      <c r="H195" s="67" t="str">
        <f>IF('ERROR FINAL'!AT199="CONFORME","CONFORME","NO CONFORME")</f>
        <v>NO CONFORME</v>
      </c>
      <c r="I195" s="68" t="str">
        <f t="shared" si="2"/>
        <v>Medición</v>
      </c>
    </row>
    <row r="196" spans="1:9" x14ac:dyDescent="0.25">
      <c r="A196" s="61">
        <f>'ERROR FINAL'!A200</f>
        <v>192</v>
      </c>
      <c r="B196" s="62">
        <f>'ERROR FINAL'!D200</f>
        <v>3</v>
      </c>
      <c r="C196" s="63">
        <f>'ERROR FINAL'!G200</f>
        <v>0</v>
      </c>
      <c r="D196" s="64">
        <f>'ERROR FINAL'!I200</f>
        <v>0</v>
      </c>
      <c r="E196" s="65">
        <f>'ERROR FINAL'!U200</f>
        <v>-100</v>
      </c>
      <c r="F196" s="66">
        <f>'ERROR FINAL'!AG200</f>
        <v>-100</v>
      </c>
      <c r="G196" s="66">
        <f>'ERROR FINAL'!AS200</f>
        <v>-100</v>
      </c>
      <c r="H196" s="67" t="str">
        <f>IF('ERROR FINAL'!AT200="CONFORME","CONFORME","NO CONFORME")</f>
        <v>NO CONFORME</v>
      </c>
      <c r="I196" s="68" t="str">
        <f t="shared" si="2"/>
        <v>Medición</v>
      </c>
    </row>
    <row r="197" spans="1:9" x14ac:dyDescent="0.25">
      <c r="A197" s="61">
        <f>'ERROR FINAL'!A201</f>
        <v>193</v>
      </c>
      <c r="B197" s="62">
        <f>'ERROR FINAL'!D201</f>
        <v>3</v>
      </c>
      <c r="C197" s="63">
        <f>'ERROR FINAL'!G201</f>
        <v>0</v>
      </c>
      <c r="D197" s="64">
        <f>'ERROR FINAL'!I201</f>
        <v>0</v>
      </c>
      <c r="E197" s="65">
        <f>'ERROR FINAL'!U201</f>
        <v>-100</v>
      </c>
      <c r="F197" s="66">
        <f>'ERROR FINAL'!AG201</f>
        <v>-100</v>
      </c>
      <c r="G197" s="66">
        <f>'ERROR FINAL'!AS201</f>
        <v>-100</v>
      </c>
      <c r="H197" s="67" t="str">
        <f>IF('ERROR FINAL'!AT201="CONFORME","CONFORME","NO CONFORME")</f>
        <v>NO CONFORME</v>
      </c>
      <c r="I197" s="68" t="str">
        <f t="shared" si="2"/>
        <v>Medición</v>
      </c>
    </row>
    <row r="198" spans="1:9" x14ac:dyDescent="0.25">
      <c r="A198" s="61">
        <f>'ERROR FINAL'!A202</f>
        <v>194</v>
      </c>
      <c r="B198" s="62">
        <f>'ERROR FINAL'!D202</f>
        <v>3</v>
      </c>
      <c r="C198" s="63">
        <f>'ERROR FINAL'!G202</f>
        <v>0</v>
      </c>
      <c r="D198" s="64">
        <f>'ERROR FINAL'!I202</f>
        <v>0</v>
      </c>
      <c r="E198" s="65">
        <f>'ERROR FINAL'!U202</f>
        <v>-100</v>
      </c>
      <c r="F198" s="66">
        <f>'ERROR FINAL'!AG202</f>
        <v>-100</v>
      </c>
      <c r="G198" s="66">
        <f>'ERROR FINAL'!AS202</f>
        <v>-100</v>
      </c>
      <c r="H198" s="67" t="str">
        <f>IF('ERROR FINAL'!AT202="CONFORME","CONFORME","NO CONFORME")</f>
        <v>NO CONFORME</v>
      </c>
      <c r="I198" s="68" t="str">
        <f t="shared" si="2"/>
        <v>Medición</v>
      </c>
    </row>
    <row r="199" spans="1:9" x14ac:dyDescent="0.25">
      <c r="A199" s="61">
        <f>'ERROR FINAL'!A203</f>
        <v>195</v>
      </c>
      <c r="B199" s="62">
        <f>'ERROR FINAL'!D203</f>
        <v>3</v>
      </c>
      <c r="C199" s="63">
        <f>'ERROR FINAL'!G203</f>
        <v>0</v>
      </c>
      <c r="D199" s="64">
        <f>'ERROR FINAL'!I203</f>
        <v>0</v>
      </c>
      <c r="E199" s="65">
        <f>'ERROR FINAL'!U203</f>
        <v>-100</v>
      </c>
      <c r="F199" s="66">
        <f>'ERROR FINAL'!AG203</f>
        <v>-100</v>
      </c>
      <c r="G199" s="66">
        <f>'ERROR FINAL'!AS203</f>
        <v>-100</v>
      </c>
      <c r="H199" s="67" t="str">
        <f>IF('ERROR FINAL'!AT203="CONFORME","CONFORME","NO CONFORME")</f>
        <v>NO CONFORME</v>
      </c>
      <c r="I199" s="68" t="str">
        <f t="shared" ref="I199:I262" si="3">IF(D199=0,"Medición",IF(D199=1,"Daño físico",IF(D199=2,"Fuga",IF(D199=3,"Picado",IF(D199=4,"Desfasado",IF(D199=5,"Paralizado","¿?"))))))</f>
        <v>Medición</v>
      </c>
    </row>
    <row r="200" spans="1:9" x14ac:dyDescent="0.25">
      <c r="A200" s="61">
        <f>'ERROR FINAL'!A204</f>
        <v>196</v>
      </c>
      <c r="B200" s="62">
        <f>'ERROR FINAL'!D204</f>
        <v>3</v>
      </c>
      <c r="C200" s="63">
        <f>'ERROR FINAL'!G204</f>
        <v>0</v>
      </c>
      <c r="D200" s="64">
        <f>'ERROR FINAL'!I204</f>
        <v>0</v>
      </c>
      <c r="E200" s="65">
        <f>'ERROR FINAL'!U204</f>
        <v>-100</v>
      </c>
      <c r="F200" s="66">
        <f>'ERROR FINAL'!AG204</f>
        <v>-100</v>
      </c>
      <c r="G200" s="66">
        <f>'ERROR FINAL'!AS204</f>
        <v>-100</v>
      </c>
      <c r="H200" s="67" t="str">
        <f>IF('ERROR FINAL'!AT204="CONFORME","CONFORME","NO CONFORME")</f>
        <v>NO CONFORME</v>
      </c>
      <c r="I200" s="68" t="str">
        <f t="shared" si="3"/>
        <v>Medición</v>
      </c>
    </row>
    <row r="201" spans="1:9" x14ac:dyDescent="0.25">
      <c r="A201" s="61">
        <f>'ERROR FINAL'!A205</f>
        <v>197</v>
      </c>
      <c r="B201" s="62">
        <f>'ERROR FINAL'!D205</f>
        <v>3</v>
      </c>
      <c r="C201" s="63">
        <f>'ERROR FINAL'!G205</f>
        <v>0</v>
      </c>
      <c r="D201" s="64">
        <f>'ERROR FINAL'!I205</f>
        <v>0</v>
      </c>
      <c r="E201" s="65">
        <f>'ERROR FINAL'!U205</f>
        <v>-100</v>
      </c>
      <c r="F201" s="66">
        <f>'ERROR FINAL'!AG205</f>
        <v>-100</v>
      </c>
      <c r="G201" s="66">
        <f>'ERROR FINAL'!AS205</f>
        <v>-100</v>
      </c>
      <c r="H201" s="67" t="str">
        <f>IF('ERROR FINAL'!AT205="CONFORME","CONFORME","NO CONFORME")</f>
        <v>NO CONFORME</v>
      </c>
      <c r="I201" s="68" t="str">
        <f t="shared" si="3"/>
        <v>Medición</v>
      </c>
    </row>
    <row r="202" spans="1:9" x14ac:dyDescent="0.25">
      <c r="A202" s="61">
        <f>'ERROR FINAL'!A206</f>
        <v>198</v>
      </c>
      <c r="B202" s="62">
        <f>'ERROR FINAL'!D206</f>
        <v>3</v>
      </c>
      <c r="C202" s="63">
        <f>'ERROR FINAL'!G206</f>
        <v>0</v>
      </c>
      <c r="D202" s="64">
        <f>'ERROR FINAL'!I206</f>
        <v>0</v>
      </c>
      <c r="E202" s="65">
        <f>'ERROR FINAL'!U206</f>
        <v>-100</v>
      </c>
      <c r="F202" s="66">
        <f>'ERROR FINAL'!AG206</f>
        <v>-100</v>
      </c>
      <c r="G202" s="66">
        <f>'ERROR FINAL'!AS206</f>
        <v>-100</v>
      </c>
      <c r="H202" s="67" t="str">
        <f>IF('ERROR FINAL'!AT206="CONFORME","CONFORME","NO CONFORME")</f>
        <v>NO CONFORME</v>
      </c>
      <c r="I202" s="68" t="str">
        <f t="shared" si="3"/>
        <v>Medición</v>
      </c>
    </row>
    <row r="203" spans="1:9" x14ac:dyDescent="0.25">
      <c r="A203" s="61">
        <f>'ERROR FINAL'!A207</f>
        <v>199</v>
      </c>
      <c r="B203" s="62">
        <f>'ERROR FINAL'!D207</f>
        <v>3</v>
      </c>
      <c r="C203" s="63">
        <f>'ERROR FINAL'!G207</f>
        <v>0</v>
      </c>
      <c r="D203" s="64">
        <f>'ERROR FINAL'!I207</f>
        <v>0</v>
      </c>
      <c r="E203" s="65">
        <f>'ERROR FINAL'!U207</f>
        <v>-100</v>
      </c>
      <c r="F203" s="66">
        <f>'ERROR FINAL'!AG207</f>
        <v>-100</v>
      </c>
      <c r="G203" s="66">
        <f>'ERROR FINAL'!AS207</f>
        <v>-100</v>
      </c>
      <c r="H203" s="67" t="str">
        <f>IF('ERROR FINAL'!AT207="CONFORME","CONFORME","NO CONFORME")</f>
        <v>NO CONFORME</v>
      </c>
      <c r="I203" s="68" t="str">
        <f t="shared" si="3"/>
        <v>Medición</v>
      </c>
    </row>
    <row r="204" spans="1:9" x14ac:dyDescent="0.25">
      <c r="A204" s="61">
        <f>'ERROR FINAL'!A208</f>
        <v>200</v>
      </c>
      <c r="B204" s="62">
        <f>'ERROR FINAL'!D208</f>
        <v>3</v>
      </c>
      <c r="C204" s="63">
        <f>'ERROR FINAL'!G208</f>
        <v>0</v>
      </c>
      <c r="D204" s="64">
        <f>'ERROR FINAL'!I208</f>
        <v>0</v>
      </c>
      <c r="E204" s="65">
        <f>'ERROR FINAL'!U208</f>
        <v>-100</v>
      </c>
      <c r="F204" s="66">
        <f>'ERROR FINAL'!AG208</f>
        <v>-100</v>
      </c>
      <c r="G204" s="66">
        <f>'ERROR FINAL'!AS208</f>
        <v>-100</v>
      </c>
      <c r="H204" s="67" t="str">
        <f>IF('ERROR FINAL'!AT208="CONFORME","CONFORME","NO CONFORME")</f>
        <v>NO CONFORME</v>
      </c>
      <c r="I204" s="68" t="str">
        <f t="shared" si="3"/>
        <v>Medición</v>
      </c>
    </row>
    <row r="205" spans="1:9" x14ac:dyDescent="0.25">
      <c r="A205" s="61">
        <f>'ERROR FINAL'!A209</f>
        <v>201</v>
      </c>
      <c r="B205" s="62">
        <f>'ERROR FINAL'!D209</f>
        <v>3</v>
      </c>
      <c r="C205" s="63">
        <f>'ERROR FINAL'!G209</f>
        <v>0</v>
      </c>
      <c r="D205" s="64">
        <f>'ERROR FINAL'!I209</f>
        <v>0</v>
      </c>
      <c r="E205" s="65">
        <f>'ERROR FINAL'!U209</f>
        <v>-100</v>
      </c>
      <c r="F205" s="66">
        <f>'ERROR FINAL'!AG209</f>
        <v>-100</v>
      </c>
      <c r="G205" s="66">
        <f>'ERROR FINAL'!AS209</f>
        <v>-100</v>
      </c>
      <c r="H205" s="67" t="str">
        <f>IF('ERROR FINAL'!AT209="CONFORME","CONFORME","NO CONFORME")</f>
        <v>NO CONFORME</v>
      </c>
      <c r="I205" s="68" t="str">
        <f t="shared" si="3"/>
        <v>Medición</v>
      </c>
    </row>
    <row r="206" spans="1:9" x14ac:dyDescent="0.25">
      <c r="A206" s="61">
        <f>'ERROR FINAL'!A210</f>
        <v>202</v>
      </c>
      <c r="B206" s="62">
        <f>'ERROR FINAL'!D210</f>
        <v>3</v>
      </c>
      <c r="C206" s="63">
        <f>'ERROR FINAL'!G210</f>
        <v>0</v>
      </c>
      <c r="D206" s="64">
        <f>'ERROR FINAL'!I210</f>
        <v>0</v>
      </c>
      <c r="E206" s="65">
        <f>'ERROR FINAL'!U210</f>
        <v>-100</v>
      </c>
      <c r="F206" s="66">
        <f>'ERROR FINAL'!AG210</f>
        <v>-100</v>
      </c>
      <c r="G206" s="66">
        <f>'ERROR FINAL'!AS210</f>
        <v>-100</v>
      </c>
      <c r="H206" s="67" t="str">
        <f>IF('ERROR FINAL'!AT210="CONFORME","CONFORME","NO CONFORME")</f>
        <v>NO CONFORME</v>
      </c>
      <c r="I206" s="68" t="str">
        <f t="shared" si="3"/>
        <v>Medición</v>
      </c>
    </row>
    <row r="207" spans="1:9" x14ac:dyDescent="0.25">
      <c r="A207" s="61">
        <f>'ERROR FINAL'!A211</f>
        <v>203</v>
      </c>
      <c r="B207" s="62">
        <f>'ERROR FINAL'!D211</f>
        <v>3</v>
      </c>
      <c r="C207" s="63">
        <f>'ERROR FINAL'!G211</f>
        <v>0</v>
      </c>
      <c r="D207" s="64">
        <f>'ERROR FINAL'!I211</f>
        <v>0</v>
      </c>
      <c r="E207" s="65">
        <f>'ERROR FINAL'!U211</f>
        <v>-100</v>
      </c>
      <c r="F207" s="66">
        <f>'ERROR FINAL'!AG211</f>
        <v>-100</v>
      </c>
      <c r="G207" s="66">
        <f>'ERROR FINAL'!AS211</f>
        <v>-100</v>
      </c>
      <c r="H207" s="67" t="str">
        <f>IF('ERROR FINAL'!AT211="CONFORME","CONFORME","NO CONFORME")</f>
        <v>NO CONFORME</v>
      </c>
      <c r="I207" s="68" t="str">
        <f t="shared" si="3"/>
        <v>Medición</v>
      </c>
    </row>
    <row r="208" spans="1:9" x14ac:dyDescent="0.25">
      <c r="A208" s="61">
        <f>'ERROR FINAL'!A212</f>
        <v>204</v>
      </c>
      <c r="B208" s="62">
        <f>'ERROR FINAL'!D212</f>
        <v>3</v>
      </c>
      <c r="C208" s="63">
        <f>'ERROR FINAL'!G212</f>
        <v>0</v>
      </c>
      <c r="D208" s="64">
        <f>'ERROR FINAL'!I212</f>
        <v>0</v>
      </c>
      <c r="E208" s="65">
        <f>'ERROR FINAL'!U212</f>
        <v>-100</v>
      </c>
      <c r="F208" s="66">
        <f>'ERROR FINAL'!AG212</f>
        <v>-100</v>
      </c>
      <c r="G208" s="66">
        <f>'ERROR FINAL'!AS212</f>
        <v>-100</v>
      </c>
      <c r="H208" s="67" t="str">
        <f>IF('ERROR FINAL'!AT212="CONFORME","CONFORME","NO CONFORME")</f>
        <v>NO CONFORME</v>
      </c>
      <c r="I208" s="68" t="str">
        <f t="shared" si="3"/>
        <v>Medición</v>
      </c>
    </row>
    <row r="209" spans="1:9" x14ac:dyDescent="0.25">
      <c r="A209" s="61">
        <f>'ERROR FINAL'!A213</f>
        <v>205</v>
      </c>
      <c r="B209" s="62">
        <f>'ERROR FINAL'!D213</f>
        <v>3</v>
      </c>
      <c r="C209" s="63">
        <f>'ERROR FINAL'!G213</f>
        <v>0</v>
      </c>
      <c r="D209" s="64">
        <f>'ERROR FINAL'!I213</f>
        <v>0</v>
      </c>
      <c r="E209" s="65">
        <f>'ERROR FINAL'!U213</f>
        <v>-100</v>
      </c>
      <c r="F209" s="66">
        <f>'ERROR FINAL'!AG213</f>
        <v>-100</v>
      </c>
      <c r="G209" s="66">
        <f>'ERROR FINAL'!AS213</f>
        <v>-100</v>
      </c>
      <c r="H209" s="67" t="str">
        <f>IF('ERROR FINAL'!AT213="CONFORME","CONFORME","NO CONFORME")</f>
        <v>NO CONFORME</v>
      </c>
      <c r="I209" s="68" t="str">
        <f t="shared" si="3"/>
        <v>Medición</v>
      </c>
    </row>
    <row r="210" spans="1:9" x14ac:dyDescent="0.25">
      <c r="A210" s="61">
        <f>'ERROR FINAL'!A214</f>
        <v>206</v>
      </c>
      <c r="B210" s="62">
        <f>'ERROR FINAL'!D214</f>
        <v>3</v>
      </c>
      <c r="C210" s="63">
        <f>'ERROR FINAL'!G214</f>
        <v>0</v>
      </c>
      <c r="D210" s="64">
        <f>'ERROR FINAL'!I214</f>
        <v>0</v>
      </c>
      <c r="E210" s="65">
        <f>'ERROR FINAL'!U214</f>
        <v>-100</v>
      </c>
      <c r="F210" s="66">
        <f>'ERROR FINAL'!AG214</f>
        <v>-100</v>
      </c>
      <c r="G210" s="66">
        <f>'ERROR FINAL'!AS214</f>
        <v>-100</v>
      </c>
      <c r="H210" s="67" t="str">
        <f>IF('ERROR FINAL'!AT214="CONFORME","CONFORME","NO CONFORME")</f>
        <v>NO CONFORME</v>
      </c>
      <c r="I210" s="68" t="str">
        <f t="shared" si="3"/>
        <v>Medición</v>
      </c>
    </row>
    <row r="211" spans="1:9" x14ac:dyDescent="0.25">
      <c r="A211" s="61">
        <f>'ERROR FINAL'!A215</f>
        <v>207</v>
      </c>
      <c r="B211" s="62">
        <f>'ERROR FINAL'!D215</f>
        <v>3</v>
      </c>
      <c r="C211" s="63">
        <f>'ERROR FINAL'!G215</f>
        <v>0</v>
      </c>
      <c r="D211" s="64">
        <f>'ERROR FINAL'!I215</f>
        <v>0</v>
      </c>
      <c r="E211" s="65">
        <f>'ERROR FINAL'!U215</f>
        <v>-100</v>
      </c>
      <c r="F211" s="66">
        <f>'ERROR FINAL'!AG215</f>
        <v>-100</v>
      </c>
      <c r="G211" s="66">
        <f>'ERROR FINAL'!AS215</f>
        <v>-100</v>
      </c>
      <c r="H211" s="67" t="str">
        <f>IF('ERROR FINAL'!AT215="CONFORME","CONFORME","NO CONFORME")</f>
        <v>NO CONFORME</v>
      </c>
      <c r="I211" s="68" t="str">
        <f t="shared" si="3"/>
        <v>Medición</v>
      </c>
    </row>
    <row r="212" spans="1:9" x14ac:dyDescent="0.25">
      <c r="A212" s="61">
        <f>'ERROR FINAL'!A216</f>
        <v>208</v>
      </c>
      <c r="B212" s="62">
        <f>'ERROR FINAL'!D216</f>
        <v>3</v>
      </c>
      <c r="C212" s="63">
        <f>'ERROR FINAL'!G216</f>
        <v>0</v>
      </c>
      <c r="D212" s="64">
        <f>'ERROR FINAL'!I216</f>
        <v>0</v>
      </c>
      <c r="E212" s="65">
        <f>'ERROR FINAL'!U216</f>
        <v>-100</v>
      </c>
      <c r="F212" s="66">
        <f>'ERROR FINAL'!AG216</f>
        <v>-100</v>
      </c>
      <c r="G212" s="66">
        <f>'ERROR FINAL'!AS216</f>
        <v>-100</v>
      </c>
      <c r="H212" s="67" t="str">
        <f>IF('ERROR FINAL'!AT216="CONFORME","CONFORME","NO CONFORME")</f>
        <v>NO CONFORME</v>
      </c>
      <c r="I212" s="68" t="str">
        <f t="shared" si="3"/>
        <v>Medición</v>
      </c>
    </row>
    <row r="213" spans="1:9" x14ac:dyDescent="0.25">
      <c r="A213" s="61">
        <f>'ERROR FINAL'!A217</f>
        <v>209</v>
      </c>
      <c r="B213" s="62">
        <f>'ERROR FINAL'!D217</f>
        <v>3</v>
      </c>
      <c r="C213" s="63">
        <f>'ERROR FINAL'!G217</f>
        <v>0</v>
      </c>
      <c r="D213" s="64">
        <f>'ERROR FINAL'!I217</f>
        <v>0</v>
      </c>
      <c r="E213" s="65">
        <f>'ERROR FINAL'!U217</f>
        <v>-100</v>
      </c>
      <c r="F213" s="66">
        <f>'ERROR FINAL'!AG217</f>
        <v>-100</v>
      </c>
      <c r="G213" s="66">
        <f>'ERROR FINAL'!AS217</f>
        <v>-100</v>
      </c>
      <c r="H213" s="67" t="str">
        <f>IF('ERROR FINAL'!AT217="CONFORME","CONFORME","NO CONFORME")</f>
        <v>NO CONFORME</v>
      </c>
      <c r="I213" s="68" t="str">
        <f t="shared" si="3"/>
        <v>Medición</v>
      </c>
    </row>
    <row r="214" spans="1:9" x14ac:dyDescent="0.25">
      <c r="A214" s="61">
        <f>'ERROR FINAL'!A218</f>
        <v>210</v>
      </c>
      <c r="B214" s="62">
        <f>'ERROR FINAL'!D218</f>
        <v>3</v>
      </c>
      <c r="C214" s="63">
        <f>'ERROR FINAL'!G218</f>
        <v>0</v>
      </c>
      <c r="D214" s="64">
        <f>'ERROR FINAL'!I218</f>
        <v>0</v>
      </c>
      <c r="E214" s="65">
        <f>'ERROR FINAL'!U218</f>
        <v>-100</v>
      </c>
      <c r="F214" s="66">
        <f>'ERROR FINAL'!AG218</f>
        <v>-100</v>
      </c>
      <c r="G214" s="66">
        <f>'ERROR FINAL'!AS218</f>
        <v>-100</v>
      </c>
      <c r="H214" s="67" t="str">
        <f>IF('ERROR FINAL'!AT218="CONFORME","CONFORME","NO CONFORME")</f>
        <v>NO CONFORME</v>
      </c>
      <c r="I214" s="68" t="str">
        <f t="shared" si="3"/>
        <v>Medición</v>
      </c>
    </row>
    <row r="215" spans="1:9" x14ac:dyDescent="0.25">
      <c r="A215" s="61">
        <f>'ERROR FINAL'!A219</f>
        <v>211</v>
      </c>
      <c r="B215" s="62">
        <f>'ERROR FINAL'!D219</f>
        <v>3</v>
      </c>
      <c r="C215" s="63">
        <f>'ERROR FINAL'!G219</f>
        <v>0</v>
      </c>
      <c r="D215" s="64">
        <f>'ERROR FINAL'!I219</f>
        <v>0</v>
      </c>
      <c r="E215" s="65">
        <f>'ERROR FINAL'!U219</f>
        <v>-100</v>
      </c>
      <c r="F215" s="66">
        <f>'ERROR FINAL'!AG219</f>
        <v>-100</v>
      </c>
      <c r="G215" s="66">
        <f>'ERROR FINAL'!AS219</f>
        <v>-100</v>
      </c>
      <c r="H215" s="67" t="str">
        <f>IF('ERROR FINAL'!AT219="CONFORME","CONFORME","NO CONFORME")</f>
        <v>NO CONFORME</v>
      </c>
      <c r="I215" s="68" t="str">
        <f t="shared" si="3"/>
        <v>Medición</v>
      </c>
    </row>
    <row r="216" spans="1:9" x14ac:dyDescent="0.25">
      <c r="A216" s="61">
        <f>'ERROR FINAL'!A220</f>
        <v>212</v>
      </c>
      <c r="B216" s="62">
        <f>'ERROR FINAL'!D220</f>
        <v>3</v>
      </c>
      <c r="C216" s="63">
        <f>'ERROR FINAL'!G220</f>
        <v>0</v>
      </c>
      <c r="D216" s="64">
        <f>'ERROR FINAL'!I220</f>
        <v>0</v>
      </c>
      <c r="E216" s="65">
        <f>'ERROR FINAL'!U220</f>
        <v>-100</v>
      </c>
      <c r="F216" s="66">
        <f>'ERROR FINAL'!AG220</f>
        <v>-100</v>
      </c>
      <c r="G216" s="66">
        <f>'ERROR FINAL'!AS220</f>
        <v>-100</v>
      </c>
      <c r="H216" s="67" t="str">
        <f>IF('ERROR FINAL'!AT220="CONFORME","CONFORME","NO CONFORME")</f>
        <v>NO CONFORME</v>
      </c>
      <c r="I216" s="68" t="str">
        <f t="shared" si="3"/>
        <v>Medición</v>
      </c>
    </row>
    <row r="217" spans="1:9" x14ac:dyDescent="0.25">
      <c r="A217" s="61">
        <f>'ERROR FINAL'!A221</f>
        <v>213</v>
      </c>
      <c r="B217" s="62">
        <f>'ERROR FINAL'!D221</f>
        <v>3</v>
      </c>
      <c r="C217" s="63">
        <f>'ERROR FINAL'!G221</f>
        <v>0</v>
      </c>
      <c r="D217" s="64">
        <f>'ERROR FINAL'!I221</f>
        <v>0</v>
      </c>
      <c r="E217" s="65">
        <f>'ERROR FINAL'!U221</f>
        <v>-100</v>
      </c>
      <c r="F217" s="66">
        <f>'ERROR FINAL'!AG221</f>
        <v>-100</v>
      </c>
      <c r="G217" s="66">
        <f>'ERROR FINAL'!AS221</f>
        <v>-100</v>
      </c>
      <c r="H217" s="67" t="str">
        <f>IF('ERROR FINAL'!AT221="CONFORME","CONFORME","NO CONFORME")</f>
        <v>NO CONFORME</v>
      </c>
      <c r="I217" s="68" t="str">
        <f t="shared" si="3"/>
        <v>Medición</v>
      </c>
    </row>
    <row r="218" spans="1:9" x14ac:dyDescent="0.25">
      <c r="A218" s="61">
        <f>'ERROR FINAL'!A222</f>
        <v>214</v>
      </c>
      <c r="B218" s="62">
        <f>'ERROR FINAL'!D222</f>
        <v>3</v>
      </c>
      <c r="C218" s="63">
        <f>'ERROR FINAL'!G222</f>
        <v>0</v>
      </c>
      <c r="D218" s="64">
        <f>'ERROR FINAL'!I222</f>
        <v>0</v>
      </c>
      <c r="E218" s="65">
        <f>'ERROR FINAL'!U222</f>
        <v>-100</v>
      </c>
      <c r="F218" s="66">
        <f>'ERROR FINAL'!AG222</f>
        <v>-100</v>
      </c>
      <c r="G218" s="66">
        <f>'ERROR FINAL'!AS222</f>
        <v>-100</v>
      </c>
      <c r="H218" s="67" t="str">
        <f>IF('ERROR FINAL'!AT222="CONFORME","CONFORME","NO CONFORME")</f>
        <v>NO CONFORME</v>
      </c>
      <c r="I218" s="68" t="str">
        <f t="shared" si="3"/>
        <v>Medición</v>
      </c>
    </row>
    <row r="219" spans="1:9" x14ac:dyDescent="0.25">
      <c r="A219" s="61">
        <f>'ERROR FINAL'!A223</f>
        <v>215</v>
      </c>
      <c r="B219" s="62">
        <f>'ERROR FINAL'!D223</f>
        <v>3</v>
      </c>
      <c r="C219" s="63">
        <f>'ERROR FINAL'!G223</f>
        <v>0</v>
      </c>
      <c r="D219" s="64">
        <f>'ERROR FINAL'!I223</f>
        <v>0</v>
      </c>
      <c r="E219" s="65">
        <f>'ERROR FINAL'!U223</f>
        <v>-100</v>
      </c>
      <c r="F219" s="66">
        <f>'ERROR FINAL'!AG223</f>
        <v>-100</v>
      </c>
      <c r="G219" s="66">
        <f>'ERROR FINAL'!AS223</f>
        <v>-100</v>
      </c>
      <c r="H219" s="67" t="str">
        <f>IF('ERROR FINAL'!AT223="CONFORME","CONFORME","NO CONFORME")</f>
        <v>NO CONFORME</v>
      </c>
      <c r="I219" s="68" t="str">
        <f t="shared" si="3"/>
        <v>Medición</v>
      </c>
    </row>
    <row r="220" spans="1:9" x14ac:dyDescent="0.25">
      <c r="A220" s="61">
        <f>'ERROR FINAL'!A224</f>
        <v>216</v>
      </c>
      <c r="B220" s="62">
        <f>'ERROR FINAL'!D224</f>
        <v>3</v>
      </c>
      <c r="C220" s="63">
        <f>'ERROR FINAL'!G224</f>
        <v>0</v>
      </c>
      <c r="D220" s="64">
        <f>'ERROR FINAL'!I224</f>
        <v>0</v>
      </c>
      <c r="E220" s="65">
        <f>'ERROR FINAL'!U224</f>
        <v>-100</v>
      </c>
      <c r="F220" s="66">
        <f>'ERROR FINAL'!AG224</f>
        <v>-100</v>
      </c>
      <c r="G220" s="66">
        <f>'ERROR FINAL'!AS224</f>
        <v>-100</v>
      </c>
      <c r="H220" s="67" t="str">
        <f>IF('ERROR FINAL'!AT224="CONFORME","CONFORME","NO CONFORME")</f>
        <v>NO CONFORME</v>
      </c>
      <c r="I220" s="68" t="str">
        <f t="shared" si="3"/>
        <v>Medición</v>
      </c>
    </row>
    <row r="221" spans="1:9" x14ac:dyDescent="0.25">
      <c r="A221" s="61">
        <f>'ERROR FINAL'!A225</f>
        <v>217</v>
      </c>
      <c r="B221" s="62">
        <f>'ERROR FINAL'!D225</f>
        <v>3</v>
      </c>
      <c r="C221" s="63">
        <f>'ERROR FINAL'!G225</f>
        <v>0</v>
      </c>
      <c r="D221" s="64">
        <f>'ERROR FINAL'!I225</f>
        <v>0</v>
      </c>
      <c r="E221" s="65">
        <f>'ERROR FINAL'!U225</f>
        <v>-100</v>
      </c>
      <c r="F221" s="66">
        <f>'ERROR FINAL'!AG225</f>
        <v>-100</v>
      </c>
      <c r="G221" s="66">
        <f>'ERROR FINAL'!AS225</f>
        <v>-100</v>
      </c>
      <c r="H221" s="67" t="str">
        <f>IF('ERROR FINAL'!AT225="CONFORME","CONFORME","NO CONFORME")</f>
        <v>NO CONFORME</v>
      </c>
      <c r="I221" s="68" t="str">
        <f t="shared" si="3"/>
        <v>Medición</v>
      </c>
    </row>
    <row r="222" spans="1:9" x14ac:dyDescent="0.25">
      <c r="A222" s="61">
        <f>'ERROR FINAL'!A226</f>
        <v>218</v>
      </c>
      <c r="B222" s="62">
        <f>'ERROR FINAL'!D226</f>
        <v>3</v>
      </c>
      <c r="C222" s="63">
        <f>'ERROR FINAL'!G226</f>
        <v>0</v>
      </c>
      <c r="D222" s="64">
        <f>'ERROR FINAL'!I226</f>
        <v>0</v>
      </c>
      <c r="E222" s="65">
        <f>'ERROR FINAL'!U226</f>
        <v>-100</v>
      </c>
      <c r="F222" s="66">
        <f>'ERROR FINAL'!AG226</f>
        <v>-100</v>
      </c>
      <c r="G222" s="66">
        <f>'ERROR FINAL'!AS226</f>
        <v>-100</v>
      </c>
      <c r="H222" s="67" t="str">
        <f>IF('ERROR FINAL'!AT226="CONFORME","CONFORME","NO CONFORME")</f>
        <v>NO CONFORME</v>
      </c>
      <c r="I222" s="68" t="str">
        <f t="shared" si="3"/>
        <v>Medición</v>
      </c>
    </row>
    <row r="223" spans="1:9" x14ac:dyDescent="0.25">
      <c r="A223" s="61">
        <f>'ERROR FINAL'!A227</f>
        <v>219</v>
      </c>
      <c r="B223" s="62">
        <f>'ERROR FINAL'!D227</f>
        <v>3</v>
      </c>
      <c r="C223" s="63">
        <f>'ERROR FINAL'!G227</f>
        <v>0</v>
      </c>
      <c r="D223" s="64">
        <f>'ERROR FINAL'!I227</f>
        <v>0</v>
      </c>
      <c r="E223" s="65">
        <f>'ERROR FINAL'!U227</f>
        <v>-100</v>
      </c>
      <c r="F223" s="66">
        <f>'ERROR FINAL'!AG227</f>
        <v>-100</v>
      </c>
      <c r="G223" s="66">
        <f>'ERROR FINAL'!AS227</f>
        <v>-100</v>
      </c>
      <c r="H223" s="67" t="str">
        <f>IF('ERROR FINAL'!AT227="CONFORME","CONFORME","NO CONFORME")</f>
        <v>NO CONFORME</v>
      </c>
      <c r="I223" s="68" t="str">
        <f t="shared" si="3"/>
        <v>Medición</v>
      </c>
    </row>
    <row r="224" spans="1:9" x14ac:dyDescent="0.25">
      <c r="A224" s="61">
        <f>'ERROR FINAL'!A228</f>
        <v>220</v>
      </c>
      <c r="B224" s="62">
        <f>'ERROR FINAL'!D228</f>
        <v>3</v>
      </c>
      <c r="C224" s="63">
        <f>'ERROR FINAL'!G228</f>
        <v>0</v>
      </c>
      <c r="D224" s="64">
        <f>'ERROR FINAL'!I228</f>
        <v>0</v>
      </c>
      <c r="E224" s="65">
        <f>'ERROR FINAL'!U228</f>
        <v>-100</v>
      </c>
      <c r="F224" s="66">
        <f>'ERROR FINAL'!AG228</f>
        <v>-100</v>
      </c>
      <c r="G224" s="66">
        <f>'ERROR FINAL'!AS228</f>
        <v>-100</v>
      </c>
      <c r="H224" s="67" t="str">
        <f>IF('ERROR FINAL'!AT228="CONFORME","CONFORME","NO CONFORME")</f>
        <v>NO CONFORME</v>
      </c>
      <c r="I224" s="68" t="str">
        <f t="shared" si="3"/>
        <v>Medición</v>
      </c>
    </row>
    <row r="225" spans="1:9" x14ac:dyDescent="0.25">
      <c r="A225" s="61">
        <f>'ERROR FINAL'!A229</f>
        <v>221</v>
      </c>
      <c r="B225" s="62">
        <f>'ERROR FINAL'!D229</f>
        <v>3</v>
      </c>
      <c r="C225" s="63">
        <f>'ERROR FINAL'!G229</f>
        <v>0</v>
      </c>
      <c r="D225" s="64">
        <f>'ERROR FINAL'!I229</f>
        <v>0</v>
      </c>
      <c r="E225" s="65">
        <f>'ERROR FINAL'!U229</f>
        <v>-100</v>
      </c>
      <c r="F225" s="66">
        <f>'ERROR FINAL'!AG229</f>
        <v>-100</v>
      </c>
      <c r="G225" s="66">
        <f>'ERROR FINAL'!AS229</f>
        <v>-100</v>
      </c>
      <c r="H225" s="67" t="str">
        <f>IF('ERROR FINAL'!AT229="CONFORME","CONFORME","NO CONFORME")</f>
        <v>NO CONFORME</v>
      </c>
      <c r="I225" s="68" t="str">
        <f t="shared" si="3"/>
        <v>Medición</v>
      </c>
    </row>
    <row r="226" spans="1:9" x14ac:dyDescent="0.25">
      <c r="A226" s="61">
        <f>'ERROR FINAL'!A230</f>
        <v>222</v>
      </c>
      <c r="B226" s="62">
        <f>'ERROR FINAL'!D230</f>
        <v>3</v>
      </c>
      <c r="C226" s="63">
        <f>'ERROR FINAL'!G230</f>
        <v>0</v>
      </c>
      <c r="D226" s="64">
        <f>'ERROR FINAL'!I230</f>
        <v>0</v>
      </c>
      <c r="E226" s="65">
        <f>'ERROR FINAL'!U230</f>
        <v>-100</v>
      </c>
      <c r="F226" s="66">
        <f>'ERROR FINAL'!AG230</f>
        <v>-100</v>
      </c>
      <c r="G226" s="66">
        <f>'ERROR FINAL'!AS230</f>
        <v>-100</v>
      </c>
      <c r="H226" s="67" t="str">
        <f>IF('ERROR FINAL'!AT230="CONFORME","CONFORME","NO CONFORME")</f>
        <v>NO CONFORME</v>
      </c>
      <c r="I226" s="68" t="str">
        <f t="shared" si="3"/>
        <v>Medición</v>
      </c>
    </row>
    <row r="227" spans="1:9" x14ac:dyDescent="0.25">
      <c r="A227" s="61">
        <f>'ERROR FINAL'!A231</f>
        <v>223</v>
      </c>
      <c r="B227" s="62">
        <f>'ERROR FINAL'!D231</f>
        <v>3</v>
      </c>
      <c r="C227" s="63">
        <f>'ERROR FINAL'!G231</f>
        <v>0</v>
      </c>
      <c r="D227" s="64">
        <f>'ERROR FINAL'!I231</f>
        <v>0</v>
      </c>
      <c r="E227" s="65">
        <f>'ERROR FINAL'!U231</f>
        <v>-100</v>
      </c>
      <c r="F227" s="66">
        <f>'ERROR FINAL'!AG231</f>
        <v>-100</v>
      </c>
      <c r="G227" s="66">
        <f>'ERROR FINAL'!AS231</f>
        <v>-100</v>
      </c>
      <c r="H227" s="67" t="str">
        <f>IF('ERROR FINAL'!AT231="CONFORME","CONFORME","NO CONFORME")</f>
        <v>NO CONFORME</v>
      </c>
      <c r="I227" s="68" t="str">
        <f t="shared" si="3"/>
        <v>Medición</v>
      </c>
    </row>
    <row r="228" spans="1:9" x14ac:dyDescent="0.25">
      <c r="A228" s="61">
        <f>'ERROR FINAL'!A232</f>
        <v>224</v>
      </c>
      <c r="B228" s="62">
        <f>'ERROR FINAL'!D232</f>
        <v>3</v>
      </c>
      <c r="C228" s="63">
        <f>'ERROR FINAL'!G232</f>
        <v>0</v>
      </c>
      <c r="D228" s="64">
        <f>'ERROR FINAL'!I232</f>
        <v>0</v>
      </c>
      <c r="E228" s="65">
        <f>'ERROR FINAL'!U232</f>
        <v>-100</v>
      </c>
      <c r="F228" s="66">
        <f>'ERROR FINAL'!AG232</f>
        <v>-100</v>
      </c>
      <c r="G228" s="66">
        <f>'ERROR FINAL'!AS232</f>
        <v>-100</v>
      </c>
      <c r="H228" s="67" t="str">
        <f>IF('ERROR FINAL'!AT232="CONFORME","CONFORME","NO CONFORME")</f>
        <v>NO CONFORME</v>
      </c>
      <c r="I228" s="68" t="str">
        <f t="shared" si="3"/>
        <v>Medición</v>
      </c>
    </row>
    <row r="229" spans="1:9" x14ac:dyDescent="0.25">
      <c r="A229" s="61">
        <f>'ERROR FINAL'!A233</f>
        <v>225</v>
      </c>
      <c r="B229" s="62">
        <f>'ERROR FINAL'!D233</f>
        <v>3</v>
      </c>
      <c r="C229" s="63">
        <f>'ERROR FINAL'!G233</f>
        <v>0</v>
      </c>
      <c r="D229" s="64">
        <f>'ERROR FINAL'!I233</f>
        <v>0</v>
      </c>
      <c r="E229" s="65">
        <f>'ERROR FINAL'!U233</f>
        <v>-100</v>
      </c>
      <c r="F229" s="66">
        <f>'ERROR FINAL'!AG233</f>
        <v>-100</v>
      </c>
      <c r="G229" s="66">
        <f>'ERROR FINAL'!AS233</f>
        <v>-100</v>
      </c>
      <c r="H229" s="67" t="str">
        <f>IF('ERROR FINAL'!AT233="CONFORME","CONFORME","NO CONFORME")</f>
        <v>NO CONFORME</v>
      </c>
      <c r="I229" s="68" t="str">
        <f t="shared" si="3"/>
        <v>Medición</v>
      </c>
    </row>
    <row r="230" spans="1:9" x14ac:dyDescent="0.25">
      <c r="A230" s="61">
        <f>'ERROR FINAL'!A234</f>
        <v>226</v>
      </c>
      <c r="B230" s="62">
        <f>'ERROR FINAL'!D234</f>
        <v>3</v>
      </c>
      <c r="C230" s="63">
        <f>'ERROR FINAL'!G234</f>
        <v>0</v>
      </c>
      <c r="D230" s="64">
        <f>'ERROR FINAL'!I234</f>
        <v>0</v>
      </c>
      <c r="E230" s="65">
        <f>'ERROR FINAL'!U234</f>
        <v>-100</v>
      </c>
      <c r="F230" s="66">
        <f>'ERROR FINAL'!AG234</f>
        <v>-100</v>
      </c>
      <c r="G230" s="66">
        <f>'ERROR FINAL'!AS234</f>
        <v>-100</v>
      </c>
      <c r="H230" s="67" t="str">
        <f>IF('ERROR FINAL'!AT234="CONFORME","CONFORME","NO CONFORME")</f>
        <v>NO CONFORME</v>
      </c>
      <c r="I230" s="68" t="str">
        <f t="shared" si="3"/>
        <v>Medición</v>
      </c>
    </row>
    <row r="231" spans="1:9" x14ac:dyDescent="0.25">
      <c r="A231" s="61">
        <f>'ERROR FINAL'!A235</f>
        <v>227</v>
      </c>
      <c r="B231" s="62">
        <f>'ERROR FINAL'!D235</f>
        <v>3</v>
      </c>
      <c r="C231" s="63">
        <f>'ERROR FINAL'!G235</f>
        <v>0</v>
      </c>
      <c r="D231" s="64">
        <f>'ERROR FINAL'!I235</f>
        <v>0</v>
      </c>
      <c r="E231" s="65">
        <f>'ERROR FINAL'!U235</f>
        <v>-100</v>
      </c>
      <c r="F231" s="66">
        <f>'ERROR FINAL'!AG235</f>
        <v>-100</v>
      </c>
      <c r="G231" s="66">
        <f>'ERROR FINAL'!AS235</f>
        <v>-100</v>
      </c>
      <c r="H231" s="67" t="str">
        <f>IF('ERROR FINAL'!AT235="CONFORME","CONFORME","NO CONFORME")</f>
        <v>NO CONFORME</v>
      </c>
      <c r="I231" s="68" t="str">
        <f t="shared" si="3"/>
        <v>Medición</v>
      </c>
    </row>
    <row r="232" spans="1:9" x14ac:dyDescent="0.25">
      <c r="A232" s="61">
        <f>'ERROR FINAL'!A236</f>
        <v>228</v>
      </c>
      <c r="B232" s="62">
        <f>'ERROR FINAL'!D236</f>
        <v>3</v>
      </c>
      <c r="C232" s="63">
        <f>'ERROR FINAL'!G236</f>
        <v>0</v>
      </c>
      <c r="D232" s="64">
        <f>'ERROR FINAL'!I236</f>
        <v>0</v>
      </c>
      <c r="E232" s="65">
        <f>'ERROR FINAL'!U236</f>
        <v>-100</v>
      </c>
      <c r="F232" s="66">
        <f>'ERROR FINAL'!AG236</f>
        <v>-100</v>
      </c>
      <c r="G232" s="66">
        <f>'ERROR FINAL'!AS236</f>
        <v>-100</v>
      </c>
      <c r="H232" s="67" t="str">
        <f>IF('ERROR FINAL'!AT236="CONFORME","CONFORME","NO CONFORME")</f>
        <v>NO CONFORME</v>
      </c>
      <c r="I232" s="68" t="str">
        <f t="shared" si="3"/>
        <v>Medición</v>
      </c>
    </row>
    <row r="233" spans="1:9" x14ac:dyDescent="0.25">
      <c r="A233" s="61">
        <f>'ERROR FINAL'!A237</f>
        <v>229</v>
      </c>
      <c r="B233" s="62">
        <f>'ERROR FINAL'!D237</f>
        <v>3</v>
      </c>
      <c r="C233" s="63">
        <f>'ERROR FINAL'!G237</f>
        <v>0</v>
      </c>
      <c r="D233" s="64">
        <f>'ERROR FINAL'!I237</f>
        <v>0</v>
      </c>
      <c r="E233" s="65">
        <f>'ERROR FINAL'!U237</f>
        <v>-100</v>
      </c>
      <c r="F233" s="66">
        <f>'ERROR FINAL'!AG237</f>
        <v>-100</v>
      </c>
      <c r="G233" s="66">
        <f>'ERROR FINAL'!AS237</f>
        <v>-100</v>
      </c>
      <c r="H233" s="67" t="str">
        <f>IF('ERROR FINAL'!AT237="CONFORME","CONFORME","NO CONFORME")</f>
        <v>NO CONFORME</v>
      </c>
      <c r="I233" s="68" t="str">
        <f t="shared" si="3"/>
        <v>Medición</v>
      </c>
    </row>
    <row r="234" spans="1:9" x14ac:dyDescent="0.25">
      <c r="A234" s="61">
        <f>'ERROR FINAL'!A238</f>
        <v>230</v>
      </c>
      <c r="B234" s="62">
        <f>'ERROR FINAL'!D238</f>
        <v>3</v>
      </c>
      <c r="C234" s="63">
        <f>'ERROR FINAL'!G238</f>
        <v>0</v>
      </c>
      <c r="D234" s="64">
        <f>'ERROR FINAL'!I238</f>
        <v>0</v>
      </c>
      <c r="E234" s="65">
        <f>'ERROR FINAL'!U238</f>
        <v>-100</v>
      </c>
      <c r="F234" s="66">
        <f>'ERROR FINAL'!AG238</f>
        <v>-100</v>
      </c>
      <c r="G234" s="66">
        <f>'ERROR FINAL'!AS238</f>
        <v>-100</v>
      </c>
      <c r="H234" s="67" t="str">
        <f>IF('ERROR FINAL'!AT238="CONFORME","CONFORME","NO CONFORME")</f>
        <v>NO CONFORME</v>
      </c>
      <c r="I234" s="68" t="str">
        <f t="shared" si="3"/>
        <v>Medición</v>
      </c>
    </row>
    <row r="235" spans="1:9" x14ac:dyDescent="0.25">
      <c r="A235" s="61">
        <f>'ERROR FINAL'!A239</f>
        <v>231</v>
      </c>
      <c r="B235" s="62">
        <f>'ERROR FINAL'!D239</f>
        <v>3</v>
      </c>
      <c r="C235" s="63">
        <f>'ERROR FINAL'!G239</f>
        <v>0</v>
      </c>
      <c r="D235" s="64">
        <f>'ERROR FINAL'!I239</f>
        <v>0</v>
      </c>
      <c r="E235" s="65">
        <f>'ERROR FINAL'!U239</f>
        <v>-100</v>
      </c>
      <c r="F235" s="66">
        <f>'ERROR FINAL'!AG239</f>
        <v>-100</v>
      </c>
      <c r="G235" s="66">
        <f>'ERROR FINAL'!AS239</f>
        <v>-100</v>
      </c>
      <c r="H235" s="67" t="str">
        <f>IF('ERROR FINAL'!AT239="CONFORME","CONFORME","NO CONFORME")</f>
        <v>NO CONFORME</v>
      </c>
      <c r="I235" s="68" t="str">
        <f t="shared" si="3"/>
        <v>Medición</v>
      </c>
    </row>
    <row r="236" spans="1:9" x14ac:dyDescent="0.25">
      <c r="A236" s="61">
        <f>'ERROR FINAL'!A240</f>
        <v>232</v>
      </c>
      <c r="B236" s="62">
        <f>'ERROR FINAL'!D240</f>
        <v>3</v>
      </c>
      <c r="C236" s="63">
        <f>'ERROR FINAL'!G240</f>
        <v>0</v>
      </c>
      <c r="D236" s="64">
        <f>'ERROR FINAL'!I240</f>
        <v>0</v>
      </c>
      <c r="E236" s="65">
        <f>'ERROR FINAL'!U240</f>
        <v>-100</v>
      </c>
      <c r="F236" s="66">
        <f>'ERROR FINAL'!AG240</f>
        <v>-100</v>
      </c>
      <c r="G236" s="66">
        <f>'ERROR FINAL'!AS240</f>
        <v>-100</v>
      </c>
      <c r="H236" s="67" t="str">
        <f>IF('ERROR FINAL'!AT240="CONFORME","CONFORME","NO CONFORME")</f>
        <v>NO CONFORME</v>
      </c>
      <c r="I236" s="68" t="str">
        <f t="shared" si="3"/>
        <v>Medición</v>
      </c>
    </row>
    <row r="237" spans="1:9" x14ac:dyDescent="0.25">
      <c r="A237" s="61">
        <f>'ERROR FINAL'!A241</f>
        <v>233</v>
      </c>
      <c r="B237" s="62">
        <f>'ERROR FINAL'!D241</f>
        <v>3</v>
      </c>
      <c r="C237" s="63">
        <f>'ERROR FINAL'!G241</f>
        <v>0</v>
      </c>
      <c r="D237" s="64">
        <f>'ERROR FINAL'!I241</f>
        <v>0</v>
      </c>
      <c r="E237" s="65">
        <f>'ERROR FINAL'!U241</f>
        <v>-100</v>
      </c>
      <c r="F237" s="66">
        <f>'ERROR FINAL'!AG241</f>
        <v>-100</v>
      </c>
      <c r="G237" s="66">
        <f>'ERROR FINAL'!AS241</f>
        <v>-100</v>
      </c>
      <c r="H237" s="67" t="str">
        <f>IF('ERROR FINAL'!AT241="CONFORME","CONFORME","NO CONFORME")</f>
        <v>NO CONFORME</v>
      </c>
      <c r="I237" s="68" t="str">
        <f t="shared" si="3"/>
        <v>Medición</v>
      </c>
    </row>
    <row r="238" spans="1:9" x14ac:dyDescent="0.25">
      <c r="A238" s="61">
        <f>'ERROR FINAL'!A242</f>
        <v>234</v>
      </c>
      <c r="B238" s="62">
        <f>'ERROR FINAL'!D242</f>
        <v>3</v>
      </c>
      <c r="C238" s="63">
        <f>'ERROR FINAL'!G242</f>
        <v>0</v>
      </c>
      <c r="D238" s="64">
        <f>'ERROR FINAL'!I242</f>
        <v>0</v>
      </c>
      <c r="E238" s="65">
        <f>'ERROR FINAL'!U242</f>
        <v>-100</v>
      </c>
      <c r="F238" s="66">
        <f>'ERROR FINAL'!AG242</f>
        <v>-100</v>
      </c>
      <c r="G238" s="66">
        <f>'ERROR FINAL'!AS242</f>
        <v>-100</v>
      </c>
      <c r="H238" s="67" t="str">
        <f>IF('ERROR FINAL'!AT242="CONFORME","CONFORME","NO CONFORME")</f>
        <v>NO CONFORME</v>
      </c>
      <c r="I238" s="68" t="str">
        <f t="shared" si="3"/>
        <v>Medición</v>
      </c>
    </row>
    <row r="239" spans="1:9" x14ac:dyDescent="0.25">
      <c r="A239" s="61">
        <f>'ERROR FINAL'!A243</f>
        <v>235</v>
      </c>
      <c r="B239" s="62">
        <f>'ERROR FINAL'!D243</f>
        <v>3</v>
      </c>
      <c r="C239" s="63">
        <f>'ERROR FINAL'!G243</f>
        <v>0</v>
      </c>
      <c r="D239" s="64">
        <f>'ERROR FINAL'!I243</f>
        <v>0</v>
      </c>
      <c r="E239" s="65">
        <f>'ERROR FINAL'!U243</f>
        <v>-100</v>
      </c>
      <c r="F239" s="66">
        <f>'ERROR FINAL'!AG243</f>
        <v>-100</v>
      </c>
      <c r="G239" s="66">
        <f>'ERROR FINAL'!AS243</f>
        <v>-100</v>
      </c>
      <c r="H239" s="67" t="str">
        <f>IF('ERROR FINAL'!AT243="CONFORME","CONFORME","NO CONFORME")</f>
        <v>NO CONFORME</v>
      </c>
      <c r="I239" s="68" t="str">
        <f t="shared" si="3"/>
        <v>Medición</v>
      </c>
    </row>
    <row r="240" spans="1:9" x14ac:dyDescent="0.25">
      <c r="A240" s="61">
        <f>'ERROR FINAL'!A244</f>
        <v>236</v>
      </c>
      <c r="B240" s="62">
        <f>'ERROR FINAL'!D244</f>
        <v>3</v>
      </c>
      <c r="C240" s="63">
        <f>'ERROR FINAL'!G244</f>
        <v>0</v>
      </c>
      <c r="D240" s="64">
        <f>'ERROR FINAL'!I244</f>
        <v>0</v>
      </c>
      <c r="E240" s="65">
        <f>'ERROR FINAL'!U244</f>
        <v>-100</v>
      </c>
      <c r="F240" s="66">
        <f>'ERROR FINAL'!AG244</f>
        <v>-100</v>
      </c>
      <c r="G240" s="66">
        <f>'ERROR FINAL'!AS244</f>
        <v>-100</v>
      </c>
      <c r="H240" s="67" t="str">
        <f>IF('ERROR FINAL'!AT244="CONFORME","CONFORME","NO CONFORME")</f>
        <v>NO CONFORME</v>
      </c>
      <c r="I240" s="68" t="str">
        <f t="shared" si="3"/>
        <v>Medición</v>
      </c>
    </row>
    <row r="241" spans="1:9" x14ac:dyDescent="0.25">
      <c r="A241" s="61">
        <f>'ERROR FINAL'!A245</f>
        <v>237</v>
      </c>
      <c r="B241" s="62">
        <f>'ERROR FINAL'!D245</f>
        <v>3</v>
      </c>
      <c r="C241" s="63">
        <f>'ERROR FINAL'!G245</f>
        <v>0</v>
      </c>
      <c r="D241" s="64">
        <f>'ERROR FINAL'!I245</f>
        <v>0</v>
      </c>
      <c r="E241" s="65">
        <f>'ERROR FINAL'!U245</f>
        <v>-100</v>
      </c>
      <c r="F241" s="66">
        <f>'ERROR FINAL'!AG245</f>
        <v>-100</v>
      </c>
      <c r="G241" s="66">
        <f>'ERROR FINAL'!AS245</f>
        <v>-100</v>
      </c>
      <c r="H241" s="67" t="str">
        <f>IF('ERROR FINAL'!AT245="CONFORME","CONFORME","NO CONFORME")</f>
        <v>NO CONFORME</v>
      </c>
      <c r="I241" s="68" t="str">
        <f t="shared" si="3"/>
        <v>Medición</v>
      </c>
    </row>
    <row r="242" spans="1:9" x14ac:dyDescent="0.25">
      <c r="A242" s="61">
        <f>'ERROR FINAL'!A246</f>
        <v>238</v>
      </c>
      <c r="B242" s="62">
        <f>'ERROR FINAL'!D246</f>
        <v>3</v>
      </c>
      <c r="C242" s="63">
        <f>'ERROR FINAL'!G246</f>
        <v>0</v>
      </c>
      <c r="D242" s="64">
        <f>'ERROR FINAL'!I246</f>
        <v>0</v>
      </c>
      <c r="E242" s="65">
        <f>'ERROR FINAL'!U246</f>
        <v>-100</v>
      </c>
      <c r="F242" s="66">
        <f>'ERROR FINAL'!AG246</f>
        <v>-100</v>
      </c>
      <c r="G242" s="66">
        <f>'ERROR FINAL'!AS246</f>
        <v>-100</v>
      </c>
      <c r="H242" s="67" t="str">
        <f>IF('ERROR FINAL'!AT246="CONFORME","CONFORME","NO CONFORME")</f>
        <v>NO CONFORME</v>
      </c>
      <c r="I242" s="68" t="str">
        <f t="shared" si="3"/>
        <v>Medición</v>
      </c>
    </row>
    <row r="243" spans="1:9" x14ac:dyDescent="0.25">
      <c r="A243" s="61">
        <f>'ERROR FINAL'!A247</f>
        <v>239</v>
      </c>
      <c r="B243" s="62">
        <f>'ERROR FINAL'!D247</f>
        <v>3</v>
      </c>
      <c r="C243" s="63">
        <f>'ERROR FINAL'!G247</f>
        <v>0</v>
      </c>
      <c r="D243" s="64">
        <f>'ERROR FINAL'!I247</f>
        <v>0</v>
      </c>
      <c r="E243" s="65">
        <f>'ERROR FINAL'!U247</f>
        <v>-100</v>
      </c>
      <c r="F243" s="66">
        <f>'ERROR FINAL'!AG247</f>
        <v>-100</v>
      </c>
      <c r="G243" s="66">
        <f>'ERROR FINAL'!AS247</f>
        <v>-100</v>
      </c>
      <c r="H243" s="67" t="str">
        <f>IF('ERROR FINAL'!AT247="CONFORME","CONFORME","NO CONFORME")</f>
        <v>NO CONFORME</v>
      </c>
      <c r="I243" s="68" t="str">
        <f t="shared" si="3"/>
        <v>Medición</v>
      </c>
    </row>
    <row r="244" spans="1:9" x14ac:dyDescent="0.25">
      <c r="A244" s="61">
        <f>'ERROR FINAL'!A248</f>
        <v>240</v>
      </c>
      <c r="B244" s="62">
        <f>'ERROR FINAL'!D248</f>
        <v>3</v>
      </c>
      <c r="C244" s="63">
        <f>'ERROR FINAL'!G248</f>
        <v>0</v>
      </c>
      <c r="D244" s="64">
        <f>'ERROR FINAL'!I248</f>
        <v>0</v>
      </c>
      <c r="E244" s="65">
        <f>'ERROR FINAL'!U248</f>
        <v>-100</v>
      </c>
      <c r="F244" s="66">
        <f>'ERROR FINAL'!AG248</f>
        <v>-100</v>
      </c>
      <c r="G244" s="66">
        <f>'ERROR FINAL'!AS248</f>
        <v>-100</v>
      </c>
      <c r="H244" s="67" t="str">
        <f>IF('ERROR FINAL'!AT248="CONFORME","CONFORME","NO CONFORME")</f>
        <v>NO CONFORME</v>
      </c>
      <c r="I244" s="68" t="str">
        <f t="shared" si="3"/>
        <v>Medición</v>
      </c>
    </row>
    <row r="245" spans="1:9" x14ac:dyDescent="0.25">
      <c r="A245" s="61">
        <f>'ERROR FINAL'!A249</f>
        <v>241</v>
      </c>
      <c r="B245" s="62">
        <f>'ERROR FINAL'!D249</f>
        <v>3</v>
      </c>
      <c r="C245" s="63">
        <f>'ERROR FINAL'!G249</f>
        <v>0</v>
      </c>
      <c r="D245" s="64">
        <f>'ERROR FINAL'!I249</f>
        <v>0</v>
      </c>
      <c r="E245" s="65">
        <f>'ERROR FINAL'!U249</f>
        <v>-100</v>
      </c>
      <c r="F245" s="66">
        <f>'ERROR FINAL'!AG249</f>
        <v>-100</v>
      </c>
      <c r="G245" s="66">
        <f>'ERROR FINAL'!AS249</f>
        <v>-100</v>
      </c>
      <c r="H245" s="67" t="str">
        <f>IF('ERROR FINAL'!AT249="CONFORME","CONFORME","NO CONFORME")</f>
        <v>NO CONFORME</v>
      </c>
      <c r="I245" s="68" t="str">
        <f t="shared" si="3"/>
        <v>Medición</v>
      </c>
    </row>
    <row r="246" spans="1:9" x14ac:dyDescent="0.25">
      <c r="A246" s="61">
        <f>'ERROR FINAL'!A250</f>
        <v>242</v>
      </c>
      <c r="B246" s="62">
        <f>'ERROR FINAL'!D250</f>
        <v>3</v>
      </c>
      <c r="C246" s="63">
        <f>'ERROR FINAL'!G250</f>
        <v>0</v>
      </c>
      <c r="D246" s="64">
        <f>'ERROR FINAL'!I250</f>
        <v>0</v>
      </c>
      <c r="E246" s="65">
        <f>'ERROR FINAL'!U250</f>
        <v>-100</v>
      </c>
      <c r="F246" s="66">
        <f>'ERROR FINAL'!AG250</f>
        <v>-100</v>
      </c>
      <c r="G246" s="66">
        <f>'ERROR FINAL'!AS250</f>
        <v>-100</v>
      </c>
      <c r="H246" s="67" t="str">
        <f>IF('ERROR FINAL'!AT250="CONFORME","CONFORME","NO CONFORME")</f>
        <v>NO CONFORME</v>
      </c>
      <c r="I246" s="68" t="str">
        <f t="shared" si="3"/>
        <v>Medición</v>
      </c>
    </row>
    <row r="247" spans="1:9" x14ac:dyDescent="0.25">
      <c r="A247" s="61">
        <f>'ERROR FINAL'!A251</f>
        <v>243</v>
      </c>
      <c r="B247" s="62">
        <f>'ERROR FINAL'!D251</f>
        <v>3</v>
      </c>
      <c r="C247" s="63">
        <f>'ERROR FINAL'!G251</f>
        <v>0</v>
      </c>
      <c r="D247" s="64">
        <f>'ERROR FINAL'!I251</f>
        <v>0</v>
      </c>
      <c r="E247" s="65">
        <f>'ERROR FINAL'!U251</f>
        <v>-100</v>
      </c>
      <c r="F247" s="66">
        <f>'ERROR FINAL'!AG251</f>
        <v>-100</v>
      </c>
      <c r="G247" s="66">
        <f>'ERROR FINAL'!AS251</f>
        <v>-100</v>
      </c>
      <c r="H247" s="67" t="str">
        <f>IF('ERROR FINAL'!AT251="CONFORME","CONFORME","NO CONFORME")</f>
        <v>NO CONFORME</v>
      </c>
      <c r="I247" s="68" t="str">
        <f t="shared" si="3"/>
        <v>Medición</v>
      </c>
    </row>
    <row r="248" spans="1:9" x14ac:dyDescent="0.25">
      <c r="A248" s="61">
        <f>'ERROR FINAL'!A252</f>
        <v>244</v>
      </c>
      <c r="B248" s="62">
        <f>'ERROR FINAL'!D252</f>
        <v>3</v>
      </c>
      <c r="C248" s="63">
        <f>'ERROR FINAL'!G252</f>
        <v>0</v>
      </c>
      <c r="D248" s="64">
        <f>'ERROR FINAL'!I252</f>
        <v>0</v>
      </c>
      <c r="E248" s="65">
        <f>'ERROR FINAL'!U252</f>
        <v>-100</v>
      </c>
      <c r="F248" s="66">
        <f>'ERROR FINAL'!AG252</f>
        <v>-100</v>
      </c>
      <c r="G248" s="66">
        <f>'ERROR FINAL'!AS252</f>
        <v>-100</v>
      </c>
      <c r="H248" s="67" t="str">
        <f>IF('ERROR FINAL'!AT252="CONFORME","CONFORME","NO CONFORME")</f>
        <v>NO CONFORME</v>
      </c>
      <c r="I248" s="68" t="str">
        <f t="shared" si="3"/>
        <v>Medición</v>
      </c>
    </row>
    <row r="249" spans="1:9" x14ac:dyDescent="0.25">
      <c r="A249" s="61">
        <f>'ERROR FINAL'!A253</f>
        <v>245</v>
      </c>
      <c r="B249" s="62">
        <f>'ERROR FINAL'!D253</f>
        <v>3</v>
      </c>
      <c r="C249" s="63">
        <f>'ERROR FINAL'!G253</f>
        <v>0</v>
      </c>
      <c r="D249" s="64">
        <f>'ERROR FINAL'!I253</f>
        <v>0</v>
      </c>
      <c r="E249" s="65">
        <f>'ERROR FINAL'!U253</f>
        <v>-100</v>
      </c>
      <c r="F249" s="66">
        <f>'ERROR FINAL'!AG253</f>
        <v>-100</v>
      </c>
      <c r="G249" s="66">
        <f>'ERROR FINAL'!AS253</f>
        <v>-100</v>
      </c>
      <c r="H249" s="67" t="str">
        <f>IF('ERROR FINAL'!AT253="CONFORME","CONFORME","NO CONFORME")</f>
        <v>NO CONFORME</v>
      </c>
      <c r="I249" s="68" t="str">
        <f t="shared" si="3"/>
        <v>Medición</v>
      </c>
    </row>
    <row r="250" spans="1:9" x14ac:dyDescent="0.25">
      <c r="A250" s="61">
        <f>'ERROR FINAL'!A254</f>
        <v>246</v>
      </c>
      <c r="B250" s="62">
        <f>'ERROR FINAL'!D254</f>
        <v>3</v>
      </c>
      <c r="C250" s="63">
        <f>'ERROR FINAL'!G254</f>
        <v>0</v>
      </c>
      <c r="D250" s="64">
        <f>'ERROR FINAL'!I254</f>
        <v>0</v>
      </c>
      <c r="E250" s="65">
        <f>'ERROR FINAL'!U254</f>
        <v>-100</v>
      </c>
      <c r="F250" s="66">
        <f>'ERROR FINAL'!AG254</f>
        <v>-100</v>
      </c>
      <c r="G250" s="66">
        <f>'ERROR FINAL'!AS254</f>
        <v>-100</v>
      </c>
      <c r="H250" s="67" t="str">
        <f>IF('ERROR FINAL'!AT254="CONFORME","CONFORME","NO CONFORME")</f>
        <v>NO CONFORME</v>
      </c>
      <c r="I250" s="68" t="str">
        <f t="shared" si="3"/>
        <v>Medición</v>
      </c>
    </row>
    <row r="251" spans="1:9" x14ac:dyDescent="0.25">
      <c r="A251" s="61">
        <f>'ERROR FINAL'!A255</f>
        <v>247</v>
      </c>
      <c r="B251" s="62">
        <f>'ERROR FINAL'!D255</f>
        <v>3</v>
      </c>
      <c r="C251" s="63">
        <f>'ERROR FINAL'!G255</f>
        <v>0</v>
      </c>
      <c r="D251" s="64">
        <f>'ERROR FINAL'!I255</f>
        <v>0</v>
      </c>
      <c r="E251" s="65">
        <f>'ERROR FINAL'!U255</f>
        <v>-100</v>
      </c>
      <c r="F251" s="66">
        <f>'ERROR FINAL'!AG255</f>
        <v>-100</v>
      </c>
      <c r="G251" s="66">
        <f>'ERROR FINAL'!AS255</f>
        <v>-100</v>
      </c>
      <c r="H251" s="67" t="str">
        <f>IF('ERROR FINAL'!AT255="CONFORME","CONFORME","NO CONFORME")</f>
        <v>NO CONFORME</v>
      </c>
      <c r="I251" s="68" t="str">
        <f t="shared" si="3"/>
        <v>Medición</v>
      </c>
    </row>
    <row r="252" spans="1:9" x14ac:dyDescent="0.25">
      <c r="A252" s="61">
        <f>'ERROR FINAL'!A256</f>
        <v>248</v>
      </c>
      <c r="B252" s="62">
        <f>'ERROR FINAL'!D256</f>
        <v>3</v>
      </c>
      <c r="C252" s="63">
        <f>'ERROR FINAL'!G256</f>
        <v>0</v>
      </c>
      <c r="D252" s="64">
        <f>'ERROR FINAL'!I256</f>
        <v>0</v>
      </c>
      <c r="E252" s="65">
        <f>'ERROR FINAL'!U256</f>
        <v>-100</v>
      </c>
      <c r="F252" s="66">
        <f>'ERROR FINAL'!AG256</f>
        <v>-100</v>
      </c>
      <c r="G252" s="66">
        <f>'ERROR FINAL'!AS256</f>
        <v>-100</v>
      </c>
      <c r="H252" s="67" t="str">
        <f>IF('ERROR FINAL'!AT256="CONFORME","CONFORME","NO CONFORME")</f>
        <v>NO CONFORME</v>
      </c>
      <c r="I252" s="68" t="str">
        <f t="shared" si="3"/>
        <v>Medición</v>
      </c>
    </row>
    <row r="253" spans="1:9" x14ac:dyDescent="0.25">
      <c r="A253" s="61">
        <f>'ERROR FINAL'!A257</f>
        <v>249</v>
      </c>
      <c r="B253" s="62">
        <f>'ERROR FINAL'!D257</f>
        <v>3</v>
      </c>
      <c r="C253" s="63">
        <f>'ERROR FINAL'!G257</f>
        <v>0</v>
      </c>
      <c r="D253" s="64">
        <f>'ERROR FINAL'!I257</f>
        <v>0</v>
      </c>
      <c r="E253" s="65">
        <f>'ERROR FINAL'!U257</f>
        <v>-100</v>
      </c>
      <c r="F253" s="66">
        <f>'ERROR FINAL'!AG257</f>
        <v>-100</v>
      </c>
      <c r="G253" s="66">
        <f>'ERROR FINAL'!AS257</f>
        <v>-100</v>
      </c>
      <c r="H253" s="67" t="str">
        <f>IF('ERROR FINAL'!AT257="CONFORME","CONFORME","NO CONFORME")</f>
        <v>NO CONFORME</v>
      </c>
      <c r="I253" s="68" t="str">
        <f t="shared" si="3"/>
        <v>Medición</v>
      </c>
    </row>
    <row r="254" spans="1:9" x14ac:dyDescent="0.25">
      <c r="A254" s="61">
        <f>'ERROR FINAL'!A258</f>
        <v>250</v>
      </c>
      <c r="B254" s="62">
        <f>'ERROR FINAL'!D258</f>
        <v>3</v>
      </c>
      <c r="C254" s="63">
        <f>'ERROR FINAL'!G258</f>
        <v>0</v>
      </c>
      <c r="D254" s="64">
        <f>'ERROR FINAL'!I258</f>
        <v>0</v>
      </c>
      <c r="E254" s="65">
        <f>'ERROR FINAL'!U258</f>
        <v>-100</v>
      </c>
      <c r="F254" s="66">
        <f>'ERROR FINAL'!AG258</f>
        <v>-100</v>
      </c>
      <c r="G254" s="66">
        <f>'ERROR FINAL'!AS258</f>
        <v>-100</v>
      </c>
      <c r="H254" s="67" t="str">
        <f>IF('ERROR FINAL'!AT258="CONFORME","CONFORME","NO CONFORME")</f>
        <v>NO CONFORME</v>
      </c>
      <c r="I254" s="68" t="str">
        <f t="shared" si="3"/>
        <v>Medición</v>
      </c>
    </row>
    <row r="255" spans="1:9" x14ac:dyDescent="0.25">
      <c r="A255" s="61">
        <f>'ERROR FINAL'!A259</f>
        <v>251</v>
      </c>
      <c r="B255" s="62">
        <f>'ERROR FINAL'!D259</f>
        <v>3</v>
      </c>
      <c r="C255" s="63">
        <f>'ERROR FINAL'!G259</f>
        <v>0</v>
      </c>
      <c r="D255" s="64">
        <f>'ERROR FINAL'!I259</f>
        <v>0</v>
      </c>
      <c r="E255" s="65">
        <f>'ERROR FINAL'!U259</f>
        <v>-100</v>
      </c>
      <c r="F255" s="66">
        <f>'ERROR FINAL'!AG259</f>
        <v>-100</v>
      </c>
      <c r="G255" s="66">
        <f>'ERROR FINAL'!AS259</f>
        <v>-100</v>
      </c>
      <c r="H255" s="67" t="str">
        <f>IF('ERROR FINAL'!AT259="CONFORME","CONFORME","NO CONFORME")</f>
        <v>NO CONFORME</v>
      </c>
      <c r="I255" s="68" t="str">
        <f t="shared" si="3"/>
        <v>Medición</v>
      </c>
    </row>
    <row r="256" spans="1:9" x14ac:dyDescent="0.25">
      <c r="A256" s="61">
        <f>'ERROR FINAL'!A260</f>
        <v>252</v>
      </c>
      <c r="B256" s="62">
        <f>'ERROR FINAL'!D260</f>
        <v>3</v>
      </c>
      <c r="C256" s="63">
        <f>'ERROR FINAL'!G260</f>
        <v>0</v>
      </c>
      <c r="D256" s="64">
        <f>'ERROR FINAL'!I260</f>
        <v>0</v>
      </c>
      <c r="E256" s="65">
        <f>'ERROR FINAL'!U260</f>
        <v>-100</v>
      </c>
      <c r="F256" s="66">
        <f>'ERROR FINAL'!AG260</f>
        <v>-100</v>
      </c>
      <c r="G256" s="66">
        <f>'ERROR FINAL'!AS260</f>
        <v>-100</v>
      </c>
      <c r="H256" s="67" t="str">
        <f>IF('ERROR FINAL'!AT260="CONFORME","CONFORME","NO CONFORME")</f>
        <v>NO CONFORME</v>
      </c>
      <c r="I256" s="68" t="str">
        <f t="shared" si="3"/>
        <v>Medición</v>
      </c>
    </row>
    <row r="257" spans="1:9" x14ac:dyDescent="0.25">
      <c r="A257" s="61">
        <f>'ERROR FINAL'!A261</f>
        <v>253</v>
      </c>
      <c r="B257" s="62">
        <f>'ERROR FINAL'!D261</f>
        <v>3</v>
      </c>
      <c r="C257" s="63">
        <f>'ERROR FINAL'!G261</f>
        <v>0</v>
      </c>
      <c r="D257" s="64">
        <f>'ERROR FINAL'!I261</f>
        <v>0</v>
      </c>
      <c r="E257" s="65">
        <f>'ERROR FINAL'!U261</f>
        <v>-100</v>
      </c>
      <c r="F257" s="66">
        <f>'ERROR FINAL'!AG261</f>
        <v>-100</v>
      </c>
      <c r="G257" s="66">
        <f>'ERROR FINAL'!AS261</f>
        <v>-100</v>
      </c>
      <c r="H257" s="67" t="str">
        <f>IF('ERROR FINAL'!AT261="CONFORME","CONFORME","NO CONFORME")</f>
        <v>NO CONFORME</v>
      </c>
      <c r="I257" s="68" t="str">
        <f t="shared" si="3"/>
        <v>Medición</v>
      </c>
    </row>
    <row r="258" spans="1:9" x14ac:dyDescent="0.25">
      <c r="A258" s="61">
        <f>'ERROR FINAL'!A262</f>
        <v>254</v>
      </c>
      <c r="B258" s="62">
        <f>'ERROR FINAL'!D262</f>
        <v>3</v>
      </c>
      <c r="C258" s="63">
        <f>'ERROR FINAL'!G262</f>
        <v>0</v>
      </c>
      <c r="D258" s="64">
        <f>'ERROR FINAL'!I262</f>
        <v>0</v>
      </c>
      <c r="E258" s="65">
        <f>'ERROR FINAL'!U262</f>
        <v>-100</v>
      </c>
      <c r="F258" s="66">
        <f>'ERROR FINAL'!AG262</f>
        <v>-100</v>
      </c>
      <c r="G258" s="66">
        <f>'ERROR FINAL'!AS262</f>
        <v>-100</v>
      </c>
      <c r="H258" s="67" t="str">
        <f>IF('ERROR FINAL'!AT262="CONFORME","CONFORME","NO CONFORME")</f>
        <v>NO CONFORME</v>
      </c>
      <c r="I258" s="68" t="str">
        <f t="shared" si="3"/>
        <v>Medición</v>
      </c>
    </row>
    <row r="259" spans="1:9" x14ac:dyDescent="0.25">
      <c r="A259" s="61">
        <f>'ERROR FINAL'!A263</f>
        <v>255</v>
      </c>
      <c r="B259" s="62">
        <f>'ERROR FINAL'!D263</f>
        <v>3</v>
      </c>
      <c r="C259" s="63">
        <f>'ERROR FINAL'!G263</f>
        <v>0</v>
      </c>
      <c r="D259" s="64">
        <f>'ERROR FINAL'!I263</f>
        <v>0</v>
      </c>
      <c r="E259" s="65">
        <f>'ERROR FINAL'!U263</f>
        <v>-100</v>
      </c>
      <c r="F259" s="66">
        <f>'ERROR FINAL'!AG263</f>
        <v>-100</v>
      </c>
      <c r="G259" s="66">
        <f>'ERROR FINAL'!AS263</f>
        <v>-100</v>
      </c>
      <c r="H259" s="67" t="str">
        <f>IF('ERROR FINAL'!AT263="CONFORME","CONFORME","NO CONFORME")</f>
        <v>NO CONFORME</v>
      </c>
      <c r="I259" s="68" t="str">
        <f t="shared" si="3"/>
        <v>Medición</v>
      </c>
    </row>
    <row r="260" spans="1:9" x14ac:dyDescent="0.25">
      <c r="A260" s="61">
        <f>'ERROR FINAL'!A264</f>
        <v>256</v>
      </c>
      <c r="B260" s="62">
        <f>'ERROR FINAL'!D264</f>
        <v>3</v>
      </c>
      <c r="C260" s="63">
        <f>'ERROR FINAL'!G264</f>
        <v>0</v>
      </c>
      <c r="D260" s="64">
        <f>'ERROR FINAL'!I264</f>
        <v>0</v>
      </c>
      <c r="E260" s="65">
        <f>'ERROR FINAL'!U264</f>
        <v>-100</v>
      </c>
      <c r="F260" s="66">
        <f>'ERROR FINAL'!AG264</f>
        <v>-100</v>
      </c>
      <c r="G260" s="66">
        <f>'ERROR FINAL'!AS264</f>
        <v>-100</v>
      </c>
      <c r="H260" s="67" t="str">
        <f>IF('ERROR FINAL'!AT264="CONFORME","CONFORME","NO CONFORME")</f>
        <v>NO CONFORME</v>
      </c>
      <c r="I260" s="68" t="str">
        <f t="shared" si="3"/>
        <v>Medición</v>
      </c>
    </row>
    <row r="261" spans="1:9" x14ac:dyDescent="0.25">
      <c r="A261" s="61">
        <f>'ERROR FINAL'!A265</f>
        <v>257</v>
      </c>
      <c r="B261" s="62">
        <f>'ERROR FINAL'!D265</f>
        <v>3</v>
      </c>
      <c r="C261" s="63">
        <f>'ERROR FINAL'!G265</f>
        <v>0</v>
      </c>
      <c r="D261" s="64">
        <f>'ERROR FINAL'!I265</f>
        <v>0</v>
      </c>
      <c r="E261" s="65">
        <f>'ERROR FINAL'!U265</f>
        <v>-100</v>
      </c>
      <c r="F261" s="66">
        <f>'ERROR FINAL'!AG265</f>
        <v>-100</v>
      </c>
      <c r="G261" s="66">
        <f>'ERROR FINAL'!AS265</f>
        <v>-100</v>
      </c>
      <c r="H261" s="67" t="str">
        <f>IF('ERROR FINAL'!AT265="CONFORME","CONFORME","NO CONFORME")</f>
        <v>NO CONFORME</v>
      </c>
      <c r="I261" s="68" t="str">
        <f t="shared" si="3"/>
        <v>Medición</v>
      </c>
    </row>
    <row r="262" spans="1:9" x14ac:dyDescent="0.25">
      <c r="A262" s="61">
        <f>'ERROR FINAL'!A266</f>
        <v>258</v>
      </c>
      <c r="B262" s="62">
        <f>'ERROR FINAL'!D266</f>
        <v>3</v>
      </c>
      <c r="C262" s="63">
        <f>'ERROR FINAL'!G266</f>
        <v>0</v>
      </c>
      <c r="D262" s="64">
        <f>'ERROR FINAL'!I266</f>
        <v>0</v>
      </c>
      <c r="E262" s="65">
        <f>'ERROR FINAL'!U266</f>
        <v>-100</v>
      </c>
      <c r="F262" s="66">
        <f>'ERROR FINAL'!AG266</f>
        <v>-100</v>
      </c>
      <c r="G262" s="66">
        <f>'ERROR FINAL'!AS266</f>
        <v>-100</v>
      </c>
      <c r="H262" s="67" t="str">
        <f>IF('ERROR FINAL'!AT266="CONFORME","CONFORME","NO CONFORME")</f>
        <v>NO CONFORME</v>
      </c>
      <c r="I262" s="68" t="str">
        <f t="shared" si="3"/>
        <v>Medición</v>
      </c>
    </row>
    <row r="263" spans="1:9" x14ac:dyDescent="0.25">
      <c r="A263" s="61">
        <f>'ERROR FINAL'!A267</f>
        <v>259</v>
      </c>
      <c r="B263" s="62">
        <f>'ERROR FINAL'!D267</f>
        <v>3</v>
      </c>
      <c r="C263" s="63">
        <f>'ERROR FINAL'!G267</f>
        <v>0</v>
      </c>
      <c r="D263" s="64">
        <f>'ERROR FINAL'!I267</f>
        <v>0</v>
      </c>
      <c r="E263" s="65">
        <f>'ERROR FINAL'!U267</f>
        <v>-100</v>
      </c>
      <c r="F263" s="66">
        <f>'ERROR FINAL'!AG267</f>
        <v>-100</v>
      </c>
      <c r="G263" s="66">
        <f>'ERROR FINAL'!AS267</f>
        <v>-100</v>
      </c>
      <c r="H263" s="67" t="str">
        <f>IF('ERROR FINAL'!AT267="CONFORME","CONFORME","NO CONFORME")</f>
        <v>NO CONFORME</v>
      </c>
      <c r="I263" s="68" t="str">
        <f t="shared" ref="I263:I326" si="4">IF(D263=0,"Medición",IF(D263=1,"Daño físico",IF(D263=2,"Fuga",IF(D263=3,"Picado",IF(D263=4,"Desfasado",IF(D263=5,"Paralizado","¿?"))))))</f>
        <v>Medición</v>
      </c>
    </row>
    <row r="264" spans="1:9" x14ac:dyDescent="0.25">
      <c r="A264" s="61">
        <f>'ERROR FINAL'!A268</f>
        <v>260</v>
      </c>
      <c r="B264" s="62">
        <f>'ERROR FINAL'!D268</f>
        <v>3</v>
      </c>
      <c r="C264" s="63">
        <f>'ERROR FINAL'!G268</f>
        <v>0</v>
      </c>
      <c r="D264" s="64">
        <f>'ERROR FINAL'!I268</f>
        <v>0</v>
      </c>
      <c r="E264" s="65">
        <f>'ERROR FINAL'!U268</f>
        <v>-100</v>
      </c>
      <c r="F264" s="66">
        <f>'ERROR FINAL'!AG268</f>
        <v>-100</v>
      </c>
      <c r="G264" s="66">
        <f>'ERROR FINAL'!AS268</f>
        <v>-100</v>
      </c>
      <c r="H264" s="67" t="str">
        <f>IF('ERROR FINAL'!AT268="CONFORME","CONFORME","NO CONFORME")</f>
        <v>NO CONFORME</v>
      </c>
      <c r="I264" s="68" t="str">
        <f t="shared" si="4"/>
        <v>Medición</v>
      </c>
    </row>
    <row r="265" spans="1:9" x14ac:dyDescent="0.25">
      <c r="A265" s="61">
        <f>'ERROR FINAL'!A269</f>
        <v>261</v>
      </c>
      <c r="B265" s="62">
        <f>'ERROR FINAL'!D269</f>
        <v>3</v>
      </c>
      <c r="C265" s="63">
        <f>'ERROR FINAL'!G269</f>
        <v>0</v>
      </c>
      <c r="D265" s="64">
        <f>'ERROR FINAL'!I269</f>
        <v>0</v>
      </c>
      <c r="E265" s="65">
        <f>'ERROR FINAL'!U269</f>
        <v>-100</v>
      </c>
      <c r="F265" s="66">
        <f>'ERROR FINAL'!AG269</f>
        <v>-100</v>
      </c>
      <c r="G265" s="66">
        <f>'ERROR FINAL'!AS269</f>
        <v>-100</v>
      </c>
      <c r="H265" s="67" t="str">
        <f>IF('ERROR FINAL'!AT269="CONFORME","CONFORME","NO CONFORME")</f>
        <v>NO CONFORME</v>
      </c>
      <c r="I265" s="68" t="str">
        <f t="shared" si="4"/>
        <v>Medición</v>
      </c>
    </row>
    <row r="266" spans="1:9" x14ac:dyDescent="0.25">
      <c r="A266" s="61">
        <f>'ERROR FINAL'!A270</f>
        <v>262</v>
      </c>
      <c r="B266" s="62">
        <f>'ERROR FINAL'!D270</f>
        <v>3</v>
      </c>
      <c r="C266" s="63">
        <f>'ERROR FINAL'!G270</f>
        <v>0</v>
      </c>
      <c r="D266" s="64">
        <f>'ERROR FINAL'!I270</f>
        <v>0</v>
      </c>
      <c r="E266" s="65">
        <f>'ERROR FINAL'!U270</f>
        <v>-100</v>
      </c>
      <c r="F266" s="66">
        <f>'ERROR FINAL'!AG270</f>
        <v>-100</v>
      </c>
      <c r="G266" s="66">
        <f>'ERROR FINAL'!AS270</f>
        <v>-100</v>
      </c>
      <c r="H266" s="67" t="str">
        <f>IF('ERROR FINAL'!AT270="CONFORME","CONFORME","NO CONFORME")</f>
        <v>NO CONFORME</v>
      </c>
      <c r="I266" s="68" t="str">
        <f t="shared" si="4"/>
        <v>Medición</v>
      </c>
    </row>
    <row r="267" spans="1:9" x14ac:dyDescent="0.25">
      <c r="A267" s="61">
        <f>'ERROR FINAL'!A271</f>
        <v>263</v>
      </c>
      <c r="B267" s="62">
        <f>'ERROR FINAL'!D271</f>
        <v>3</v>
      </c>
      <c r="C267" s="63">
        <f>'ERROR FINAL'!G271</f>
        <v>0</v>
      </c>
      <c r="D267" s="64">
        <f>'ERROR FINAL'!I271</f>
        <v>0</v>
      </c>
      <c r="E267" s="65">
        <f>'ERROR FINAL'!U271</f>
        <v>-100</v>
      </c>
      <c r="F267" s="66">
        <f>'ERROR FINAL'!AG271</f>
        <v>-100</v>
      </c>
      <c r="G267" s="66">
        <f>'ERROR FINAL'!AS271</f>
        <v>-100</v>
      </c>
      <c r="H267" s="67" t="str">
        <f>IF('ERROR FINAL'!AT271="CONFORME","CONFORME","NO CONFORME")</f>
        <v>NO CONFORME</v>
      </c>
      <c r="I267" s="68" t="str">
        <f t="shared" si="4"/>
        <v>Medición</v>
      </c>
    </row>
    <row r="268" spans="1:9" x14ac:dyDescent="0.25">
      <c r="A268" s="61">
        <f>'ERROR FINAL'!A272</f>
        <v>264</v>
      </c>
      <c r="B268" s="62">
        <f>'ERROR FINAL'!D272</f>
        <v>3</v>
      </c>
      <c r="C268" s="63">
        <f>'ERROR FINAL'!G272</f>
        <v>0</v>
      </c>
      <c r="D268" s="64">
        <f>'ERROR FINAL'!I272</f>
        <v>0</v>
      </c>
      <c r="E268" s="65">
        <f>'ERROR FINAL'!U272</f>
        <v>-100</v>
      </c>
      <c r="F268" s="66">
        <f>'ERROR FINAL'!AG272</f>
        <v>-100</v>
      </c>
      <c r="G268" s="66">
        <f>'ERROR FINAL'!AS272</f>
        <v>-100</v>
      </c>
      <c r="H268" s="67" t="str">
        <f>IF('ERROR FINAL'!AT272="CONFORME","CONFORME","NO CONFORME")</f>
        <v>NO CONFORME</v>
      </c>
      <c r="I268" s="68" t="str">
        <f t="shared" si="4"/>
        <v>Medición</v>
      </c>
    </row>
    <row r="269" spans="1:9" x14ac:dyDescent="0.25">
      <c r="A269" s="61">
        <f>'ERROR FINAL'!A273</f>
        <v>265</v>
      </c>
      <c r="B269" s="62">
        <f>'ERROR FINAL'!D273</f>
        <v>3</v>
      </c>
      <c r="C269" s="63">
        <f>'ERROR FINAL'!G273</f>
        <v>0</v>
      </c>
      <c r="D269" s="64">
        <f>'ERROR FINAL'!I273</f>
        <v>0</v>
      </c>
      <c r="E269" s="65">
        <f>'ERROR FINAL'!U273</f>
        <v>-100</v>
      </c>
      <c r="F269" s="66">
        <f>'ERROR FINAL'!AG273</f>
        <v>-100</v>
      </c>
      <c r="G269" s="66">
        <f>'ERROR FINAL'!AS273</f>
        <v>-100</v>
      </c>
      <c r="H269" s="67" t="str">
        <f>IF('ERROR FINAL'!AT273="CONFORME","CONFORME","NO CONFORME")</f>
        <v>NO CONFORME</v>
      </c>
      <c r="I269" s="68" t="str">
        <f t="shared" si="4"/>
        <v>Medición</v>
      </c>
    </row>
    <row r="270" spans="1:9" x14ac:dyDescent="0.25">
      <c r="A270" s="61">
        <f>'ERROR FINAL'!A274</f>
        <v>266</v>
      </c>
      <c r="B270" s="62">
        <f>'ERROR FINAL'!D274</f>
        <v>3</v>
      </c>
      <c r="C270" s="63">
        <f>'ERROR FINAL'!G274</f>
        <v>0</v>
      </c>
      <c r="D270" s="64">
        <f>'ERROR FINAL'!I274</f>
        <v>0</v>
      </c>
      <c r="E270" s="65">
        <f>'ERROR FINAL'!U274</f>
        <v>-100</v>
      </c>
      <c r="F270" s="66">
        <f>'ERROR FINAL'!AG274</f>
        <v>-100</v>
      </c>
      <c r="G270" s="66">
        <f>'ERROR FINAL'!AS274</f>
        <v>-100</v>
      </c>
      <c r="H270" s="67" t="str">
        <f>IF('ERROR FINAL'!AT274="CONFORME","CONFORME","NO CONFORME")</f>
        <v>NO CONFORME</v>
      </c>
      <c r="I270" s="68" t="str">
        <f t="shared" si="4"/>
        <v>Medición</v>
      </c>
    </row>
    <row r="271" spans="1:9" x14ac:dyDescent="0.25">
      <c r="A271" s="61">
        <f>'ERROR FINAL'!A275</f>
        <v>267</v>
      </c>
      <c r="B271" s="62">
        <f>'ERROR FINAL'!D275</f>
        <v>3</v>
      </c>
      <c r="C271" s="63">
        <f>'ERROR FINAL'!G275</f>
        <v>0</v>
      </c>
      <c r="D271" s="64">
        <f>'ERROR FINAL'!I275</f>
        <v>0</v>
      </c>
      <c r="E271" s="65">
        <f>'ERROR FINAL'!U275</f>
        <v>-100</v>
      </c>
      <c r="F271" s="66">
        <f>'ERROR FINAL'!AG275</f>
        <v>-100</v>
      </c>
      <c r="G271" s="66">
        <f>'ERROR FINAL'!AS275</f>
        <v>-100</v>
      </c>
      <c r="H271" s="67" t="str">
        <f>IF('ERROR FINAL'!AT275="CONFORME","CONFORME","NO CONFORME")</f>
        <v>NO CONFORME</v>
      </c>
      <c r="I271" s="68" t="str">
        <f t="shared" si="4"/>
        <v>Medición</v>
      </c>
    </row>
    <row r="272" spans="1:9" x14ac:dyDescent="0.25">
      <c r="A272" s="61">
        <f>'ERROR FINAL'!A276</f>
        <v>268</v>
      </c>
      <c r="B272" s="62">
        <f>'ERROR FINAL'!D276</f>
        <v>3</v>
      </c>
      <c r="C272" s="63">
        <f>'ERROR FINAL'!G276</f>
        <v>0</v>
      </c>
      <c r="D272" s="64">
        <f>'ERROR FINAL'!I276</f>
        <v>0</v>
      </c>
      <c r="E272" s="65">
        <f>'ERROR FINAL'!U276</f>
        <v>-100</v>
      </c>
      <c r="F272" s="66">
        <f>'ERROR FINAL'!AG276</f>
        <v>-100</v>
      </c>
      <c r="G272" s="66">
        <f>'ERROR FINAL'!AS276</f>
        <v>-100</v>
      </c>
      <c r="H272" s="67" t="str">
        <f>IF('ERROR FINAL'!AT276="CONFORME","CONFORME","NO CONFORME")</f>
        <v>NO CONFORME</v>
      </c>
      <c r="I272" s="68" t="str">
        <f t="shared" si="4"/>
        <v>Medición</v>
      </c>
    </row>
    <row r="273" spans="1:9" x14ac:dyDescent="0.25">
      <c r="A273" s="61">
        <f>'ERROR FINAL'!A277</f>
        <v>269</v>
      </c>
      <c r="B273" s="62">
        <f>'ERROR FINAL'!D277</f>
        <v>3</v>
      </c>
      <c r="C273" s="63">
        <f>'ERROR FINAL'!G277</f>
        <v>0</v>
      </c>
      <c r="D273" s="64">
        <f>'ERROR FINAL'!I277</f>
        <v>0</v>
      </c>
      <c r="E273" s="65">
        <f>'ERROR FINAL'!U277</f>
        <v>-100</v>
      </c>
      <c r="F273" s="66">
        <f>'ERROR FINAL'!AG277</f>
        <v>-100</v>
      </c>
      <c r="G273" s="66">
        <f>'ERROR FINAL'!AS277</f>
        <v>-100</v>
      </c>
      <c r="H273" s="67" t="str">
        <f>IF('ERROR FINAL'!AT277="CONFORME","CONFORME","NO CONFORME")</f>
        <v>NO CONFORME</v>
      </c>
      <c r="I273" s="68" t="str">
        <f t="shared" si="4"/>
        <v>Medición</v>
      </c>
    </row>
    <row r="274" spans="1:9" x14ac:dyDescent="0.25">
      <c r="A274" s="61">
        <f>'ERROR FINAL'!A278</f>
        <v>270</v>
      </c>
      <c r="B274" s="62">
        <f>'ERROR FINAL'!D278</f>
        <v>3</v>
      </c>
      <c r="C274" s="63">
        <f>'ERROR FINAL'!G278</f>
        <v>0</v>
      </c>
      <c r="D274" s="64">
        <f>'ERROR FINAL'!I278</f>
        <v>0</v>
      </c>
      <c r="E274" s="65">
        <f>'ERROR FINAL'!U278</f>
        <v>-100</v>
      </c>
      <c r="F274" s="66">
        <f>'ERROR FINAL'!AG278</f>
        <v>-100</v>
      </c>
      <c r="G274" s="66">
        <f>'ERROR FINAL'!AS278</f>
        <v>-100</v>
      </c>
      <c r="H274" s="67" t="str">
        <f>IF('ERROR FINAL'!AT278="CONFORME","CONFORME","NO CONFORME")</f>
        <v>NO CONFORME</v>
      </c>
      <c r="I274" s="68" t="str">
        <f t="shared" si="4"/>
        <v>Medición</v>
      </c>
    </row>
    <row r="275" spans="1:9" x14ac:dyDescent="0.25">
      <c r="A275" s="61">
        <f>'ERROR FINAL'!A279</f>
        <v>271</v>
      </c>
      <c r="B275" s="62">
        <f>'ERROR FINAL'!D279</f>
        <v>3</v>
      </c>
      <c r="C275" s="63">
        <f>'ERROR FINAL'!G279</f>
        <v>0</v>
      </c>
      <c r="D275" s="64">
        <f>'ERROR FINAL'!I279</f>
        <v>0</v>
      </c>
      <c r="E275" s="65">
        <f>'ERROR FINAL'!U279</f>
        <v>-100</v>
      </c>
      <c r="F275" s="66">
        <f>'ERROR FINAL'!AG279</f>
        <v>-100</v>
      </c>
      <c r="G275" s="66">
        <f>'ERROR FINAL'!AS279</f>
        <v>-100</v>
      </c>
      <c r="H275" s="67" t="str">
        <f>IF('ERROR FINAL'!AT279="CONFORME","CONFORME","NO CONFORME")</f>
        <v>NO CONFORME</v>
      </c>
      <c r="I275" s="68" t="str">
        <f t="shared" si="4"/>
        <v>Medición</v>
      </c>
    </row>
    <row r="276" spans="1:9" x14ac:dyDescent="0.25">
      <c r="A276" s="61">
        <f>'ERROR FINAL'!A280</f>
        <v>272</v>
      </c>
      <c r="B276" s="62">
        <f>'ERROR FINAL'!D280</f>
        <v>3</v>
      </c>
      <c r="C276" s="63">
        <f>'ERROR FINAL'!G280</f>
        <v>0</v>
      </c>
      <c r="D276" s="64">
        <f>'ERROR FINAL'!I280</f>
        <v>0</v>
      </c>
      <c r="E276" s="65">
        <f>'ERROR FINAL'!U280</f>
        <v>-100</v>
      </c>
      <c r="F276" s="66">
        <f>'ERROR FINAL'!AG280</f>
        <v>-100</v>
      </c>
      <c r="G276" s="66">
        <f>'ERROR FINAL'!AS280</f>
        <v>-100</v>
      </c>
      <c r="H276" s="67" t="str">
        <f>IF('ERROR FINAL'!AT280="CONFORME","CONFORME","NO CONFORME")</f>
        <v>NO CONFORME</v>
      </c>
      <c r="I276" s="68" t="str">
        <f t="shared" si="4"/>
        <v>Medición</v>
      </c>
    </row>
    <row r="277" spans="1:9" x14ac:dyDescent="0.25">
      <c r="A277" s="61">
        <f>'ERROR FINAL'!A281</f>
        <v>273</v>
      </c>
      <c r="B277" s="62">
        <f>'ERROR FINAL'!D281</f>
        <v>3</v>
      </c>
      <c r="C277" s="63">
        <f>'ERROR FINAL'!G281</f>
        <v>0</v>
      </c>
      <c r="D277" s="64">
        <f>'ERROR FINAL'!I281</f>
        <v>0</v>
      </c>
      <c r="E277" s="65">
        <f>'ERROR FINAL'!U281</f>
        <v>-100</v>
      </c>
      <c r="F277" s="66">
        <f>'ERROR FINAL'!AG281</f>
        <v>-100</v>
      </c>
      <c r="G277" s="66">
        <f>'ERROR FINAL'!AS281</f>
        <v>-100</v>
      </c>
      <c r="H277" s="67" t="str">
        <f>IF('ERROR FINAL'!AT281="CONFORME","CONFORME","NO CONFORME")</f>
        <v>NO CONFORME</v>
      </c>
      <c r="I277" s="68" t="str">
        <f t="shared" si="4"/>
        <v>Medición</v>
      </c>
    </row>
    <row r="278" spans="1:9" x14ac:dyDescent="0.25">
      <c r="A278" s="61">
        <f>'ERROR FINAL'!A282</f>
        <v>274</v>
      </c>
      <c r="B278" s="62">
        <f>'ERROR FINAL'!D282</f>
        <v>3</v>
      </c>
      <c r="C278" s="63">
        <f>'ERROR FINAL'!G282</f>
        <v>0</v>
      </c>
      <c r="D278" s="64">
        <f>'ERROR FINAL'!I282</f>
        <v>0</v>
      </c>
      <c r="E278" s="65">
        <f>'ERROR FINAL'!U282</f>
        <v>-100</v>
      </c>
      <c r="F278" s="66">
        <f>'ERROR FINAL'!AG282</f>
        <v>-100</v>
      </c>
      <c r="G278" s="66">
        <f>'ERROR FINAL'!AS282</f>
        <v>-100</v>
      </c>
      <c r="H278" s="67" t="str">
        <f>IF('ERROR FINAL'!AT282="CONFORME","CONFORME","NO CONFORME")</f>
        <v>NO CONFORME</v>
      </c>
      <c r="I278" s="68" t="str">
        <f t="shared" si="4"/>
        <v>Medición</v>
      </c>
    </row>
    <row r="279" spans="1:9" x14ac:dyDescent="0.25">
      <c r="A279" s="61">
        <f>'ERROR FINAL'!A283</f>
        <v>275</v>
      </c>
      <c r="B279" s="62">
        <f>'ERROR FINAL'!D283</f>
        <v>3</v>
      </c>
      <c r="C279" s="63">
        <f>'ERROR FINAL'!G283</f>
        <v>0</v>
      </c>
      <c r="D279" s="64">
        <f>'ERROR FINAL'!I283</f>
        <v>0</v>
      </c>
      <c r="E279" s="65">
        <f>'ERROR FINAL'!U283</f>
        <v>-100</v>
      </c>
      <c r="F279" s="66">
        <f>'ERROR FINAL'!AG283</f>
        <v>-100</v>
      </c>
      <c r="G279" s="66">
        <f>'ERROR FINAL'!AS283</f>
        <v>-100</v>
      </c>
      <c r="H279" s="67" t="str">
        <f>IF('ERROR FINAL'!AT283="CONFORME","CONFORME","NO CONFORME")</f>
        <v>NO CONFORME</v>
      </c>
      <c r="I279" s="68" t="str">
        <f t="shared" si="4"/>
        <v>Medición</v>
      </c>
    </row>
    <row r="280" spans="1:9" x14ac:dyDescent="0.25">
      <c r="A280" s="61">
        <f>'ERROR FINAL'!A284</f>
        <v>276</v>
      </c>
      <c r="B280" s="62">
        <f>'ERROR FINAL'!D284</f>
        <v>3</v>
      </c>
      <c r="C280" s="63">
        <f>'ERROR FINAL'!G284</f>
        <v>0</v>
      </c>
      <c r="D280" s="64">
        <f>'ERROR FINAL'!I284</f>
        <v>0</v>
      </c>
      <c r="E280" s="65">
        <f>'ERROR FINAL'!U284</f>
        <v>-100</v>
      </c>
      <c r="F280" s="66">
        <f>'ERROR FINAL'!AG284</f>
        <v>-100</v>
      </c>
      <c r="G280" s="66">
        <f>'ERROR FINAL'!AS284</f>
        <v>-100</v>
      </c>
      <c r="H280" s="67" t="str">
        <f>IF('ERROR FINAL'!AT284="CONFORME","CONFORME","NO CONFORME")</f>
        <v>NO CONFORME</v>
      </c>
      <c r="I280" s="68" t="str">
        <f t="shared" si="4"/>
        <v>Medición</v>
      </c>
    </row>
    <row r="281" spans="1:9" x14ac:dyDescent="0.25">
      <c r="A281" s="61">
        <f>'ERROR FINAL'!A285</f>
        <v>277</v>
      </c>
      <c r="B281" s="62">
        <f>'ERROR FINAL'!D285</f>
        <v>3</v>
      </c>
      <c r="C281" s="63">
        <f>'ERROR FINAL'!G285</f>
        <v>0</v>
      </c>
      <c r="D281" s="64">
        <f>'ERROR FINAL'!I285</f>
        <v>0</v>
      </c>
      <c r="E281" s="65">
        <f>'ERROR FINAL'!U285</f>
        <v>-100</v>
      </c>
      <c r="F281" s="66">
        <f>'ERROR FINAL'!AG285</f>
        <v>-100</v>
      </c>
      <c r="G281" s="66">
        <f>'ERROR FINAL'!AS285</f>
        <v>-100</v>
      </c>
      <c r="H281" s="67" t="str">
        <f>IF('ERROR FINAL'!AT285="CONFORME","CONFORME","NO CONFORME")</f>
        <v>NO CONFORME</v>
      </c>
      <c r="I281" s="68" t="str">
        <f t="shared" si="4"/>
        <v>Medición</v>
      </c>
    </row>
    <row r="282" spans="1:9" x14ac:dyDescent="0.25">
      <c r="A282" s="61">
        <f>'ERROR FINAL'!A286</f>
        <v>278</v>
      </c>
      <c r="B282" s="62">
        <f>'ERROR FINAL'!D286</f>
        <v>3</v>
      </c>
      <c r="C282" s="63">
        <f>'ERROR FINAL'!G286</f>
        <v>0</v>
      </c>
      <c r="D282" s="64">
        <f>'ERROR FINAL'!I286</f>
        <v>0</v>
      </c>
      <c r="E282" s="65">
        <f>'ERROR FINAL'!U286</f>
        <v>-100</v>
      </c>
      <c r="F282" s="66">
        <f>'ERROR FINAL'!AG286</f>
        <v>-100</v>
      </c>
      <c r="G282" s="66">
        <f>'ERROR FINAL'!AS286</f>
        <v>-100</v>
      </c>
      <c r="H282" s="67" t="str">
        <f>IF('ERROR FINAL'!AT286="CONFORME","CONFORME","NO CONFORME")</f>
        <v>NO CONFORME</v>
      </c>
      <c r="I282" s="68" t="str">
        <f t="shared" si="4"/>
        <v>Medición</v>
      </c>
    </row>
    <row r="283" spans="1:9" x14ac:dyDescent="0.25">
      <c r="A283" s="61">
        <f>'ERROR FINAL'!A287</f>
        <v>279</v>
      </c>
      <c r="B283" s="62">
        <f>'ERROR FINAL'!D287</f>
        <v>3</v>
      </c>
      <c r="C283" s="63">
        <f>'ERROR FINAL'!G287</f>
        <v>0</v>
      </c>
      <c r="D283" s="64">
        <f>'ERROR FINAL'!I287</f>
        <v>0</v>
      </c>
      <c r="E283" s="65">
        <f>'ERROR FINAL'!U287</f>
        <v>-100</v>
      </c>
      <c r="F283" s="66">
        <f>'ERROR FINAL'!AG287</f>
        <v>-100</v>
      </c>
      <c r="G283" s="66">
        <f>'ERROR FINAL'!AS287</f>
        <v>-100</v>
      </c>
      <c r="H283" s="67" t="str">
        <f>IF('ERROR FINAL'!AT287="CONFORME","CONFORME","NO CONFORME")</f>
        <v>NO CONFORME</v>
      </c>
      <c r="I283" s="68" t="str">
        <f t="shared" si="4"/>
        <v>Medición</v>
      </c>
    </row>
    <row r="284" spans="1:9" x14ac:dyDescent="0.25">
      <c r="A284" s="61">
        <f>'ERROR FINAL'!A288</f>
        <v>280</v>
      </c>
      <c r="B284" s="62">
        <f>'ERROR FINAL'!D288</f>
        <v>3</v>
      </c>
      <c r="C284" s="63">
        <f>'ERROR FINAL'!G288</f>
        <v>0</v>
      </c>
      <c r="D284" s="64">
        <f>'ERROR FINAL'!I288</f>
        <v>0</v>
      </c>
      <c r="E284" s="65">
        <f>'ERROR FINAL'!U288</f>
        <v>-100</v>
      </c>
      <c r="F284" s="66">
        <f>'ERROR FINAL'!AG288</f>
        <v>-100</v>
      </c>
      <c r="G284" s="66">
        <f>'ERROR FINAL'!AS288</f>
        <v>-100</v>
      </c>
      <c r="H284" s="67" t="str">
        <f>IF('ERROR FINAL'!AT288="CONFORME","CONFORME","NO CONFORME")</f>
        <v>NO CONFORME</v>
      </c>
      <c r="I284" s="68" t="str">
        <f t="shared" si="4"/>
        <v>Medición</v>
      </c>
    </row>
    <row r="285" spans="1:9" x14ac:dyDescent="0.25">
      <c r="A285" s="61">
        <f>'ERROR FINAL'!A289</f>
        <v>281</v>
      </c>
      <c r="B285" s="62">
        <f>'ERROR FINAL'!D289</f>
        <v>3</v>
      </c>
      <c r="C285" s="63">
        <f>'ERROR FINAL'!G289</f>
        <v>0</v>
      </c>
      <c r="D285" s="64">
        <f>'ERROR FINAL'!I289</f>
        <v>0</v>
      </c>
      <c r="E285" s="65">
        <f>'ERROR FINAL'!U289</f>
        <v>-100</v>
      </c>
      <c r="F285" s="66">
        <f>'ERROR FINAL'!AG289</f>
        <v>-100</v>
      </c>
      <c r="G285" s="66">
        <f>'ERROR FINAL'!AS289</f>
        <v>-100</v>
      </c>
      <c r="H285" s="67" t="str">
        <f>IF('ERROR FINAL'!AT289="CONFORME","CONFORME","NO CONFORME")</f>
        <v>NO CONFORME</v>
      </c>
      <c r="I285" s="68" t="str">
        <f t="shared" si="4"/>
        <v>Medición</v>
      </c>
    </row>
    <row r="286" spans="1:9" x14ac:dyDescent="0.25">
      <c r="A286" s="61">
        <f>'ERROR FINAL'!A290</f>
        <v>282</v>
      </c>
      <c r="B286" s="62">
        <f>'ERROR FINAL'!D290</f>
        <v>3</v>
      </c>
      <c r="C286" s="63">
        <f>'ERROR FINAL'!G290</f>
        <v>0</v>
      </c>
      <c r="D286" s="64">
        <f>'ERROR FINAL'!I290</f>
        <v>0</v>
      </c>
      <c r="E286" s="65">
        <f>'ERROR FINAL'!U290</f>
        <v>-100</v>
      </c>
      <c r="F286" s="66">
        <f>'ERROR FINAL'!AG290</f>
        <v>-100</v>
      </c>
      <c r="G286" s="66">
        <f>'ERROR FINAL'!AS290</f>
        <v>-100</v>
      </c>
      <c r="H286" s="67" t="str">
        <f>IF('ERROR FINAL'!AT290="CONFORME","CONFORME","NO CONFORME")</f>
        <v>NO CONFORME</v>
      </c>
      <c r="I286" s="68" t="str">
        <f t="shared" si="4"/>
        <v>Medición</v>
      </c>
    </row>
    <row r="287" spans="1:9" x14ac:dyDescent="0.25">
      <c r="A287" s="61">
        <f>'ERROR FINAL'!A291</f>
        <v>283</v>
      </c>
      <c r="B287" s="62">
        <f>'ERROR FINAL'!D291</f>
        <v>3</v>
      </c>
      <c r="C287" s="63">
        <f>'ERROR FINAL'!G291</f>
        <v>0</v>
      </c>
      <c r="D287" s="64">
        <f>'ERROR FINAL'!I291</f>
        <v>0</v>
      </c>
      <c r="E287" s="65">
        <f>'ERROR FINAL'!U291</f>
        <v>-100</v>
      </c>
      <c r="F287" s="66">
        <f>'ERROR FINAL'!AG291</f>
        <v>-100</v>
      </c>
      <c r="G287" s="66">
        <f>'ERROR FINAL'!AS291</f>
        <v>-100</v>
      </c>
      <c r="H287" s="67" t="str">
        <f>IF('ERROR FINAL'!AT291="CONFORME","CONFORME","NO CONFORME")</f>
        <v>NO CONFORME</v>
      </c>
      <c r="I287" s="68" t="str">
        <f t="shared" si="4"/>
        <v>Medición</v>
      </c>
    </row>
    <row r="288" spans="1:9" x14ac:dyDescent="0.25">
      <c r="A288" s="61">
        <f>'ERROR FINAL'!A292</f>
        <v>284</v>
      </c>
      <c r="B288" s="62">
        <f>'ERROR FINAL'!D292</f>
        <v>3</v>
      </c>
      <c r="C288" s="63">
        <f>'ERROR FINAL'!G292</f>
        <v>0</v>
      </c>
      <c r="D288" s="64">
        <f>'ERROR FINAL'!I292</f>
        <v>0</v>
      </c>
      <c r="E288" s="65">
        <f>'ERROR FINAL'!U292</f>
        <v>-100</v>
      </c>
      <c r="F288" s="66">
        <f>'ERROR FINAL'!AG292</f>
        <v>-100</v>
      </c>
      <c r="G288" s="66">
        <f>'ERROR FINAL'!AS292</f>
        <v>-100</v>
      </c>
      <c r="H288" s="67" t="str">
        <f>IF('ERROR FINAL'!AT292="CONFORME","CONFORME","NO CONFORME")</f>
        <v>NO CONFORME</v>
      </c>
      <c r="I288" s="68" t="str">
        <f t="shared" si="4"/>
        <v>Medición</v>
      </c>
    </row>
    <row r="289" spans="1:9" x14ac:dyDescent="0.25">
      <c r="A289" s="61">
        <f>'ERROR FINAL'!A293</f>
        <v>285</v>
      </c>
      <c r="B289" s="62">
        <f>'ERROR FINAL'!D293</f>
        <v>3</v>
      </c>
      <c r="C289" s="63">
        <f>'ERROR FINAL'!G293</f>
        <v>0</v>
      </c>
      <c r="D289" s="64">
        <f>'ERROR FINAL'!I293</f>
        <v>0</v>
      </c>
      <c r="E289" s="65">
        <f>'ERROR FINAL'!U293</f>
        <v>-100</v>
      </c>
      <c r="F289" s="66">
        <f>'ERROR FINAL'!AG293</f>
        <v>-100</v>
      </c>
      <c r="G289" s="66">
        <f>'ERROR FINAL'!AS293</f>
        <v>-100</v>
      </c>
      <c r="H289" s="67" t="str">
        <f>IF('ERROR FINAL'!AT293="CONFORME","CONFORME","NO CONFORME")</f>
        <v>NO CONFORME</v>
      </c>
      <c r="I289" s="68" t="str">
        <f t="shared" si="4"/>
        <v>Medición</v>
      </c>
    </row>
    <row r="290" spans="1:9" x14ac:dyDescent="0.25">
      <c r="A290" s="61">
        <f>'ERROR FINAL'!A294</f>
        <v>286</v>
      </c>
      <c r="B290" s="62">
        <f>'ERROR FINAL'!D294</f>
        <v>3</v>
      </c>
      <c r="C290" s="63">
        <f>'ERROR FINAL'!G294</f>
        <v>0</v>
      </c>
      <c r="D290" s="64">
        <f>'ERROR FINAL'!I294</f>
        <v>0</v>
      </c>
      <c r="E290" s="65">
        <f>'ERROR FINAL'!U294</f>
        <v>-100</v>
      </c>
      <c r="F290" s="66">
        <f>'ERROR FINAL'!AG294</f>
        <v>-100</v>
      </c>
      <c r="G290" s="66">
        <f>'ERROR FINAL'!AS294</f>
        <v>-100</v>
      </c>
      <c r="H290" s="67" t="str">
        <f>IF('ERROR FINAL'!AT294="CONFORME","CONFORME","NO CONFORME")</f>
        <v>NO CONFORME</v>
      </c>
      <c r="I290" s="68" t="str">
        <f t="shared" si="4"/>
        <v>Medición</v>
      </c>
    </row>
    <row r="291" spans="1:9" x14ac:dyDescent="0.25">
      <c r="A291" s="61">
        <f>'ERROR FINAL'!A295</f>
        <v>287</v>
      </c>
      <c r="B291" s="62">
        <f>'ERROR FINAL'!D295</f>
        <v>3</v>
      </c>
      <c r="C291" s="63">
        <f>'ERROR FINAL'!G295</f>
        <v>0</v>
      </c>
      <c r="D291" s="64">
        <f>'ERROR FINAL'!I295</f>
        <v>0</v>
      </c>
      <c r="E291" s="65">
        <f>'ERROR FINAL'!U295</f>
        <v>-100</v>
      </c>
      <c r="F291" s="66">
        <f>'ERROR FINAL'!AG295</f>
        <v>-100</v>
      </c>
      <c r="G291" s="66">
        <f>'ERROR FINAL'!AS295</f>
        <v>-100</v>
      </c>
      <c r="H291" s="67" t="str">
        <f>IF('ERROR FINAL'!AT295="CONFORME","CONFORME","NO CONFORME")</f>
        <v>NO CONFORME</v>
      </c>
      <c r="I291" s="68" t="str">
        <f t="shared" si="4"/>
        <v>Medición</v>
      </c>
    </row>
    <row r="292" spans="1:9" x14ac:dyDescent="0.25">
      <c r="A292" s="61">
        <f>'ERROR FINAL'!A296</f>
        <v>288</v>
      </c>
      <c r="B292" s="62">
        <f>'ERROR FINAL'!D296</f>
        <v>3</v>
      </c>
      <c r="C292" s="63">
        <f>'ERROR FINAL'!G296</f>
        <v>0</v>
      </c>
      <c r="D292" s="64">
        <f>'ERROR FINAL'!I296</f>
        <v>0</v>
      </c>
      <c r="E292" s="65">
        <f>'ERROR FINAL'!U296</f>
        <v>-100</v>
      </c>
      <c r="F292" s="66">
        <f>'ERROR FINAL'!AG296</f>
        <v>-100</v>
      </c>
      <c r="G292" s="66">
        <f>'ERROR FINAL'!AS296</f>
        <v>-100</v>
      </c>
      <c r="H292" s="67" t="str">
        <f>IF('ERROR FINAL'!AT296="CONFORME","CONFORME","NO CONFORME")</f>
        <v>NO CONFORME</v>
      </c>
      <c r="I292" s="68" t="str">
        <f t="shared" si="4"/>
        <v>Medición</v>
      </c>
    </row>
    <row r="293" spans="1:9" x14ac:dyDescent="0.25">
      <c r="A293" s="61">
        <f>'ERROR FINAL'!A297</f>
        <v>289</v>
      </c>
      <c r="B293" s="62">
        <f>'ERROR FINAL'!D297</f>
        <v>3</v>
      </c>
      <c r="C293" s="63">
        <f>'ERROR FINAL'!G297</f>
        <v>0</v>
      </c>
      <c r="D293" s="64">
        <f>'ERROR FINAL'!I297</f>
        <v>0</v>
      </c>
      <c r="E293" s="65">
        <f>'ERROR FINAL'!U297</f>
        <v>-100</v>
      </c>
      <c r="F293" s="66">
        <f>'ERROR FINAL'!AG297</f>
        <v>-100</v>
      </c>
      <c r="G293" s="66">
        <f>'ERROR FINAL'!AS297</f>
        <v>-100</v>
      </c>
      <c r="H293" s="67" t="str">
        <f>IF('ERROR FINAL'!AT297="CONFORME","CONFORME","NO CONFORME")</f>
        <v>NO CONFORME</v>
      </c>
      <c r="I293" s="68" t="str">
        <f t="shared" si="4"/>
        <v>Medición</v>
      </c>
    </row>
    <row r="294" spans="1:9" x14ac:dyDescent="0.25">
      <c r="A294" s="61">
        <f>'ERROR FINAL'!A298</f>
        <v>290</v>
      </c>
      <c r="B294" s="62">
        <f>'ERROR FINAL'!D298</f>
        <v>3</v>
      </c>
      <c r="C294" s="63">
        <f>'ERROR FINAL'!G298</f>
        <v>0</v>
      </c>
      <c r="D294" s="64">
        <f>'ERROR FINAL'!I298</f>
        <v>0</v>
      </c>
      <c r="E294" s="65">
        <f>'ERROR FINAL'!U298</f>
        <v>-100</v>
      </c>
      <c r="F294" s="66">
        <f>'ERROR FINAL'!AG298</f>
        <v>-100</v>
      </c>
      <c r="G294" s="66">
        <f>'ERROR FINAL'!AS298</f>
        <v>-100</v>
      </c>
      <c r="H294" s="67" t="str">
        <f>IF('ERROR FINAL'!AT298="CONFORME","CONFORME","NO CONFORME")</f>
        <v>NO CONFORME</v>
      </c>
      <c r="I294" s="68" t="str">
        <f t="shared" si="4"/>
        <v>Medición</v>
      </c>
    </row>
    <row r="295" spans="1:9" x14ac:dyDescent="0.25">
      <c r="A295" s="61">
        <f>'ERROR FINAL'!A299</f>
        <v>291</v>
      </c>
      <c r="B295" s="62">
        <f>'ERROR FINAL'!D299</f>
        <v>3</v>
      </c>
      <c r="C295" s="63">
        <f>'ERROR FINAL'!G299</f>
        <v>0</v>
      </c>
      <c r="D295" s="64">
        <f>'ERROR FINAL'!I299</f>
        <v>0</v>
      </c>
      <c r="E295" s="65">
        <f>'ERROR FINAL'!U299</f>
        <v>-100</v>
      </c>
      <c r="F295" s="66">
        <f>'ERROR FINAL'!AG299</f>
        <v>-100</v>
      </c>
      <c r="G295" s="66">
        <f>'ERROR FINAL'!AS299</f>
        <v>-100</v>
      </c>
      <c r="H295" s="67" t="str">
        <f>IF('ERROR FINAL'!AT299="CONFORME","CONFORME","NO CONFORME")</f>
        <v>NO CONFORME</v>
      </c>
      <c r="I295" s="68" t="str">
        <f t="shared" si="4"/>
        <v>Medición</v>
      </c>
    </row>
    <row r="296" spans="1:9" x14ac:dyDescent="0.25">
      <c r="A296" s="61">
        <f>'ERROR FINAL'!A300</f>
        <v>292</v>
      </c>
      <c r="B296" s="62">
        <f>'ERROR FINAL'!D300</f>
        <v>3</v>
      </c>
      <c r="C296" s="63">
        <f>'ERROR FINAL'!G300</f>
        <v>0</v>
      </c>
      <c r="D296" s="64">
        <f>'ERROR FINAL'!I300</f>
        <v>0</v>
      </c>
      <c r="E296" s="65">
        <f>'ERROR FINAL'!U300</f>
        <v>-100</v>
      </c>
      <c r="F296" s="66">
        <f>'ERROR FINAL'!AG300</f>
        <v>-100</v>
      </c>
      <c r="G296" s="66">
        <f>'ERROR FINAL'!AS300</f>
        <v>-100</v>
      </c>
      <c r="H296" s="67" t="str">
        <f>IF('ERROR FINAL'!AT300="CONFORME","CONFORME","NO CONFORME")</f>
        <v>NO CONFORME</v>
      </c>
      <c r="I296" s="68" t="str">
        <f t="shared" si="4"/>
        <v>Medición</v>
      </c>
    </row>
    <row r="297" spans="1:9" x14ac:dyDescent="0.25">
      <c r="A297" s="61">
        <f>'ERROR FINAL'!A301</f>
        <v>293</v>
      </c>
      <c r="B297" s="62">
        <f>'ERROR FINAL'!D301</f>
        <v>3</v>
      </c>
      <c r="C297" s="63">
        <f>'ERROR FINAL'!G301</f>
        <v>0</v>
      </c>
      <c r="D297" s="64">
        <f>'ERROR FINAL'!I301</f>
        <v>0</v>
      </c>
      <c r="E297" s="65">
        <f>'ERROR FINAL'!U301</f>
        <v>-100</v>
      </c>
      <c r="F297" s="66">
        <f>'ERROR FINAL'!AG301</f>
        <v>-100</v>
      </c>
      <c r="G297" s="66">
        <f>'ERROR FINAL'!AS301</f>
        <v>-100</v>
      </c>
      <c r="H297" s="67" t="str">
        <f>IF('ERROR FINAL'!AT301="CONFORME","CONFORME","NO CONFORME")</f>
        <v>NO CONFORME</v>
      </c>
      <c r="I297" s="68" t="str">
        <f t="shared" si="4"/>
        <v>Medición</v>
      </c>
    </row>
    <row r="298" spans="1:9" x14ac:dyDescent="0.25">
      <c r="A298" s="61">
        <f>'ERROR FINAL'!A302</f>
        <v>294</v>
      </c>
      <c r="B298" s="62">
        <f>'ERROR FINAL'!D302</f>
        <v>3</v>
      </c>
      <c r="C298" s="63">
        <f>'ERROR FINAL'!G302</f>
        <v>0</v>
      </c>
      <c r="D298" s="64">
        <f>'ERROR FINAL'!I302</f>
        <v>0</v>
      </c>
      <c r="E298" s="65">
        <f>'ERROR FINAL'!U302</f>
        <v>-100</v>
      </c>
      <c r="F298" s="66">
        <f>'ERROR FINAL'!AG302</f>
        <v>-100</v>
      </c>
      <c r="G298" s="66">
        <f>'ERROR FINAL'!AS302</f>
        <v>-100</v>
      </c>
      <c r="H298" s="67" t="str">
        <f>IF('ERROR FINAL'!AT302="CONFORME","CONFORME","NO CONFORME")</f>
        <v>NO CONFORME</v>
      </c>
      <c r="I298" s="68" t="str">
        <f t="shared" si="4"/>
        <v>Medición</v>
      </c>
    </row>
    <row r="299" spans="1:9" x14ac:dyDescent="0.25">
      <c r="A299" s="61">
        <f>'ERROR FINAL'!A303</f>
        <v>295</v>
      </c>
      <c r="B299" s="62">
        <f>'ERROR FINAL'!D303</f>
        <v>3</v>
      </c>
      <c r="C299" s="63">
        <f>'ERROR FINAL'!G303</f>
        <v>0</v>
      </c>
      <c r="D299" s="64">
        <f>'ERROR FINAL'!I303</f>
        <v>0</v>
      </c>
      <c r="E299" s="65">
        <f>'ERROR FINAL'!U303</f>
        <v>-100</v>
      </c>
      <c r="F299" s="66">
        <f>'ERROR FINAL'!AG303</f>
        <v>-100</v>
      </c>
      <c r="G299" s="66">
        <f>'ERROR FINAL'!AS303</f>
        <v>-100</v>
      </c>
      <c r="H299" s="67" t="str">
        <f>IF('ERROR FINAL'!AT303="CONFORME","CONFORME","NO CONFORME")</f>
        <v>NO CONFORME</v>
      </c>
      <c r="I299" s="68" t="str">
        <f t="shared" si="4"/>
        <v>Medición</v>
      </c>
    </row>
    <row r="300" spans="1:9" x14ac:dyDescent="0.25">
      <c r="A300" s="61">
        <f>'ERROR FINAL'!A304</f>
        <v>296</v>
      </c>
      <c r="B300" s="62">
        <f>'ERROR FINAL'!D304</f>
        <v>3</v>
      </c>
      <c r="C300" s="63">
        <f>'ERROR FINAL'!G304</f>
        <v>0</v>
      </c>
      <c r="D300" s="64">
        <f>'ERROR FINAL'!I304</f>
        <v>0</v>
      </c>
      <c r="E300" s="65">
        <f>'ERROR FINAL'!U304</f>
        <v>-100</v>
      </c>
      <c r="F300" s="66">
        <f>'ERROR FINAL'!AG304</f>
        <v>-100</v>
      </c>
      <c r="G300" s="66">
        <f>'ERROR FINAL'!AS304</f>
        <v>-100</v>
      </c>
      <c r="H300" s="67" t="str">
        <f>IF('ERROR FINAL'!AT304="CONFORME","CONFORME","NO CONFORME")</f>
        <v>NO CONFORME</v>
      </c>
      <c r="I300" s="68" t="str">
        <f t="shared" si="4"/>
        <v>Medición</v>
      </c>
    </row>
    <row r="301" spans="1:9" x14ac:dyDescent="0.25">
      <c r="A301" s="61">
        <f>'ERROR FINAL'!A305</f>
        <v>297</v>
      </c>
      <c r="B301" s="62">
        <f>'ERROR FINAL'!D305</f>
        <v>3</v>
      </c>
      <c r="C301" s="63">
        <f>'ERROR FINAL'!G305</f>
        <v>0</v>
      </c>
      <c r="D301" s="64">
        <f>'ERROR FINAL'!I305</f>
        <v>0</v>
      </c>
      <c r="E301" s="65">
        <f>'ERROR FINAL'!U305</f>
        <v>-100</v>
      </c>
      <c r="F301" s="66">
        <f>'ERROR FINAL'!AG305</f>
        <v>-100</v>
      </c>
      <c r="G301" s="66">
        <f>'ERROR FINAL'!AS305</f>
        <v>-100</v>
      </c>
      <c r="H301" s="67" t="str">
        <f>IF('ERROR FINAL'!AT305="CONFORME","CONFORME","NO CONFORME")</f>
        <v>NO CONFORME</v>
      </c>
      <c r="I301" s="68" t="str">
        <f t="shared" si="4"/>
        <v>Medición</v>
      </c>
    </row>
    <row r="302" spans="1:9" x14ac:dyDescent="0.25">
      <c r="A302" s="61">
        <f>'ERROR FINAL'!A306</f>
        <v>298</v>
      </c>
      <c r="B302" s="62">
        <f>'ERROR FINAL'!D306</f>
        <v>3</v>
      </c>
      <c r="C302" s="63">
        <f>'ERROR FINAL'!G306</f>
        <v>0</v>
      </c>
      <c r="D302" s="64">
        <f>'ERROR FINAL'!I306</f>
        <v>0</v>
      </c>
      <c r="E302" s="65">
        <f>'ERROR FINAL'!U306</f>
        <v>-100</v>
      </c>
      <c r="F302" s="66">
        <f>'ERROR FINAL'!AG306</f>
        <v>-100</v>
      </c>
      <c r="G302" s="66">
        <f>'ERROR FINAL'!AS306</f>
        <v>-100</v>
      </c>
      <c r="H302" s="67" t="str">
        <f>IF('ERROR FINAL'!AT306="CONFORME","CONFORME","NO CONFORME")</f>
        <v>NO CONFORME</v>
      </c>
      <c r="I302" s="68" t="str">
        <f t="shared" si="4"/>
        <v>Medición</v>
      </c>
    </row>
    <row r="303" spans="1:9" x14ac:dyDescent="0.25">
      <c r="A303" s="61">
        <f>'ERROR FINAL'!A307</f>
        <v>299</v>
      </c>
      <c r="B303" s="62">
        <f>'ERROR FINAL'!D307</f>
        <v>3</v>
      </c>
      <c r="C303" s="63">
        <f>'ERROR FINAL'!G307</f>
        <v>0</v>
      </c>
      <c r="D303" s="64">
        <f>'ERROR FINAL'!I307</f>
        <v>0</v>
      </c>
      <c r="E303" s="65">
        <f>'ERROR FINAL'!U307</f>
        <v>-100</v>
      </c>
      <c r="F303" s="66">
        <f>'ERROR FINAL'!AG307</f>
        <v>-100</v>
      </c>
      <c r="G303" s="66">
        <f>'ERROR FINAL'!AS307</f>
        <v>-100</v>
      </c>
      <c r="H303" s="67" t="str">
        <f>IF('ERROR FINAL'!AT307="CONFORME","CONFORME","NO CONFORME")</f>
        <v>NO CONFORME</v>
      </c>
      <c r="I303" s="68" t="str">
        <f t="shared" si="4"/>
        <v>Medición</v>
      </c>
    </row>
    <row r="304" spans="1:9" x14ac:dyDescent="0.25">
      <c r="A304" s="61">
        <f>'ERROR FINAL'!A308</f>
        <v>300</v>
      </c>
      <c r="B304" s="62">
        <f>'ERROR FINAL'!D308</f>
        <v>3</v>
      </c>
      <c r="C304" s="63">
        <f>'ERROR FINAL'!G308</f>
        <v>0</v>
      </c>
      <c r="D304" s="64">
        <f>'ERROR FINAL'!I308</f>
        <v>0</v>
      </c>
      <c r="E304" s="65">
        <f>'ERROR FINAL'!U308</f>
        <v>-100</v>
      </c>
      <c r="F304" s="66">
        <f>'ERROR FINAL'!AG308</f>
        <v>-100</v>
      </c>
      <c r="G304" s="66">
        <f>'ERROR FINAL'!AS308</f>
        <v>-100</v>
      </c>
      <c r="H304" s="67" t="str">
        <f>IF('ERROR FINAL'!AT308="CONFORME","CONFORME","NO CONFORME")</f>
        <v>NO CONFORME</v>
      </c>
      <c r="I304" s="68" t="str">
        <f t="shared" si="4"/>
        <v>Medición</v>
      </c>
    </row>
    <row r="305" spans="1:9" x14ac:dyDescent="0.25">
      <c r="A305" s="61">
        <f>'ERROR FINAL'!A309</f>
        <v>301</v>
      </c>
      <c r="B305" s="62">
        <f>'ERROR FINAL'!D309</f>
        <v>3</v>
      </c>
      <c r="C305" s="63">
        <f>'ERROR FINAL'!G309</f>
        <v>0</v>
      </c>
      <c r="D305" s="64">
        <f>'ERROR FINAL'!I309</f>
        <v>0</v>
      </c>
      <c r="E305" s="65">
        <f>'ERROR FINAL'!U309</f>
        <v>-100</v>
      </c>
      <c r="F305" s="66">
        <f>'ERROR FINAL'!AG309</f>
        <v>-100</v>
      </c>
      <c r="G305" s="66">
        <f>'ERROR FINAL'!AS309</f>
        <v>-100</v>
      </c>
      <c r="H305" s="67" t="str">
        <f>IF('ERROR FINAL'!AT309="CONFORME","CONFORME","NO CONFORME")</f>
        <v>NO CONFORME</v>
      </c>
      <c r="I305" s="68" t="str">
        <f t="shared" si="4"/>
        <v>Medición</v>
      </c>
    </row>
    <row r="306" spans="1:9" x14ac:dyDescent="0.25">
      <c r="A306" s="61" t="e">
        <f>'ERROR FINAL'!#REF!</f>
        <v>#REF!</v>
      </c>
      <c r="B306" s="62" t="e">
        <f>'ERROR FINAL'!#REF!</f>
        <v>#REF!</v>
      </c>
      <c r="C306" s="63" t="e">
        <f>'ERROR FINAL'!#REF!</f>
        <v>#REF!</v>
      </c>
      <c r="D306" s="64" t="e">
        <f>'ERROR FINAL'!#REF!</f>
        <v>#REF!</v>
      </c>
      <c r="E306" s="65" t="e">
        <f>'ERROR FINAL'!#REF!</f>
        <v>#REF!</v>
      </c>
      <c r="F306" s="66" t="e">
        <f>'ERROR FINAL'!#REF!</f>
        <v>#REF!</v>
      </c>
      <c r="G306" s="66" t="e">
        <f>'ERROR FINAL'!#REF!</f>
        <v>#REF!</v>
      </c>
      <c r="H306" s="67" t="e">
        <f>IF('ERROR FINAL'!#REF!="CONFORME","CONFORME","NO CONFORME")</f>
        <v>#REF!</v>
      </c>
      <c r="I306" s="68" t="e">
        <f t="shared" si="4"/>
        <v>#REF!</v>
      </c>
    </row>
    <row r="307" spans="1:9" x14ac:dyDescent="0.25">
      <c r="A307" s="61" t="e">
        <f>'ERROR FINAL'!#REF!</f>
        <v>#REF!</v>
      </c>
      <c r="B307" s="62" t="e">
        <f>'ERROR FINAL'!#REF!</f>
        <v>#REF!</v>
      </c>
      <c r="C307" s="63" t="e">
        <f>'ERROR FINAL'!#REF!</f>
        <v>#REF!</v>
      </c>
      <c r="D307" s="64" t="e">
        <f>'ERROR FINAL'!#REF!</f>
        <v>#REF!</v>
      </c>
      <c r="E307" s="65" t="e">
        <f>'ERROR FINAL'!#REF!</f>
        <v>#REF!</v>
      </c>
      <c r="F307" s="66" t="e">
        <f>'ERROR FINAL'!#REF!</f>
        <v>#REF!</v>
      </c>
      <c r="G307" s="66" t="e">
        <f>'ERROR FINAL'!#REF!</f>
        <v>#REF!</v>
      </c>
      <c r="H307" s="67" t="e">
        <f>IF('ERROR FINAL'!#REF!="CONFORME","CONFORME","NO CONFORME")</f>
        <v>#REF!</v>
      </c>
      <c r="I307" s="68" t="e">
        <f t="shared" si="4"/>
        <v>#REF!</v>
      </c>
    </row>
    <row r="308" spans="1:9" x14ac:dyDescent="0.25">
      <c r="A308" s="61" t="e">
        <f>'ERROR FINAL'!#REF!</f>
        <v>#REF!</v>
      </c>
      <c r="B308" s="62" t="e">
        <f>'ERROR FINAL'!#REF!</f>
        <v>#REF!</v>
      </c>
      <c r="C308" s="63" t="e">
        <f>'ERROR FINAL'!#REF!</f>
        <v>#REF!</v>
      </c>
      <c r="D308" s="64" t="e">
        <f>'ERROR FINAL'!#REF!</f>
        <v>#REF!</v>
      </c>
      <c r="E308" s="65" t="e">
        <f>'ERROR FINAL'!#REF!</f>
        <v>#REF!</v>
      </c>
      <c r="F308" s="66" t="e">
        <f>'ERROR FINAL'!#REF!</f>
        <v>#REF!</v>
      </c>
      <c r="G308" s="66" t="e">
        <f>'ERROR FINAL'!#REF!</f>
        <v>#REF!</v>
      </c>
      <c r="H308" s="67" t="e">
        <f>IF('ERROR FINAL'!#REF!="CONFORME","CONFORME","NO CONFORME")</f>
        <v>#REF!</v>
      </c>
      <c r="I308" s="68" t="e">
        <f t="shared" si="4"/>
        <v>#REF!</v>
      </c>
    </row>
    <row r="309" spans="1:9" x14ac:dyDescent="0.25">
      <c r="A309" s="61" t="e">
        <f>'ERROR FINAL'!#REF!</f>
        <v>#REF!</v>
      </c>
      <c r="B309" s="62" t="e">
        <f>'ERROR FINAL'!#REF!</f>
        <v>#REF!</v>
      </c>
      <c r="C309" s="63" t="e">
        <f>'ERROR FINAL'!#REF!</f>
        <v>#REF!</v>
      </c>
      <c r="D309" s="64" t="e">
        <f>'ERROR FINAL'!#REF!</f>
        <v>#REF!</v>
      </c>
      <c r="E309" s="65" t="e">
        <f>'ERROR FINAL'!#REF!</f>
        <v>#REF!</v>
      </c>
      <c r="F309" s="66" t="e">
        <f>'ERROR FINAL'!#REF!</f>
        <v>#REF!</v>
      </c>
      <c r="G309" s="66" t="e">
        <f>'ERROR FINAL'!#REF!</f>
        <v>#REF!</v>
      </c>
      <c r="H309" s="67" t="e">
        <f>IF('ERROR FINAL'!#REF!="CONFORME","CONFORME","NO CONFORME")</f>
        <v>#REF!</v>
      </c>
      <c r="I309" s="68" t="e">
        <f t="shared" si="4"/>
        <v>#REF!</v>
      </c>
    </row>
    <row r="310" spans="1:9" x14ac:dyDescent="0.25">
      <c r="A310" s="61" t="e">
        <f>'ERROR FINAL'!#REF!</f>
        <v>#REF!</v>
      </c>
      <c r="B310" s="62" t="e">
        <f>'ERROR FINAL'!#REF!</f>
        <v>#REF!</v>
      </c>
      <c r="C310" s="63" t="e">
        <f>'ERROR FINAL'!#REF!</f>
        <v>#REF!</v>
      </c>
      <c r="D310" s="64" t="e">
        <f>'ERROR FINAL'!#REF!</f>
        <v>#REF!</v>
      </c>
      <c r="E310" s="65" t="e">
        <f>'ERROR FINAL'!#REF!</f>
        <v>#REF!</v>
      </c>
      <c r="F310" s="66" t="e">
        <f>'ERROR FINAL'!#REF!</f>
        <v>#REF!</v>
      </c>
      <c r="G310" s="66" t="e">
        <f>'ERROR FINAL'!#REF!</f>
        <v>#REF!</v>
      </c>
      <c r="H310" s="67" t="e">
        <f>IF('ERROR FINAL'!#REF!="CONFORME","CONFORME","NO CONFORME")</f>
        <v>#REF!</v>
      </c>
      <c r="I310" s="68" t="e">
        <f t="shared" si="4"/>
        <v>#REF!</v>
      </c>
    </row>
    <row r="311" spans="1:9" x14ac:dyDescent="0.25">
      <c r="A311" s="61" t="e">
        <f>'ERROR FINAL'!#REF!</f>
        <v>#REF!</v>
      </c>
      <c r="B311" s="62" t="e">
        <f>'ERROR FINAL'!#REF!</f>
        <v>#REF!</v>
      </c>
      <c r="C311" s="63" t="e">
        <f>'ERROR FINAL'!#REF!</f>
        <v>#REF!</v>
      </c>
      <c r="D311" s="64" t="e">
        <f>'ERROR FINAL'!#REF!</f>
        <v>#REF!</v>
      </c>
      <c r="E311" s="65" t="e">
        <f>'ERROR FINAL'!#REF!</f>
        <v>#REF!</v>
      </c>
      <c r="F311" s="66" t="e">
        <f>'ERROR FINAL'!#REF!</f>
        <v>#REF!</v>
      </c>
      <c r="G311" s="66" t="e">
        <f>'ERROR FINAL'!#REF!</f>
        <v>#REF!</v>
      </c>
      <c r="H311" s="67" t="e">
        <f>IF('ERROR FINAL'!#REF!="CONFORME","CONFORME","NO CONFORME")</f>
        <v>#REF!</v>
      </c>
      <c r="I311" s="68" t="e">
        <f t="shared" si="4"/>
        <v>#REF!</v>
      </c>
    </row>
    <row r="312" spans="1:9" x14ac:dyDescent="0.25">
      <c r="A312" s="61" t="e">
        <f>'ERROR FINAL'!#REF!</f>
        <v>#REF!</v>
      </c>
      <c r="B312" s="62" t="e">
        <f>'ERROR FINAL'!#REF!</f>
        <v>#REF!</v>
      </c>
      <c r="C312" s="63" t="e">
        <f>'ERROR FINAL'!#REF!</f>
        <v>#REF!</v>
      </c>
      <c r="D312" s="64" t="e">
        <f>'ERROR FINAL'!#REF!</f>
        <v>#REF!</v>
      </c>
      <c r="E312" s="65" t="e">
        <f>'ERROR FINAL'!#REF!</f>
        <v>#REF!</v>
      </c>
      <c r="F312" s="66" t="e">
        <f>'ERROR FINAL'!#REF!</f>
        <v>#REF!</v>
      </c>
      <c r="G312" s="66" t="e">
        <f>'ERROR FINAL'!#REF!</f>
        <v>#REF!</v>
      </c>
      <c r="H312" s="67" t="e">
        <f>IF('ERROR FINAL'!#REF!="CONFORME","CONFORME","NO CONFORME")</f>
        <v>#REF!</v>
      </c>
      <c r="I312" s="68" t="e">
        <f t="shared" si="4"/>
        <v>#REF!</v>
      </c>
    </row>
    <row r="313" spans="1:9" x14ac:dyDescent="0.25">
      <c r="A313" s="61" t="e">
        <f>'ERROR FINAL'!#REF!</f>
        <v>#REF!</v>
      </c>
      <c r="B313" s="62" t="e">
        <f>'ERROR FINAL'!#REF!</f>
        <v>#REF!</v>
      </c>
      <c r="C313" s="63" t="e">
        <f>'ERROR FINAL'!#REF!</f>
        <v>#REF!</v>
      </c>
      <c r="D313" s="64" t="e">
        <f>'ERROR FINAL'!#REF!</f>
        <v>#REF!</v>
      </c>
      <c r="E313" s="65" t="e">
        <f>'ERROR FINAL'!#REF!</f>
        <v>#REF!</v>
      </c>
      <c r="F313" s="66" t="e">
        <f>'ERROR FINAL'!#REF!</f>
        <v>#REF!</v>
      </c>
      <c r="G313" s="66" t="e">
        <f>'ERROR FINAL'!#REF!</f>
        <v>#REF!</v>
      </c>
      <c r="H313" s="67" t="e">
        <f>IF('ERROR FINAL'!#REF!="CONFORME","CONFORME","NO CONFORME")</f>
        <v>#REF!</v>
      </c>
      <c r="I313" s="68" t="e">
        <f t="shared" si="4"/>
        <v>#REF!</v>
      </c>
    </row>
    <row r="314" spans="1:9" x14ac:dyDescent="0.25">
      <c r="A314" s="61" t="e">
        <f>'ERROR FINAL'!#REF!</f>
        <v>#REF!</v>
      </c>
      <c r="B314" s="62" t="e">
        <f>'ERROR FINAL'!#REF!</f>
        <v>#REF!</v>
      </c>
      <c r="C314" s="63" t="e">
        <f>'ERROR FINAL'!#REF!</f>
        <v>#REF!</v>
      </c>
      <c r="D314" s="64" t="e">
        <f>'ERROR FINAL'!#REF!</f>
        <v>#REF!</v>
      </c>
      <c r="E314" s="65" t="e">
        <f>'ERROR FINAL'!#REF!</f>
        <v>#REF!</v>
      </c>
      <c r="F314" s="66" t="e">
        <f>'ERROR FINAL'!#REF!</f>
        <v>#REF!</v>
      </c>
      <c r="G314" s="66" t="e">
        <f>'ERROR FINAL'!#REF!</f>
        <v>#REF!</v>
      </c>
      <c r="H314" s="67" t="e">
        <f>IF('ERROR FINAL'!#REF!="CONFORME","CONFORME","NO CONFORME")</f>
        <v>#REF!</v>
      </c>
      <c r="I314" s="68" t="e">
        <f t="shared" si="4"/>
        <v>#REF!</v>
      </c>
    </row>
    <row r="315" spans="1:9" x14ac:dyDescent="0.25">
      <c r="A315" s="61" t="e">
        <f>'ERROR FINAL'!#REF!</f>
        <v>#REF!</v>
      </c>
      <c r="B315" s="62" t="e">
        <f>'ERROR FINAL'!#REF!</f>
        <v>#REF!</v>
      </c>
      <c r="C315" s="63" t="e">
        <f>'ERROR FINAL'!#REF!</f>
        <v>#REF!</v>
      </c>
      <c r="D315" s="64" t="e">
        <f>'ERROR FINAL'!#REF!</f>
        <v>#REF!</v>
      </c>
      <c r="E315" s="65" t="e">
        <f>'ERROR FINAL'!#REF!</f>
        <v>#REF!</v>
      </c>
      <c r="F315" s="66" t="e">
        <f>'ERROR FINAL'!#REF!</f>
        <v>#REF!</v>
      </c>
      <c r="G315" s="66" t="e">
        <f>'ERROR FINAL'!#REF!</f>
        <v>#REF!</v>
      </c>
      <c r="H315" s="67" t="e">
        <f>IF('ERROR FINAL'!#REF!="CONFORME","CONFORME","NO CONFORME")</f>
        <v>#REF!</v>
      </c>
      <c r="I315" s="68" t="e">
        <f t="shared" si="4"/>
        <v>#REF!</v>
      </c>
    </row>
    <row r="316" spans="1:9" x14ac:dyDescent="0.25">
      <c r="A316" s="61" t="e">
        <f>'ERROR FINAL'!#REF!</f>
        <v>#REF!</v>
      </c>
      <c r="B316" s="62" t="e">
        <f>'ERROR FINAL'!#REF!</f>
        <v>#REF!</v>
      </c>
      <c r="C316" s="63" t="e">
        <f>'ERROR FINAL'!#REF!</f>
        <v>#REF!</v>
      </c>
      <c r="D316" s="64" t="e">
        <f>'ERROR FINAL'!#REF!</f>
        <v>#REF!</v>
      </c>
      <c r="E316" s="65" t="e">
        <f>'ERROR FINAL'!#REF!</f>
        <v>#REF!</v>
      </c>
      <c r="F316" s="66" t="e">
        <f>'ERROR FINAL'!#REF!</f>
        <v>#REF!</v>
      </c>
      <c r="G316" s="66" t="e">
        <f>'ERROR FINAL'!#REF!</f>
        <v>#REF!</v>
      </c>
      <c r="H316" s="67" t="e">
        <f>IF('ERROR FINAL'!#REF!="CONFORME","CONFORME","NO CONFORME")</f>
        <v>#REF!</v>
      </c>
      <c r="I316" s="68" t="e">
        <f t="shared" si="4"/>
        <v>#REF!</v>
      </c>
    </row>
    <row r="317" spans="1:9" x14ac:dyDescent="0.25">
      <c r="A317" s="61" t="e">
        <f>'ERROR FINAL'!#REF!</f>
        <v>#REF!</v>
      </c>
      <c r="B317" s="62" t="e">
        <f>'ERROR FINAL'!#REF!</f>
        <v>#REF!</v>
      </c>
      <c r="C317" s="63" t="e">
        <f>'ERROR FINAL'!#REF!</f>
        <v>#REF!</v>
      </c>
      <c r="D317" s="64" t="e">
        <f>'ERROR FINAL'!#REF!</f>
        <v>#REF!</v>
      </c>
      <c r="E317" s="65" t="e">
        <f>'ERROR FINAL'!#REF!</f>
        <v>#REF!</v>
      </c>
      <c r="F317" s="66" t="e">
        <f>'ERROR FINAL'!#REF!</f>
        <v>#REF!</v>
      </c>
      <c r="G317" s="66" t="e">
        <f>'ERROR FINAL'!#REF!</f>
        <v>#REF!</v>
      </c>
      <c r="H317" s="67" t="e">
        <f>IF('ERROR FINAL'!#REF!="CONFORME","CONFORME","NO CONFORME")</f>
        <v>#REF!</v>
      </c>
      <c r="I317" s="68" t="e">
        <f t="shared" si="4"/>
        <v>#REF!</v>
      </c>
    </row>
    <row r="318" spans="1:9" x14ac:dyDescent="0.25">
      <c r="A318" s="61" t="e">
        <f>'ERROR FINAL'!#REF!</f>
        <v>#REF!</v>
      </c>
      <c r="B318" s="62" t="e">
        <f>'ERROR FINAL'!#REF!</f>
        <v>#REF!</v>
      </c>
      <c r="C318" s="63" t="e">
        <f>'ERROR FINAL'!#REF!</f>
        <v>#REF!</v>
      </c>
      <c r="D318" s="64" t="e">
        <f>'ERROR FINAL'!#REF!</f>
        <v>#REF!</v>
      </c>
      <c r="E318" s="65" t="e">
        <f>'ERROR FINAL'!#REF!</f>
        <v>#REF!</v>
      </c>
      <c r="F318" s="66" t="e">
        <f>'ERROR FINAL'!#REF!</f>
        <v>#REF!</v>
      </c>
      <c r="G318" s="66" t="e">
        <f>'ERROR FINAL'!#REF!</f>
        <v>#REF!</v>
      </c>
      <c r="H318" s="67" t="e">
        <f>IF('ERROR FINAL'!#REF!="CONFORME","CONFORME","NO CONFORME")</f>
        <v>#REF!</v>
      </c>
      <c r="I318" s="68" t="e">
        <f t="shared" si="4"/>
        <v>#REF!</v>
      </c>
    </row>
    <row r="319" spans="1:9" x14ac:dyDescent="0.25">
      <c r="A319" s="61" t="e">
        <f>'ERROR FINAL'!#REF!</f>
        <v>#REF!</v>
      </c>
      <c r="B319" s="62" t="e">
        <f>'ERROR FINAL'!#REF!</f>
        <v>#REF!</v>
      </c>
      <c r="C319" s="63" t="e">
        <f>'ERROR FINAL'!#REF!</f>
        <v>#REF!</v>
      </c>
      <c r="D319" s="64" t="e">
        <f>'ERROR FINAL'!#REF!</f>
        <v>#REF!</v>
      </c>
      <c r="E319" s="65" t="e">
        <f>'ERROR FINAL'!#REF!</f>
        <v>#REF!</v>
      </c>
      <c r="F319" s="66" t="e">
        <f>'ERROR FINAL'!#REF!</f>
        <v>#REF!</v>
      </c>
      <c r="G319" s="66" t="e">
        <f>'ERROR FINAL'!#REF!</f>
        <v>#REF!</v>
      </c>
      <c r="H319" s="67" t="e">
        <f>IF('ERROR FINAL'!#REF!="CONFORME","CONFORME","NO CONFORME")</f>
        <v>#REF!</v>
      </c>
      <c r="I319" s="68" t="e">
        <f t="shared" si="4"/>
        <v>#REF!</v>
      </c>
    </row>
    <row r="320" spans="1:9" x14ac:dyDescent="0.25">
      <c r="A320" s="61" t="e">
        <f>'ERROR FINAL'!#REF!</f>
        <v>#REF!</v>
      </c>
      <c r="B320" s="62" t="e">
        <f>'ERROR FINAL'!#REF!</f>
        <v>#REF!</v>
      </c>
      <c r="C320" s="63" t="e">
        <f>'ERROR FINAL'!#REF!</f>
        <v>#REF!</v>
      </c>
      <c r="D320" s="64" t="e">
        <f>'ERROR FINAL'!#REF!</f>
        <v>#REF!</v>
      </c>
      <c r="E320" s="65" t="e">
        <f>'ERROR FINAL'!#REF!</f>
        <v>#REF!</v>
      </c>
      <c r="F320" s="66" t="e">
        <f>'ERROR FINAL'!#REF!</f>
        <v>#REF!</v>
      </c>
      <c r="G320" s="66" t="e">
        <f>'ERROR FINAL'!#REF!</f>
        <v>#REF!</v>
      </c>
      <c r="H320" s="67" t="e">
        <f>IF('ERROR FINAL'!#REF!="CONFORME","CONFORME","NO CONFORME")</f>
        <v>#REF!</v>
      </c>
      <c r="I320" s="68" t="e">
        <f t="shared" si="4"/>
        <v>#REF!</v>
      </c>
    </row>
    <row r="321" spans="1:9" x14ac:dyDescent="0.25">
      <c r="A321" s="61" t="e">
        <f>'ERROR FINAL'!#REF!</f>
        <v>#REF!</v>
      </c>
      <c r="B321" s="62" t="e">
        <f>'ERROR FINAL'!#REF!</f>
        <v>#REF!</v>
      </c>
      <c r="C321" s="63" t="e">
        <f>'ERROR FINAL'!#REF!</f>
        <v>#REF!</v>
      </c>
      <c r="D321" s="64" t="e">
        <f>'ERROR FINAL'!#REF!</f>
        <v>#REF!</v>
      </c>
      <c r="E321" s="65" t="e">
        <f>'ERROR FINAL'!#REF!</f>
        <v>#REF!</v>
      </c>
      <c r="F321" s="66" t="e">
        <f>'ERROR FINAL'!#REF!</f>
        <v>#REF!</v>
      </c>
      <c r="G321" s="66" t="e">
        <f>'ERROR FINAL'!#REF!</f>
        <v>#REF!</v>
      </c>
      <c r="H321" s="67" t="e">
        <f>IF('ERROR FINAL'!#REF!="CONFORME","CONFORME","NO CONFORME")</f>
        <v>#REF!</v>
      </c>
      <c r="I321" s="68" t="e">
        <f t="shared" si="4"/>
        <v>#REF!</v>
      </c>
    </row>
    <row r="322" spans="1:9" x14ac:dyDescent="0.25">
      <c r="A322" s="61" t="e">
        <f>'ERROR FINAL'!#REF!</f>
        <v>#REF!</v>
      </c>
      <c r="B322" s="62" t="e">
        <f>'ERROR FINAL'!#REF!</f>
        <v>#REF!</v>
      </c>
      <c r="C322" s="63" t="e">
        <f>'ERROR FINAL'!#REF!</f>
        <v>#REF!</v>
      </c>
      <c r="D322" s="64" t="e">
        <f>'ERROR FINAL'!#REF!</f>
        <v>#REF!</v>
      </c>
      <c r="E322" s="65" t="e">
        <f>'ERROR FINAL'!#REF!</f>
        <v>#REF!</v>
      </c>
      <c r="F322" s="66" t="e">
        <f>'ERROR FINAL'!#REF!</f>
        <v>#REF!</v>
      </c>
      <c r="G322" s="66" t="e">
        <f>'ERROR FINAL'!#REF!</f>
        <v>#REF!</v>
      </c>
      <c r="H322" s="67" t="e">
        <f>IF('ERROR FINAL'!#REF!="CONFORME","CONFORME","NO CONFORME")</f>
        <v>#REF!</v>
      </c>
      <c r="I322" s="68" t="e">
        <f t="shared" si="4"/>
        <v>#REF!</v>
      </c>
    </row>
    <row r="323" spans="1:9" x14ac:dyDescent="0.25">
      <c r="A323" s="61" t="e">
        <f>'ERROR FINAL'!#REF!</f>
        <v>#REF!</v>
      </c>
      <c r="B323" s="62" t="e">
        <f>'ERROR FINAL'!#REF!</f>
        <v>#REF!</v>
      </c>
      <c r="C323" s="63" t="e">
        <f>'ERROR FINAL'!#REF!</f>
        <v>#REF!</v>
      </c>
      <c r="D323" s="64" t="e">
        <f>'ERROR FINAL'!#REF!</f>
        <v>#REF!</v>
      </c>
      <c r="E323" s="65" t="e">
        <f>'ERROR FINAL'!#REF!</f>
        <v>#REF!</v>
      </c>
      <c r="F323" s="66" t="e">
        <f>'ERROR FINAL'!#REF!</f>
        <v>#REF!</v>
      </c>
      <c r="G323" s="66" t="e">
        <f>'ERROR FINAL'!#REF!</f>
        <v>#REF!</v>
      </c>
      <c r="H323" s="67" t="e">
        <f>IF('ERROR FINAL'!#REF!="CONFORME","CONFORME","NO CONFORME")</f>
        <v>#REF!</v>
      </c>
      <c r="I323" s="68" t="e">
        <f t="shared" si="4"/>
        <v>#REF!</v>
      </c>
    </row>
    <row r="324" spans="1:9" x14ac:dyDescent="0.25">
      <c r="A324" s="61" t="e">
        <f>'ERROR FINAL'!#REF!</f>
        <v>#REF!</v>
      </c>
      <c r="B324" s="62" t="e">
        <f>'ERROR FINAL'!#REF!</f>
        <v>#REF!</v>
      </c>
      <c r="C324" s="63" t="e">
        <f>'ERROR FINAL'!#REF!</f>
        <v>#REF!</v>
      </c>
      <c r="D324" s="64" t="e">
        <f>'ERROR FINAL'!#REF!</f>
        <v>#REF!</v>
      </c>
      <c r="E324" s="65" t="e">
        <f>'ERROR FINAL'!#REF!</f>
        <v>#REF!</v>
      </c>
      <c r="F324" s="66" t="e">
        <f>'ERROR FINAL'!#REF!</f>
        <v>#REF!</v>
      </c>
      <c r="G324" s="66" t="e">
        <f>'ERROR FINAL'!#REF!</f>
        <v>#REF!</v>
      </c>
      <c r="H324" s="67" t="e">
        <f>IF('ERROR FINAL'!#REF!="CONFORME","CONFORME","NO CONFORME")</f>
        <v>#REF!</v>
      </c>
      <c r="I324" s="68" t="e">
        <f t="shared" si="4"/>
        <v>#REF!</v>
      </c>
    </row>
    <row r="325" spans="1:9" x14ac:dyDescent="0.25">
      <c r="A325" s="61" t="e">
        <f>'ERROR FINAL'!#REF!</f>
        <v>#REF!</v>
      </c>
      <c r="B325" s="62" t="e">
        <f>'ERROR FINAL'!#REF!</f>
        <v>#REF!</v>
      </c>
      <c r="C325" s="63" t="e">
        <f>'ERROR FINAL'!#REF!</f>
        <v>#REF!</v>
      </c>
      <c r="D325" s="64" t="e">
        <f>'ERROR FINAL'!#REF!</f>
        <v>#REF!</v>
      </c>
      <c r="E325" s="65" t="e">
        <f>'ERROR FINAL'!#REF!</f>
        <v>#REF!</v>
      </c>
      <c r="F325" s="66" t="e">
        <f>'ERROR FINAL'!#REF!</f>
        <v>#REF!</v>
      </c>
      <c r="G325" s="66" t="e">
        <f>'ERROR FINAL'!#REF!</f>
        <v>#REF!</v>
      </c>
      <c r="H325" s="67" t="e">
        <f>IF('ERROR FINAL'!#REF!="CONFORME","CONFORME","NO CONFORME")</f>
        <v>#REF!</v>
      </c>
      <c r="I325" s="68" t="e">
        <f t="shared" si="4"/>
        <v>#REF!</v>
      </c>
    </row>
    <row r="326" spans="1:9" x14ac:dyDescent="0.25">
      <c r="A326" s="61" t="e">
        <f>'ERROR FINAL'!#REF!</f>
        <v>#REF!</v>
      </c>
      <c r="B326" s="62" t="e">
        <f>'ERROR FINAL'!#REF!</f>
        <v>#REF!</v>
      </c>
      <c r="C326" s="63" t="e">
        <f>'ERROR FINAL'!#REF!</f>
        <v>#REF!</v>
      </c>
      <c r="D326" s="64" t="e">
        <f>'ERROR FINAL'!#REF!</f>
        <v>#REF!</v>
      </c>
      <c r="E326" s="65" t="e">
        <f>'ERROR FINAL'!#REF!</f>
        <v>#REF!</v>
      </c>
      <c r="F326" s="66" t="e">
        <f>'ERROR FINAL'!#REF!</f>
        <v>#REF!</v>
      </c>
      <c r="G326" s="66" t="e">
        <f>'ERROR FINAL'!#REF!</f>
        <v>#REF!</v>
      </c>
      <c r="H326" s="67" t="e">
        <f>IF('ERROR FINAL'!#REF!="CONFORME","CONFORME","NO CONFORME")</f>
        <v>#REF!</v>
      </c>
      <c r="I326" s="68" t="e">
        <f t="shared" si="4"/>
        <v>#REF!</v>
      </c>
    </row>
    <row r="327" spans="1:9" x14ac:dyDescent="0.25">
      <c r="A327" s="61" t="e">
        <f>'ERROR FINAL'!#REF!</f>
        <v>#REF!</v>
      </c>
      <c r="B327" s="62" t="e">
        <f>'ERROR FINAL'!#REF!</f>
        <v>#REF!</v>
      </c>
      <c r="C327" s="63" t="e">
        <f>'ERROR FINAL'!#REF!</f>
        <v>#REF!</v>
      </c>
      <c r="D327" s="64" t="e">
        <f>'ERROR FINAL'!#REF!</f>
        <v>#REF!</v>
      </c>
      <c r="E327" s="65" t="e">
        <f>'ERROR FINAL'!#REF!</f>
        <v>#REF!</v>
      </c>
      <c r="F327" s="66" t="e">
        <f>'ERROR FINAL'!#REF!</f>
        <v>#REF!</v>
      </c>
      <c r="G327" s="66" t="e">
        <f>'ERROR FINAL'!#REF!</f>
        <v>#REF!</v>
      </c>
      <c r="H327" s="67" t="e">
        <f>IF('ERROR FINAL'!#REF!="CONFORME","CONFORME","NO CONFORME")</f>
        <v>#REF!</v>
      </c>
      <c r="I327" s="68" t="e">
        <f t="shared" ref="I327:I390" si="5">IF(D327=0,"Medición",IF(D327=1,"Daño físico",IF(D327=2,"Fuga",IF(D327=3,"Picado",IF(D327=4,"Desfasado",IF(D327=5,"Paralizado","¿?"))))))</f>
        <v>#REF!</v>
      </c>
    </row>
    <row r="328" spans="1:9" x14ac:dyDescent="0.25">
      <c r="A328" s="61" t="e">
        <f>'ERROR FINAL'!#REF!</f>
        <v>#REF!</v>
      </c>
      <c r="B328" s="62" t="e">
        <f>'ERROR FINAL'!#REF!</f>
        <v>#REF!</v>
      </c>
      <c r="C328" s="63" t="e">
        <f>'ERROR FINAL'!#REF!</f>
        <v>#REF!</v>
      </c>
      <c r="D328" s="64" t="e">
        <f>'ERROR FINAL'!#REF!</f>
        <v>#REF!</v>
      </c>
      <c r="E328" s="65" t="e">
        <f>'ERROR FINAL'!#REF!</f>
        <v>#REF!</v>
      </c>
      <c r="F328" s="66" t="e">
        <f>'ERROR FINAL'!#REF!</f>
        <v>#REF!</v>
      </c>
      <c r="G328" s="66" t="e">
        <f>'ERROR FINAL'!#REF!</f>
        <v>#REF!</v>
      </c>
      <c r="H328" s="67" t="e">
        <f>IF('ERROR FINAL'!#REF!="CONFORME","CONFORME","NO CONFORME")</f>
        <v>#REF!</v>
      </c>
      <c r="I328" s="68" t="e">
        <f t="shared" si="5"/>
        <v>#REF!</v>
      </c>
    </row>
    <row r="329" spans="1:9" x14ac:dyDescent="0.25">
      <c r="A329" s="61" t="e">
        <f>'ERROR FINAL'!#REF!</f>
        <v>#REF!</v>
      </c>
      <c r="B329" s="62" t="e">
        <f>'ERROR FINAL'!#REF!</f>
        <v>#REF!</v>
      </c>
      <c r="C329" s="63" t="e">
        <f>'ERROR FINAL'!#REF!</f>
        <v>#REF!</v>
      </c>
      <c r="D329" s="64" t="e">
        <f>'ERROR FINAL'!#REF!</f>
        <v>#REF!</v>
      </c>
      <c r="E329" s="65" t="e">
        <f>'ERROR FINAL'!#REF!</f>
        <v>#REF!</v>
      </c>
      <c r="F329" s="66" t="e">
        <f>'ERROR FINAL'!#REF!</f>
        <v>#REF!</v>
      </c>
      <c r="G329" s="66" t="e">
        <f>'ERROR FINAL'!#REF!</f>
        <v>#REF!</v>
      </c>
      <c r="H329" s="67" t="e">
        <f>IF('ERROR FINAL'!#REF!="CONFORME","CONFORME","NO CONFORME")</f>
        <v>#REF!</v>
      </c>
      <c r="I329" s="68" t="e">
        <f t="shared" si="5"/>
        <v>#REF!</v>
      </c>
    </row>
    <row r="330" spans="1:9" x14ac:dyDescent="0.25">
      <c r="A330" s="61" t="e">
        <f>'ERROR FINAL'!#REF!</f>
        <v>#REF!</v>
      </c>
      <c r="B330" s="62" t="e">
        <f>'ERROR FINAL'!#REF!</f>
        <v>#REF!</v>
      </c>
      <c r="C330" s="63" t="e">
        <f>'ERROR FINAL'!#REF!</f>
        <v>#REF!</v>
      </c>
      <c r="D330" s="64" t="e">
        <f>'ERROR FINAL'!#REF!</f>
        <v>#REF!</v>
      </c>
      <c r="E330" s="65" t="e">
        <f>'ERROR FINAL'!#REF!</f>
        <v>#REF!</v>
      </c>
      <c r="F330" s="66" t="e">
        <f>'ERROR FINAL'!#REF!</f>
        <v>#REF!</v>
      </c>
      <c r="G330" s="66" t="e">
        <f>'ERROR FINAL'!#REF!</f>
        <v>#REF!</v>
      </c>
      <c r="H330" s="67" t="e">
        <f>IF('ERROR FINAL'!#REF!="CONFORME","CONFORME","NO CONFORME")</f>
        <v>#REF!</v>
      </c>
      <c r="I330" s="68" t="e">
        <f t="shared" si="5"/>
        <v>#REF!</v>
      </c>
    </row>
    <row r="331" spans="1:9" x14ac:dyDescent="0.25">
      <c r="A331" s="61" t="e">
        <f>'ERROR FINAL'!#REF!</f>
        <v>#REF!</v>
      </c>
      <c r="B331" s="62" t="e">
        <f>'ERROR FINAL'!#REF!</f>
        <v>#REF!</v>
      </c>
      <c r="C331" s="63" t="e">
        <f>'ERROR FINAL'!#REF!</f>
        <v>#REF!</v>
      </c>
      <c r="D331" s="64" t="e">
        <f>'ERROR FINAL'!#REF!</f>
        <v>#REF!</v>
      </c>
      <c r="E331" s="65" t="e">
        <f>'ERROR FINAL'!#REF!</f>
        <v>#REF!</v>
      </c>
      <c r="F331" s="66" t="e">
        <f>'ERROR FINAL'!#REF!</f>
        <v>#REF!</v>
      </c>
      <c r="G331" s="66" t="e">
        <f>'ERROR FINAL'!#REF!</f>
        <v>#REF!</v>
      </c>
      <c r="H331" s="67" t="e">
        <f>IF('ERROR FINAL'!#REF!="CONFORME","CONFORME","NO CONFORME")</f>
        <v>#REF!</v>
      </c>
      <c r="I331" s="68" t="e">
        <f t="shared" si="5"/>
        <v>#REF!</v>
      </c>
    </row>
    <row r="332" spans="1:9" x14ac:dyDescent="0.25">
      <c r="A332" s="61" t="e">
        <f>'ERROR FINAL'!#REF!</f>
        <v>#REF!</v>
      </c>
      <c r="B332" s="62" t="e">
        <f>'ERROR FINAL'!#REF!</f>
        <v>#REF!</v>
      </c>
      <c r="C332" s="63" t="e">
        <f>'ERROR FINAL'!#REF!</f>
        <v>#REF!</v>
      </c>
      <c r="D332" s="64" t="e">
        <f>'ERROR FINAL'!#REF!</f>
        <v>#REF!</v>
      </c>
      <c r="E332" s="65" t="e">
        <f>'ERROR FINAL'!#REF!</f>
        <v>#REF!</v>
      </c>
      <c r="F332" s="66" t="e">
        <f>'ERROR FINAL'!#REF!</f>
        <v>#REF!</v>
      </c>
      <c r="G332" s="66" t="e">
        <f>'ERROR FINAL'!#REF!</f>
        <v>#REF!</v>
      </c>
      <c r="H332" s="67" t="e">
        <f>IF('ERROR FINAL'!#REF!="CONFORME","CONFORME","NO CONFORME")</f>
        <v>#REF!</v>
      </c>
      <c r="I332" s="68" t="e">
        <f t="shared" si="5"/>
        <v>#REF!</v>
      </c>
    </row>
    <row r="333" spans="1:9" x14ac:dyDescent="0.25">
      <c r="A333" s="61" t="e">
        <f>'ERROR FINAL'!#REF!</f>
        <v>#REF!</v>
      </c>
      <c r="B333" s="62" t="e">
        <f>'ERROR FINAL'!#REF!</f>
        <v>#REF!</v>
      </c>
      <c r="C333" s="63" t="e">
        <f>'ERROR FINAL'!#REF!</f>
        <v>#REF!</v>
      </c>
      <c r="D333" s="64" t="e">
        <f>'ERROR FINAL'!#REF!</f>
        <v>#REF!</v>
      </c>
      <c r="E333" s="65" t="e">
        <f>'ERROR FINAL'!#REF!</f>
        <v>#REF!</v>
      </c>
      <c r="F333" s="66" t="e">
        <f>'ERROR FINAL'!#REF!</f>
        <v>#REF!</v>
      </c>
      <c r="G333" s="66" t="e">
        <f>'ERROR FINAL'!#REF!</f>
        <v>#REF!</v>
      </c>
      <c r="H333" s="67" t="e">
        <f>IF('ERROR FINAL'!#REF!="CONFORME","CONFORME","NO CONFORME")</f>
        <v>#REF!</v>
      </c>
      <c r="I333" s="68" t="e">
        <f t="shared" si="5"/>
        <v>#REF!</v>
      </c>
    </row>
    <row r="334" spans="1:9" x14ac:dyDescent="0.25">
      <c r="A334" s="61" t="e">
        <f>'ERROR FINAL'!#REF!</f>
        <v>#REF!</v>
      </c>
      <c r="B334" s="62" t="e">
        <f>'ERROR FINAL'!#REF!</f>
        <v>#REF!</v>
      </c>
      <c r="C334" s="63" t="e">
        <f>'ERROR FINAL'!#REF!</f>
        <v>#REF!</v>
      </c>
      <c r="D334" s="64" t="e">
        <f>'ERROR FINAL'!#REF!</f>
        <v>#REF!</v>
      </c>
      <c r="E334" s="65" t="e">
        <f>'ERROR FINAL'!#REF!</f>
        <v>#REF!</v>
      </c>
      <c r="F334" s="66" t="e">
        <f>'ERROR FINAL'!#REF!</f>
        <v>#REF!</v>
      </c>
      <c r="G334" s="66" t="e">
        <f>'ERROR FINAL'!#REF!</f>
        <v>#REF!</v>
      </c>
      <c r="H334" s="67" t="e">
        <f>IF('ERROR FINAL'!#REF!="CONFORME","CONFORME","NO CONFORME")</f>
        <v>#REF!</v>
      </c>
      <c r="I334" s="68" t="e">
        <f t="shared" si="5"/>
        <v>#REF!</v>
      </c>
    </row>
    <row r="335" spans="1:9" x14ac:dyDescent="0.25">
      <c r="A335" s="61" t="e">
        <f>'ERROR FINAL'!#REF!</f>
        <v>#REF!</v>
      </c>
      <c r="B335" s="62" t="e">
        <f>'ERROR FINAL'!#REF!</f>
        <v>#REF!</v>
      </c>
      <c r="C335" s="63" t="e">
        <f>'ERROR FINAL'!#REF!</f>
        <v>#REF!</v>
      </c>
      <c r="D335" s="64" t="e">
        <f>'ERROR FINAL'!#REF!</f>
        <v>#REF!</v>
      </c>
      <c r="E335" s="65" t="e">
        <f>'ERROR FINAL'!#REF!</f>
        <v>#REF!</v>
      </c>
      <c r="F335" s="66" t="e">
        <f>'ERROR FINAL'!#REF!</f>
        <v>#REF!</v>
      </c>
      <c r="G335" s="66" t="e">
        <f>'ERROR FINAL'!#REF!</f>
        <v>#REF!</v>
      </c>
      <c r="H335" s="67" t="e">
        <f>IF('ERROR FINAL'!#REF!="CONFORME","CONFORME","NO CONFORME")</f>
        <v>#REF!</v>
      </c>
      <c r="I335" s="68" t="e">
        <f t="shared" si="5"/>
        <v>#REF!</v>
      </c>
    </row>
    <row r="336" spans="1:9" x14ac:dyDescent="0.25">
      <c r="A336" s="61" t="e">
        <f>'ERROR FINAL'!#REF!</f>
        <v>#REF!</v>
      </c>
      <c r="B336" s="62" t="e">
        <f>'ERROR FINAL'!#REF!</f>
        <v>#REF!</v>
      </c>
      <c r="C336" s="63" t="e">
        <f>'ERROR FINAL'!#REF!</f>
        <v>#REF!</v>
      </c>
      <c r="D336" s="64" t="e">
        <f>'ERROR FINAL'!#REF!</f>
        <v>#REF!</v>
      </c>
      <c r="E336" s="65" t="e">
        <f>'ERROR FINAL'!#REF!</f>
        <v>#REF!</v>
      </c>
      <c r="F336" s="66" t="e">
        <f>'ERROR FINAL'!#REF!</f>
        <v>#REF!</v>
      </c>
      <c r="G336" s="66" t="e">
        <f>'ERROR FINAL'!#REF!</f>
        <v>#REF!</v>
      </c>
      <c r="H336" s="67" t="e">
        <f>IF('ERROR FINAL'!#REF!="CONFORME","CONFORME","NO CONFORME")</f>
        <v>#REF!</v>
      </c>
      <c r="I336" s="68" t="e">
        <f t="shared" si="5"/>
        <v>#REF!</v>
      </c>
    </row>
    <row r="337" spans="1:9" x14ac:dyDescent="0.25">
      <c r="A337" s="61" t="e">
        <f>'ERROR FINAL'!#REF!</f>
        <v>#REF!</v>
      </c>
      <c r="B337" s="62" t="e">
        <f>'ERROR FINAL'!#REF!</f>
        <v>#REF!</v>
      </c>
      <c r="C337" s="63" t="e">
        <f>'ERROR FINAL'!#REF!</f>
        <v>#REF!</v>
      </c>
      <c r="D337" s="64" t="e">
        <f>'ERROR FINAL'!#REF!</f>
        <v>#REF!</v>
      </c>
      <c r="E337" s="65" t="e">
        <f>'ERROR FINAL'!#REF!</f>
        <v>#REF!</v>
      </c>
      <c r="F337" s="66" t="e">
        <f>'ERROR FINAL'!#REF!</f>
        <v>#REF!</v>
      </c>
      <c r="G337" s="66" t="e">
        <f>'ERROR FINAL'!#REF!</f>
        <v>#REF!</v>
      </c>
      <c r="H337" s="67" t="e">
        <f>IF('ERROR FINAL'!#REF!="CONFORME","CONFORME","NO CONFORME")</f>
        <v>#REF!</v>
      </c>
      <c r="I337" s="68" t="e">
        <f t="shared" si="5"/>
        <v>#REF!</v>
      </c>
    </row>
    <row r="338" spans="1:9" x14ac:dyDescent="0.25">
      <c r="A338" s="61" t="e">
        <f>'ERROR FINAL'!#REF!</f>
        <v>#REF!</v>
      </c>
      <c r="B338" s="62" t="e">
        <f>'ERROR FINAL'!#REF!</f>
        <v>#REF!</v>
      </c>
      <c r="C338" s="63" t="e">
        <f>'ERROR FINAL'!#REF!</f>
        <v>#REF!</v>
      </c>
      <c r="D338" s="64" t="e">
        <f>'ERROR FINAL'!#REF!</f>
        <v>#REF!</v>
      </c>
      <c r="E338" s="65" t="e">
        <f>'ERROR FINAL'!#REF!</f>
        <v>#REF!</v>
      </c>
      <c r="F338" s="66" t="e">
        <f>'ERROR FINAL'!#REF!</f>
        <v>#REF!</v>
      </c>
      <c r="G338" s="66" t="e">
        <f>'ERROR FINAL'!#REF!</f>
        <v>#REF!</v>
      </c>
      <c r="H338" s="67" t="e">
        <f>IF('ERROR FINAL'!#REF!="CONFORME","CONFORME","NO CONFORME")</f>
        <v>#REF!</v>
      </c>
      <c r="I338" s="68" t="e">
        <f t="shared" si="5"/>
        <v>#REF!</v>
      </c>
    </row>
    <row r="339" spans="1:9" x14ac:dyDescent="0.25">
      <c r="A339" s="61" t="e">
        <f>'ERROR FINAL'!#REF!</f>
        <v>#REF!</v>
      </c>
      <c r="B339" s="62" t="e">
        <f>'ERROR FINAL'!#REF!</f>
        <v>#REF!</v>
      </c>
      <c r="C339" s="63" t="e">
        <f>'ERROR FINAL'!#REF!</f>
        <v>#REF!</v>
      </c>
      <c r="D339" s="64" t="e">
        <f>'ERROR FINAL'!#REF!</f>
        <v>#REF!</v>
      </c>
      <c r="E339" s="65" t="e">
        <f>'ERROR FINAL'!#REF!</f>
        <v>#REF!</v>
      </c>
      <c r="F339" s="66" t="e">
        <f>'ERROR FINAL'!#REF!</f>
        <v>#REF!</v>
      </c>
      <c r="G339" s="66" t="e">
        <f>'ERROR FINAL'!#REF!</f>
        <v>#REF!</v>
      </c>
      <c r="H339" s="67" t="e">
        <f>IF('ERROR FINAL'!#REF!="CONFORME","CONFORME","NO CONFORME")</f>
        <v>#REF!</v>
      </c>
      <c r="I339" s="68" t="e">
        <f t="shared" si="5"/>
        <v>#REF!</v>
      </c>
    </row>
    <row r="340" spans="1:9" x14ac:dyDescent="0.25">
      <c r="A340" s="61" t="e">
        <f>'ERROR FINAL'!#REF!</f>
        <v>#REF!</v>
      </c>
      <c r="B340" s="62" t="e">
        <f>'ERROR FINAL'!#REF!</f>
        <v>#REF!</v>
      </c>
      <c r="C340" s="63" t="e">
        <f>'ERROR FINAL'!#REF!</f>
        <v>#REF!</v>
      </c>
      <c r="D340" s="64" t="e">
        <f>'ERROR FINAL'!#REF!</f>
        <v>#REF!</v>
      </c>
      <c r="E340" s="65" t="e">
        <f>'ERROR FINAL'!#REF!</f>
        <v>#REF!</v>
      </c>
      <c r="F340" s="66" t="e">
        <f>'ERROR FINAL'!#REF!</f>
        <v>#REF!</v>
      </c>
      <c r="G340" s="66" t="e">
        <f>'ERROR FINAL'!#REF!</f>
        <v>#REF!</v>
      </c>
      <c r="H340" s="67" t="e">
        <f>IF('ERROR FINAL'!#REF!="CONFORME","CONFORME","NO CONFORME")</f>
        <v>#REF!</v>
      </c>
      <c r="I340" s="68" t="e">
        <f t="shared" si="5"/>
        <v>#REF!</v>
      </c>
    </row>
    <row r="341" spans="1:9" x14ac:dyDescent="0.25">
      <c r="A341" s="61" t="e">
        <f>'ERROR FINAL'!#REF!</f>
        <v>#REF!</v>
      </c>
      <c r="B341" s="62" t="e">
        <f>'ERROR FINAL'!#REF!</f>
        <v>#REF!</v>
      </c>
      <c r="C341" s="63" t="e">
        <f>'ERROR FINAL'!#REF!</f>
        <v>#REF!</v>
      </c>
      <c r="D341" s="64" t="e">
        <f>'ERROR FINAL'!#REF!</f>
        <v>#REF!</v>
      </c>
      <c r="E341" s="65" t="e">
        <f>'ERROR FINAL'!#REF!</f>
        <v>#REF!</v>
      </c>
      <c r="F341" s="66" t="e">
        <f>'ERROR FINAL'!#REF!</f>
        <v>#REF!</v>
      </c>
      <c r="G341" s="66" t="e">
        <f>'ERROR FINAL'!#REF!</f>
        <v>#REF!</v>
      </c>
      <c r="H341" s="67" t="e">
        <f>IF('ERROR FINAL'!#REF!="CONFORME","CONFORME","NO CONFORME")</f>
        <v>#REF!</v>
      </c>
      <c r="I341" s="68" t="e">
        <f t="shared" si="5"/>
        <v>#REF!</v>
      </c>
    </row>
    <row r="342" spans="1:9" x14ac:dyDescent="0.25">
      <c r="A342" s="61" t="e">
        <f>'ERROR FINAL'!#REF!</f>
        <v>#REF!</v>
      </c>
      <c r="B342" s="62" t="e">
        <f>'ERROR FINAL'!#REF!</f>
        <v>#REF!</v>
      </c>
      <c r="C342" s="63" t="e">
        <f>'ERROR FINAL'!#REF!</f>
        <v>#REF!</v>
      </c>
      <c r="D342" s="64" t="e">
        <f>'ERROR FINAL'!#REF!</f>
        <v>#REF!</v>
      </c>
      <c r="E342" s="65" t="e">
        <f>'ERROR FINAL'!#REF!</f>
        <v>#REF!</v>
      </c>
      <c r="F342" s="66" t="e">
        <f>'ERROR FINAL'!#REF!</f>
        <v>#REF!</v>
      </c>
      <c r="G342" s="66" t="e">
        <f>'ERROR FINAL'!#REF!</f>
        <v>#REF!</v>
      </c>
      <c r="H342" s="67" t="e">
        <f>IF('ERROR FINAL'!#REF!="CONFORME","CONFORME","NO CONFORME")</f>
        <v>#REF!</v>
      </c>
      <c r="I342" s="68" t="e">
        <f t="shared" si="5"/>
        <v>#REF!</v>
      </c>
    </row>
    <row r="343" spans="1:9" x14ac:dyDescent="0.25">
      <c r="A343" s="61" t="e">
        <f>'ERROR FINAL'!#REF!</f>
        <v>#REF!</v>
      </c>
      <c r="B343" s="62" t="e">
        <f>'ERROR FINAL'!#REF!</f>
        <v>#REF!</v>
      </c>
      <c r="C343" s="63" t="e">
        <f>'ERROR FINAL'!#REF!</f>
        <v>#REF!</v>
      </c>
      <c r="D343" s="64" t="e">
        <f>'ERROR FINAL'!#REF!</f>
        <v>#REF!</v>
      </c>
      <c r="E343" s="65" t="e">
        <f>'ERROR FINAL'!#REF!</f>
        <v>#REF!</v>
      </c>
      <c r="F343" s="66" t="e">
        <f>'ERROR FINAL'!#REF!</f>
        <v>#REF!</v>
      </c>
      <c r="G343" s="66" t="e">
        <f>'ERROR FINAL'!#REF!</f>
        <v>#REF!</v>
      </c>
      <c r="H343" s="67" t="e">
        <f>IF('ERROR FINAL'!#REF!="CONFORME","CONFORME","NO CONFORME")</f>
        <v>#REF!</v>
      </c>
      <c r="I343" s="68" t="e">
        <f t="shared" si="5"/>
        <v>#REF!</v>
      </c>
    </row>
    <row r="344" spans="1:9" x14ac:dyDescent="0.25">
      <c r="A344" s="61" t="e">
        <f>'ERROR FINAL'!#REF!</f>
        <v>#REF!</v>
      </c>
      <c r="B344" s="62" t="e">
        <f>'ERROR FINAL'!#REF!</f>
        <v>#REF!</v>
      </c>
      <c r="C344" s="63" t="e">
        <f>'ERROR FINAL'!#REF!</f>
        <v>#REF!</v>
      </c>
      <c r="D344" s="64" t="e">
        <f>'ERROR FINAL'!#REF!</f>
        <v>#REF!</v>
      </c>
      <c r="E344" s="65" t="e">
        <f>'ERROR FINAL'!#REF!</f>
        <v>#REF!</v>
      </c>
      <c r="F344" s="66" t="e">
        <f>'ERROR FINAL'!#REF!</f>
        <v>#REF!</v>
      </c>
      <c r="G344" s="66" t="e">
        <f>'ERROR FINAL'!#REF!</f>
        <v>#REF!</v>
      </c>
      <c r="H344" s="67" t="e">
        <f>IF('ERROR FINAL'!#REF!="CONFORME","CONFORME","NO CONFORME")</f>
        <v>#REF!</v>
      </c>
      <c r="I344" s="68" t="e">
        <f t="shared" si="5"/>
        <v>#REF!</v>
      </c>
    </row>
    <row r="345" spans="1:9" x14ac:dyDescent="0.25">
      <c r="A345" s="61" t="e">
        <f>'ERROR FINAL'!#REF!</f>
        <v>#REF!</v>
      </c>
      <c r="B345" s="62" t="e">
        <f>'ERROR FINAL'!#REF!</f>
        <v>#REF!</v>
      </c>
      <c r="C345" s="63" t="e">
        <f>'ERROR FINAL'!#REF!</f>
        <v>#REF!</v>
      </c>
      <c r="D345" s="64" t="e">
        <f>'ERROR FINAL'!#REF!</f>
        <v>#REF!</v>
      </c>
      <c r="E345" s="65" t="e">
        <f>'ERROR FINAL'!#REF!</f>
        <v>#REF!</v>
      </c>
      <c r="F345" s="66" t="e">
        <f>'ERROR FINAL'!#REF!</f>
        <v>#REF!</v>
      </c>
      <c r="G345" s="66" t="e">
        <f>'ERROR FINAL'!#REF!</f>
        <v>#REF!</v>
      </c>
      <c r="H345" s="67" t="e">
        <f>IF('ERROR FINAL'!#REF!="CONFORME","CONFORME","NO CONFORME")</f>
        <v>#REF!</v>
      </c>
      <c r="I345" s="68" t="e">
        <f t="shared" si="5"/>
        <v>#REF!</v>
      </c>
    </row>
    <row r="346" spans="1:9" x14ac:dyDescent="0.25">
      <c r="A346" s="61" t="e">
        <f>'ERROR FINAL'!#REF!</f>
        <v>#REF!</v>
      </c>
      <c r="B346" s="62" t="e">
        <f>'ERROR FINAL'!#REF!</f>
        <v>#REF!</v>
      </c>
      <c r="C346" s="63" t="e">
        <f>'ERROR FINAL'!#REF!</f>
        <v>#REF!</v>
      </c>
      <c r="D346" s="64" t="e">
        <f>'ERROR FINAL'!#REF!</f>
        <v>#REF!</v>
      </c>
      <c r="E346" s="65" t="e">
        <f>'ERROR FINAL'!#REF!</f>
        <v>#REF!</v>
      </c>
      <c r="F346" s="66" t="e">
        <f>'ERROR FINAL'!#REF!</f>
        <v>#REF!</v>
      </c>
      <c r="G346" s="66" t="e">
        <f>'ERROR FINAL'!#REF!</f>
        <v>#REF!</v>
      </c>
      <c r="H346" s="67" t="e">
        <f>IF('ERROR FINAL'!#REF!="CONFORME","CONFORME","NO CONFORME")</f>
        <v>#REF!</v>
      </c>
      <c r="I346" s="68" t="e">
        <f t="shared" si="5"/>
        <v>#REF!</v>
      </c>
    </row>
    <row r="347" spans="1:9" x14ac:dyDescent="0.25">
      <c r="A347" s="61" t="e">
        <f>'ERROR FINAL'!#REF!</f>
        <v>#REF!</v>
      </c>
      <c r="B347" s="62" t="e">
        <f>'ERROR FINAL'!#REF!</f>
        <v>#REF!</v>
      </c>
      <c r="C347" s="63" t="e">
        <f>'ERROR FINAL'!#REF!</f>
        <v>#REF!</v>
      </c>
      <c r="D347" s="64" t="e">
        <f>'ERROR FINAL'!#REF!</f>
        <v>#REF!</v>
      </c>
      <c r="E347" s="65" t="e">
        <f>'ERROR FINAL'!#REF!</f>
        <v>#REF!</v>
      </c>
      <c r="F347" s="66" t="e">
        <f>'ERROR FINAL'!#REF!</f>
        <v>#REF!</v>
      </c>
      <c r="G347" s="66" t="e">
        <f>'ERROR FINAL'!#REF!</f>
        <v>#REF!</v>
      </c>
      <c r="H347" s="67" t="e">
        <f>IF('ERROR FINAL'!#REF!="CONFORME","CONFORME","NO CONFORME")</f>
        <v>#REF!</v>
      </c>
      <c r="I347" s="68" t="e">
        <f t="shared" si="5"/>
        <v>#REF!</v>
      </c>
    </row>
    <row r="348" spans="1:9" x14ac:dyDescent="0.25">
      <c r="A348" s="61" t="e">
        <f>'ERROR FINAL'!#REF!</f>
        <v>#REF!</v>
      </c>
      <c r="B348" s="62" t="e">
        <f>'ERROR FINAL'!#REF!</f>
        <v>#REF!</v>
      </c>
      <c r="C348" s="63" t="e">
        <f>'ERROR FINAL'!#REF!</f>
        <v>#REF!</v>
      </c>
      <c r="D348" s="64" t="e">
        <f>'ERROR FINAL'!#REF!</f>
        <v>#REF!</v>
      </c>
      <c r="E348" s="65" t="e">
        <f>'ERROR FINAL'!#REF!</f>
        <v>#REF!</v>
      </c>
      <c r="F348" s="66" t="e">
        <f>'ERROR FINAL'!#REF!</f>
        <v>#REF!</v>
      </c>
      <c r="G348" s="66" t="e">
        <f>'ERROR FINAL'!#REF!</f>
        <v>#REF!</v>
      </c>
      <c r="H348" s="67" t="e">
        <f>IF('ERROR FINAL'!#REF!="CONFORME","CONFORME","NO CONFORME")</f>
        <v>#REF!</v>
      </c>
      <c r="I348" s="68" t="e">
        <f t="shared" si="5"/>
        <v>#REF!</v>
      </c>
    </row>
    <row r="349" spans="1:9" x14ac:dyDescent="0.25">
      <c r="A349" s="61" t="e">
        <f>'ERROR FINAL'!#REF!</f>
        <v>#REF!</v>
      </c>
      <c r="B349" s="62" t="e">
        <f>'ERROR FINAL'!#REF!</f>
        <v>#REF!</v>
      </c>
      <c r="C349" s="63" t="e">
        <f>'ERROR FINAL'!#REF!</f>
        <v>#REF!</v>
      </c>
      <c r="D349" s="64" t="e">
        <f>'ERROR FINAL'!#REF!</f>
        <v>#REF!</v>
      </c>
      <c r="E349" s="65" t="e">
        <f>'ERROR FINAL'!#REF!</f>
        <v>#REF!</v>
      </c>
      <c r="F349" s="66" t="e">
        <f>'ERROR FINAL'!#REF!</f>
        <v>#REF!</v>
      </c>
      <c r="G349" s="66" t="e">
        <f>'ERROR FINAL'!#REF!</f>
        <v>#REF!</v>
      </c>
      <c r="H349" s="67" t="e">
        <f>IF('ERROR FINAL'!#REF!="CONFORME","CONFORME","NO CONFORME")</f>
        <v>#REF!</v>
      </c>
      <c r="I349" s="68" t="e">
        <f t="shared" si="5"/>
        <v>#REF!</v>
      </c>
    </row>
    <row r="350" spans="1:9" x14ac:dyDescent="0.25">
      <c r="A350" s="61" t="e">
        <f>'ERROR FINAL'!#REF!</f>
        <v>#REF!</v>
      </c>
      <c r="B350" s="62" t="e">
        <f>'ERROR FINAL'!#REF!</f>
        <v>#REF!</v>
      </c>
      <c r="C350" s="63" t="e">
        <f>'ERROR FINAL'!#REF!</f>
        <v>#REF!</v>
      </c>
      <c r="D350" s="64" t="e">
        <f>'ERROR FINAL'!#REF!</f>
        <v>#REF!</v>
      </c>
      <c r="E350" s="65" t="e">
        <f>'ERROR FINAL'!#REF!</f>
        <v>#REF!</v>
      </c>
      <c r="F350" s="66" t="e">
        <f>'ERROR FINAL'!#REF!</f>
        <v>#REF!</v>
      </c>
      <c r="G350" s="66" t="e">
        <f>'ERROR FINAL'!#REF!</f>
        <v>#REF!</v>
      </c>
      <c r="H350" s="67" t="e">
        <f>IF('ERROR FINAL'!#REF!="CONFORME","CONFORME","NO CONFORME")</f>
        <v>#REF!</v>
      </c>
      <c r="I350" s="68" t="e">
        <f t="shared" si="5"/>
        <v>#REF!</v>
      </c>
    </row>
    <row r="351" spans="1:9" x14ac:dyDescent="0.25">
      <c r="A351" s="61" t="e">
        <f>'ERROR FINAL'!#REF!</f>
        <v>#REF!</v>
      </c>
      <c r="B351" s="62" t="e">
        <f>'ERROR FINAL'!#REF!</f>
        <v>#REF!</v>
      </c>
      <c r="C351" s="63" t="e">
        <f>'ERROR FINAL'!#REF!</f>
        <v>#REF!</v>
      </c>
      <c r="D351" s="64" t="e">
        <f>'ERROR FINAL'!#REF!</f>
        <v>#REF!</v>
      </c>
      <c r="E351" s="65" t="e">
        <f>'ERROR FINAL'!#REF!</f>
        <v>#REF!</v>
      </c>
      <c r="F351" s="66" t="e">
        <f>'ERROR FINAL'!#REF!</f>
        <v>#REF!</v>
      </c>
      <c r="G351" s="66" t="e">
        <f>'ERROR FINAL'!#REF!</f>
        <v>#REF!</v>
      </c>
      <c r="H351" s="67" t="e">
        <f>IF('ERROR FINAL'!#REF!="CONFORME","CONFORME","NO CONFORME")</f>
        <v>#REF!</v>
      </c>
      <c r="I351" s="68" t="e">
        <f t="shared" si="5"/>
        <v>#REF!</v>
      </c>
    </row>
    <row r="352" spans="1:9" x14ac:dyDescent="0.25">
      <c r="A352" s="61" t="e">
        <f>'ERROR FINAL'!#REF!</f>
        <v>#REF!</v>
      </c>
      <c r="B352" s="62" t="e">
        <f>'ERROR FINAL'!#REF!</f>
        <v>#REF!</v>
      </c>
      <c r="C352" s="63" t="e">
        <f>'ERROR FINAL'!#REF!</f>
        <v>#REF!</v>
      </c>
      <c r="D352" s="64" t="e">
        <f>'ERROR FINAL'!#REF!</f>
        <v>#REF!</v>
      </c>
      <c r="E352" s="65" t="e">
        <f>'ERROR FINAL'!#REF!</f>
        <v>#REF!</v>
      </c>
      <c r="F352" s="66" t="e">
        <f>'ERROR FINAL'!#REF!</f>
        <v>#REF!</v>
      </c>
      <c r="G352" s="66" t="e">
        <f>'ERROR FINAL'!#REF!</f>
        <v>#REF!</v>
      </c>
      <c r="H352" s="67" t="e">
        <f>IF('ERROR FINAL'!#REF!="CONFORME","CONFORME","NO CONFORME")</f>
        <v>#REF!</v>
      </c>
      <c r="I352" s="68" t="e">
        <f t="shared" si="5"/>
        <v>#REF!</v>
      </c>
    </row>
    <row r="353" spans="1:9" x14ac:dyDescent="0.25">
      <c r="A353" s="61" t="e">
        <f>'ERROR FINAL'!#REF!</f>
        <v>#REF!</v>
      </c>
      <c r="B353" s="62" t="e">
        <f>'ERROR FINAL'!#REF!</f>
        <v>#REF!</v>
      </c>
      <c r="C353" s="63" t="e">
        <f>'ERROR FINAL'!#REF!</f>
        <v>#REF!</v>
      </c>
      <c r="D353" s="64" t="e">
        <f>'ERROR FINAL'!#REF!</f>
        <v>#REF!</v>
      </c>
      <c r="E353" s="65" t="e">
        <f>'ERROR FINAL'!#REF!</f>
        <v>#REF!</v>
      </c>
      <c r="F353" s="66" t="e">
        <f>'ERROR FINAL'!#REF!</f>
        <v>#REF!</v>
      </c>
      <c r="G353" s="66" t="e">
        <f>'ERROR FINAL'!#REF!</f>
        <v>#REF!</v>
      </c>
      <c r="H353" s="67" t="e">
        <f>IF('ERROR FINAL'!#REF!="CONFORME","CONFORME","NO CONFORME")</f>
        <v>#REF!</v>
      </c>
      <c r="I353" s="68" t="e">
        <f t="shared" si="5"/>
        <v>#REF!</v>
      </c>
    </row>
    <row r="354" spans="1:9" x14ac:dyDescent="0.25">
      <c r="A354" s="61" t="e">
        <f>'ERROR FINAL'!#REF!</f>
        <v>#REF!</v>
      </c>
      <c r="B354" s="62" t="e">
        <f>'ERROR FINAL'!#REF!</f>
        <v>#REF!</v>
      </c>
      <c r="C354" s="63" t="e">
        <f>'ERROR FINAL'!#REF!</f>
        <v>#REF!</v>
      </c>
      <c r="D354" s="64" t="e">
        <f>'ERROR FINAL'!#REF!</f>
        <v>#REF!</v>
      </c>
      <c r="E354" s="65" t="e">
        <f>'ERROR FINAL'!#REF!</f>
        <v>#REF!</v>
      </c>
      <c r="F354" s="66" t="e">
        <f>'ERROR FINAL'!#REF!</f>
        <v>#REF!</v>
      </c>
      <c r="G354" s="66" t="e">
        <f>'ERROR FINAL'!#REF!</f>
        <v>#REF!</v>
      </c>
      <c r="H354" s="67" t="e">
        <f>IF('ERROR FINAL'!#REF!="CONFORME","CONFORME","NO CONFORME")</f>
        <v>#REF!</v>
      </c>
      <c r="I354" s="68" t="e">
        <f t="shared" si="5"/>
        <v>#REF!</v>
      </c>
    </row>
    <row r="355" spans="1:9" x14ac:dyDescent="0.25">
      <c r="A355" s="61" t="e">
        <f>'ERROR FINAL'!#REF!</f>
        <v>#REF!</v>
      </c>
      <c r="B355" s="62" t="e">
        <f>'ERROR FINAL'!#REF!</f>
        <v>#REF!</v>
      </c>
      <c r="C355" s="63" t="e">
        <f>'ERROR FINAL'!#REF!</f>
        <v>#REF!</v>
      </c>
      <c r="D355" s="64" t="e">
        <f>'ERROR FINAL'!#REF!</f>
        <v>#REF!</v>
      </c>
      <c r="E355" s="65" t="e">
        <f>'ERROR FINAL'!#REF!</f>
        <v>#REF!</v>
      </c>
      <c r="F355" s="66" t="e">
        <f>'ERROR FINAL'!#REF!</f>
        <v>#REF!</v>
      </c>
      <c r="G355" s="66" t="e">
        <f>'ERROR FINAL'!#REF!</f>
        <v>#REF!</v>
      </c>
      <c r="H355" s="67" t="e">
        <f>IF('ERROR FINAL'!#REF!="CONFORME","CONFORME","NO CONFORME")</f>
        <v>#REF!</v>
      </c>
      <c r="I355" s="68" t="e">
        <f t="shared" si="5"/>
        <v>#REF!</v>
      </c>
    </row>
    <row r="356" spans="1:9" x14ac:dyDescent="0.25">
      <c r="A356" s="61" t="e">
        <f>'ERROR FINAL'!#REF!</f>
        <v>#REF!</v>
      </c>
      <c r="B356" s="62" t="e">
        <f>'ERROR FINAL'!#REF!</f>
        <v>#REF!</v>
      </c>
      <c r="C356" s="63" t="e">
        <f>'ERROR FINAL'!#REF!</f>
        <v>#REF!</v>
      </c>
      <c r="D356" s="64" t="e">
        <f>'ERROR FINAL'!#REF!</f>
        <v>#REF!</v>
      </c>
      <c r="E356" s="65" t="e">
        <f>'ERROR FINAL'!#REF!</f>
        <v>#REF!</v>
      </c>
      <c r="F356" s="66" t="e">
        <f>'ERROR FINAL'!#REF!</f>
        <v>#REF!</v>
      </c>
      <c r="G356" s="66" t="e">
        <f>'ERROR FINAL'!#REF!</f>
        <v>#REF!</v>
      </c>
      <c r="H356" s="67" t="e">
        <f>IF('ERROR FINAL'!#REF!="CONFORME","CONFORME","NO CONFORME")</f>
        <v>#REF!</v>
      </c>
      <c r="I356" s="68" t="e">
        <f t="shared" si="5"/>
        <v>#REF!</v>
      </c>
    </row>
    <row r="357" spans="1:9" x14ac:dyDescent="0.25">
      <c r="A357" s="61" t="e">
        <f>'ERROR FINAL'!#REF!</f>
        <v>#REF!</v>
      </c>
      <c r="B357" s="62" t="e">
        <f>'ERROR FINAL'!#REF!</f>
        <v>#REF!</v>
      </c>
      <c r="C357" s="63" t="e">
        <f>'ERROR FINAL'!#REF!</f>
        <v>#REF!</v>
      </c>
      <c r="D357" s="64" t="e">
        <f>'ERROR FINAL'!#REF!</f>
        <v>#REF!</v>
      </c>
      <c r="E357" s="65" t="e">
        <f>'ERROR FINAL'!#REF!</f>
        <v>#REF!</v>
      </c>
      <c r="F357" s="66" t="e">
        <f>'ERROR FINAL'!#REF!</f>
        <v>#REF!</v>
      </c>
      <c r="G357" s="66" t="e">
        <f>'ERROR FINAL'!#REF!</f>
        <v>#REF!</v>
      </c>
      <c r="H357" s="67" t="e">
        <f>IF('ERROR FINAL'!#REF!="CONFORME","CONFORME","NO CONFORME")</f>
        <v>#REF!</v>
      </c>
      <c r="I357" s="68" t="e">
        <f t="shared" si="5"/>
        <v>#REF!</v>
      </c>
    </row>
    <row r="358" spans="1:9" x14ac:dyDescent="0.25">
      <c r="A358" s="61" t="e">
        <f>'ERROR FINAL'!#REF!</f>
        <v>#REF!</v>
      </c>
      <c r="B358" s="62" t="e">
        <f>'ERROR FINAL'!#REF!</f>
        <v>#REF!</v>
      </c>
      <c r="C358" s="63" t="e">
        <f>'ERROR FINAL'!#REF!</f>
        <v>#REF!</v>
      </c>
      <c r="D358" s="64" t="e">
        <f>'ERROR FINAL'!#REF!</f>
        <v>#REF!</v>
      </c>
      <c r="E358" s="65" t="e">
        <f>'ERROR FINAL'!#REF!</f>
        <v>#REF!</v>
      </c>
      <c r="F358" s="66" t="e">
        <f>'ERROR FINAL'!#REF!</f>
        <v>#REF!</v>
      </c>
      <c r="G358" s="66" t="e">
        <f>'ERROR FINAL'!#REF!</f>
        <v>#REF!</v>
      </c>
      <c r="H358" s="67" t="e">
        <f>IF('ERROR FINAL'!#REF!="CONFORME","CONFORME","NO CONFORME")</f>
        <v>#REF!</v>
      </c>
      <c r="I358" s="68" t="e">
        <f t="shared" si="5"/>
        <v>#REF!</v>
      </c>
    </row>
    <row r="359" spans="1:9" x14ac:dyDescent="0.25">
      <c r="A359" s="61" t="e">
        <f>'ERROR FINAL'!#REF!</f>
        <v>#REF!</v>
      </c>
      <c r="B359" s="62" t="e">
        <f>'ERROR FINAL'!#REF!</f>
        <v>#REF!</v>
      </c>
      <c r="C359" s="63" t="e">
        <f>'ERROR FINAL'!#REF!</f>
        <v>#REF!</v>
      </c>
      <c r="D359" s="64" t="e">
        <f>'ERROR FINAL'!#REF!</f>
        <v>#REF!</v>
      </c>
      <c r="E359" s="65" t="e">
        <f>'ERROR FINAL'!#REF!</f>
        <v>#REF!</v>
      </c>
      <c r="F359" s="66" t="e">
        <f>'ERROR FINAL'!#REF!</f>
        <v>#REF!</v>
      </c>
      <c r="G359" s="66" t="e">
        <f>'ERROR FINAL'!#REF!</f>
        <v>#REF!</v>
      </c>
      <c r="H359" s="67" t="e">
        <f>IF('ERROR FINAL'!#REF!="CONFORME","CONFORME","NO CONFORME")</f>
        <v>#REF!</v>
      </c>
      <c r="I359" s="68" t="e">
        <f t="shared" si="5"/>
        <v>#REF!</v>
      </c>
    </row>
    <row r="360" spans="1:9" x14ac:dyDescent="0.25">
      <c r="A360" s="61" t="e">
        <f>'ERROR FINAL'!#REF!</f>
        <v>#REF!</v>
      </c>
      <c r="B360" s="62" t="e">
        <f>'ERROR FINAL'!#REF!</f>
        <v>#REF!</v>
      </c>
      <c r="C360" s="63" t="e">
        <f>'ERROR FINAL'!#REF!</f>
        <v>#REF!</v>
      </c>
      <c r="D360" s="64" t="e">
        <f>'ERROR FINAL'!#REF!</f>
        <v>#REF!</v>
      </c>
      <c r="E360" s="65" t="e">
        <f>'ERROR FINAL'!#REF!</f>
        <v>#REF!</v>
      </c>
      <c r="F360" s="66" t="e">
        <f>'ERROR FINAL'!#REF!</f>
        <v>#REF!</v>
      </c>
      <c r="G360" s="66" t="e">
        <f>'ERROR FINAL'!#REF!</f>
        <v>#REF!</v>
      </c>
      <c r="H360" s="67" t="e">
        <f>IF('ERROR FINAL'!#REF!="CONFORME","CONFORME","NO CONFORME")</f>
        <v>#REF!</v>
      </c>
      <c r="I360" s="68" t="e">
        <f t="shared" si="5"/>
        <v>#REF!</v>
      </c>
    </row>
    <row r="361" spans="1:9" x14ac:dyDescent="0.25">
      <c r="A361" s="61" t="e">
        <f>'ERROR FINAL'!#REF!</f>
        <v>#REF!</v>
      </c>
      <c r="B361" s="62" t="e">
        <f>'ERROR FINAL'!#REF!</f>
        <v>#REF!</v>
      </c>
      <c r="C361" s="63" t="e">
        <f>'ERROR FINAL'!#REF!</f>
        <v>#REF!</v>
      </c>
      <c r="D361" s="64" t="e">
        <f>'ERROR FINAL'!#REF!</f>
        <v>#REF!</v>
      </c>
      <c r="E361" s="65" t="e">
        <f>'ERROR FINAL'!#REF!</f>
        <v>#REF!</v>
      </c>
      <c r="F361" s="66" t="e">
        <f>'ERROR FINAL'!#REF!</f>
        <v>#REF!</v>
      </c>
      <c r="G361" s="66" t="e">
        <f>'ERROR FINAL'!#REF!</f>
        <v>#REF!</v>
      </c>
      <c r="H361" s="67" t="e">
        <f>IF('ERROR FINAL'!#REF!="CONFORME","CONFORME","NO CONFORME")</f>
        <v>#REF!</v>
      </c>
      <c r="I361" s="68" t="e">
        <f t="shared" si="5"/>
        <v>#REF!</v>
      </c>
    </row>
    <row r="362" spans="1:9" x14ac:dyDescent="0.25">
      <c r="A362" s="61" t="e">
        <f>'ERROR FINAL'!#REF!</f>
        <v>#REF!</v>
      </c>
      <c r="B362" s="62" t="e">
        <f>'ERROR FINAL'!#REF!</f>
        <v>#REF!</v>
      </c>
      <c r="C362" s="63" t="e">
        <f>'ERROR FINAL'!#REF!</f>
        <v>#REF!</v>
      </c>
      <c r="D362" s="64" t="e">
        <f>'ERROR FINAL'!#REF!</f>
        <v>#REF!</v>
      </c>
      <c r="E362" s="65" t="e">
        <f>'ERROR FINAL'!#REF!</f>
        <v>#REF!</v>
      </c>
      <c r="F362" s="66" t="e">
        <f>'ERROR FINAL'!#REF!</f>
        <v>#REF!</v>
      </c>
      <c r="G362" s="66" t="e">
        <f>'ERROR FINAL'!#REF!</f>
        <v>#REF!</v>
      </c>
      <c r="H362" s="67" t="e">
        <f>IF('ERROR FINAL'!#REF!="CONFORME","CONFORME","NO CONFORME")</f>
        <v>#REF!</v>
      </c>
      <c r="I362" s="68" t="e">
        <f t="shared" si="5"/>
        <v>#REF!</v>
      </c>
    </row>
    <row r="363" spans="1:9" x14ac:dyDescent="0.25">
      <c r="A363" s="61" t="e">
        <f>'ERROR FINAL'!#REF!</f>
        <v>#REF!</v>
      </c>
      <c r="B363" s="62" t="e">
        <f>'ERROR FINAL'!#REF!</f>
        <v>#REF!</v>
      </c>
      <c r="C363" s="63" t="e">
        <f>'ERROR FINAL'!#REF!</f>
        <v>#REF!</v>
      </c>
      <c r="D363" s="64" t="e">
        <f>'ERROR FINAL'!#REF!</f>
        <v>#REF!</v>
      </c>
      <c r="E363" s="65" t="e">
        <f>'ERROR FINAL'!#REF!</f>
        <v>#REF!</v>
      </c>
      <c r="F363" s="66" t="e">
        <f>'ERROR FINAL'!#REF!</f>
        <v>#REF!</v>
      </c>
      <c r="G363" s="66" t="e">
        <f>'ERROR FINAL'!#REF!</f>
        <v>#REF!</v>
      </c>
      <c r="H363" s="67" t="e">
        <f>IF('ERROR FINAL'!#REF!="CONFORME","CONFORME","NO CONFORME")</f>
        <v>#REF!</v>
      </c>
      <c r="I363" s="68" t="e">
        <f t="shared" si="5"/>
        <v>#REF!</v>
      </c>
    </row>
    <row r="364" spans="1:9" x14ac:dyDescent="0.25">
      <c r="A364" s="61" t="e">
        <f>'ERROR FINAL'!#REF!</f>
        <v>#REF!</v>
      </c>
      <c r="B364" s="62" t="e">
        <f>'ERROR FINAL'!#REF!</f>
        <v>#REF!</v>
      </c>
      <c r="C364" s="63" t="e">
        <f>'ERROR FINAL'!#REF!</f>
        <v>#REF!</v>
      </c>
      <c r="D364" s="64" t="e">
        <f>'ERROR FINAL'!#REF!</f>
        <v>#REF!</v>
      </c>
      <c r="E364" s="65" t="e">
        <f>'ERROR FINAL'!#REF!</f>
        <v>#REF!</v>
      </c>
      <c r="F364" s="66" t="e">
        <f>'ERROR FINAL'!#REF!</f>
        <v>#REF!</v>
      </c>
      <c r="G364" s="66" t="e">
        <f>'ERROR FINAL'!#REF!</f>
        <v>#REF!</v>
      </c>
      <c r="H364" s="67" t="e">
        <f>IF('ERROR FINAL'!#REF!="CONFORME","CONFORME","NO CONFORME")</f>
        <v>#REF!</v>
      </c>
      <c r="I364" s="68" t="e">
        <f t="shared" si="5"/>
        <v>#REF!</v>
      </c>
    </row>
    <row r="365" spans="1:9" x14ac:dyDescent="0.25">
      <c r="A365" s="61" t="e">
        <f>'ERROR FINAL'!#REF!</f>
        <v>#REF!</v>
      </c>
      <c r="B365" s="62" t="e">
        <f>'ERROR FINAL'!#REF!</f>
        <v>#REF!</v>
      </c>
      <c r="C365" s="63" t="e">
        <f>'ERROR FINAL'!#REF!</f>
        <v>#REF!</v>
      </c>
      <c r="D365" s="64" t="e">
        <f>'ERROR FINAL'!#REF!</f>
        <v>#REF!</v>
      </c>
      <c r="E365" s="65" t="e">
        <f>'ERROR FINAL'!#REF!</f>
        <v>#REF!</v>
      </c>
      <c r="F365" s="66" t="e">
        <f>'ERROR FINAL'!#REF!</f>
        <v>#REF!</v>
      </c>
      <c r="G365" s="66" t="e">
        <f>'ERROR FINAL'!#REF!</f>
        <v>#REF!</v>
      </c>
      <c r="H365" s="67" t="e">
        <f>IF('ERROR FINAL'!#REF!="CONFORME","CONFORME","NO CONFORME")</f>
        <v>#REF!</v>
      </c>
      <c r="I365" s="68" t="e">
        <f t="shared" si="5"/>
        <v>#REF!</v>
      </c>
    </row>
    <row r="366" spans="1:9" x14ac:dyDescent="0.25">
      <c r="A366" s="61" t="e">
        <f>'ERROR FINAL'!#REF!</f>
        <v>#REF!</v>
      </c>
      <c r="B366" s="62" t="e">
        <f>'ERROR FINAL'!#REF!</f>
        <v>#REF!</v>
      </c>
      <c r="C366" s="63" t="e">
        <f>'ERROR FINAL'!#REF!</f>
        <v>#REF!</v>
      </c>
      <c r="D366" s="64" t="e">
        <f>'ERROR FINAL'!#REF!</f>
        <v>#REF!</v>
      </c>
      <c r="E366" s="65" t="e">
        <f>'ERROR FINAL'!#REF!</f>
        <v>#REF!</v>
      </c>
      <c r="F366" s="66" t="e">
        <f>'ERROR FINAL'!#REF!</f>
        <v>#REF!</v>
      </c>
      <c r="G366" s="66" t="e">
        <f>'ERROR FINAL'!#REF!</f>
        <v>#REF!</v>
      </c>
      <c r="H366" s="67" t="e">
        <f>IF('ERROR FINAL'!#REF!="CONFORME","CONFORME","NO CONFORME")</f>
        <v>#REF!</v>
      </c>
      <c r="I366" s="68" t="e">
        <f t="shared" si="5"/>
        <v>#REF!</v>
      </c>
    </row>
    <row r="367" spans="1:9" x14ac:dyDescent="0.25">
      <c r="A367" s="61" t="e">
        <f>'ERROR FINAL'!#REF!</f>
        <v>#REF!</v>
      </c>
      <c r="B367" s="62" t="e">
        <f>'ERROR FINAL'!#REF!</f>
        <v>#REF!</v>
      </c>
      <c r="C367" s="63" t="e">
        <f>'ERROR FINAL'!#REF!</f>
        <v>#REF!</v>
      </c>
      <c r="D367" s="64" t="e">
        <f>'ERROR FINAL'!#REF!</f>
        <v>#REF!</v>
      </c>
      <c r="E367" s="65" t="e">
        <f>'ERROR FINAL'!#REF!</f>
        <v>#REF!</v>
      </c>
      <c r="F367" s="66" t="e">
        <f>'ERROR FINAL'!#REF!</f>
        <v>#REF!</v>
      </c>
      <c r="G367" s="66" t="e">
        <f>'ERROR FINAL'!#REF!</f>
        <v>#REF!</v>
      </c>
      <c r="H367" s="67" t="e">
        <f>IF('ERROR FINAL'!#REF!="CONFORME","CONFORME","NO CONFORME")</f>
        <v>#REF!</v>
      </c>
      <c r="I367" s="68" t="e">
        <f t="shared" si="5"/>
        <v>#REF!</v>
      </c>
    </row>
    <row r="368" spans="1:9" x14ac:dyDescent="0.25">
      <c r="A368" s="61" t="e">
        <f>'ERROR FINAL'!#REF!</f>
        <v>#REF!</v>
      </c>
      <c r="B368" s="62" t="e">
        <f>'ERROR FINAL'!#REF!</f>
        <v>#REF!</v>
      </c>
      <c r="C368" s="63" t="e">
        <f>'ERROR FINAL'!#REF!</f>
        <v>#REF!</v>
      </c>
      <c r="D368" s="64" t="e">
        <f>'ERROR FINAL'!#REF!</f>
        <v>#REF!</v>
      </c>
      <c r="E368" s="65" t="e">
        <f>'ERROR FINAL'!#REF!</f>
        <v>#REF!</v>
      </c>
      <c r="F368" s="66" t="e">
        <f>'ERROR FINAL'!#REF!</f>
        <v>#REF!</v>
      </c>
      <c r="G368" s="66" t="e">
        <f>'ERROR FINAL'!#REF!</f>
        <v>#REF!</v>
      </c>
      <c r="H368" s="67" t="e">
        <f>IF('ERROR FINAL'!#REF!="CONFORME","CONFORME","NO CONFORME")</f>
        <v>#REF!</v>
      </c>
      <c r="I368" s="68" t="e">
        <f t="shared" si="5"/>
        <v>#REF!</v>
      </c>
    </row>
    <row r="369" spans="1:9" x14ac:dyDescent="0.25">
      <c r="A369" s="61" t="e">
        <f>'ERROR FINAL'!#REF!</f>
        <v>#REF!</v>
      </c>
      <c r="B369" s="62" t="e">
        <f>'ERROR FINAL'!#REF!</f>
        <v>#REF!</v>
      </c>
      <c r="C369" s="63" t="e">
        <f>'ERROR FINAL'!#REF!</f>
        <v>#REF!</v>
      </c>
      <c r="D369" s="64" t="e">
        <f>'ERROR FINAL'!#REF!</f>
        <v>#REF!</v>
      </c>
      <c r="E369" s="65" t="e">
        <f>'ERROR FINAL'!#REF!</f>
        <v>#REF!</v>
      </c>
      <c r="F369" s="66" t="e">
        <f>'ERROR FINAL'!#REF!</f>
        <v>#REF!</v>
      </c>
      <c r="G369" s="66" t="e">
        <f>'ERROR FINAL'!#REF!</f>
        <v>#REF!</v>
      </c>
      <c r="H369" s="67" t="e">
        <f>IF('ERROR FINAL'!#REF!="CONFORME","CONFORME","NO CONFORME")</f>
        <v>#REF!</v>
      </c>
      <c r="I369" s="68" t="e">
        <f t="shared" si="5"/>
        <v>#REF!</v>
      </c>
    </row>
    <row r="370" spans="1:9" x14ac:dyDescent="0.25">
      <c r="A370" s="61" t="e">
        <f>'ERROR FINAL'!#REF!</f>
        <v>#REF!</v>
      </c>
      <c r="B370" s="62" t="e">
        <f>'ERROR FINAL'!#REF!</f>
        <v>#REF!</v>
      </c>
      <c r="C370" s="63" t="e">
        <f>'ERROR FINAL'!#REF!</f>
        <v>#REF!</v>
      </c>
      <c r="D370" s="64" t="e">
        <f>'ERROR FINAL'!#REF!</f>
        <v>#REF!</v>
      </c>
      <c r="E370" s="65" t="e">
        <f>'ERROR FINAL'!#REF!</f>
        <v>#REF!</v>
      </c>
      <c r="F370" s="66" t="e">
        <f>'ERROR FINAL'!#REF!</f>
        <v>#REF!</v>
      </c>
      <c r="G370" s="66" t="e">
        <f>'ERROR FINAL'!#REF!</f>
        <v>#REF!</v>
      </c>
      <c r="H370" s="67" t="e">
        <f>IF('ERROR FINAL'!#REF!="CONFORME","CONFORME","NO CONFORME")</f>
        <v>#REF!</v>
      </c>
      <c r="I370" s="68" t="e">
        <f t="shared" si="5"/>
        <v>#REF!</v>
      </c>
    </row>
    <row r="371" spans="1:9" x14ac:dyDescent="0.25">
      <c r="A371" s="61" t="e">
        <f>'ERROR FINAL'!#REF!</f>
        <v>#REF!</v>
      </c>
      <c r="B371" s="62" t="e">
        <f>'ERROR FINAL'!#REF!</f>
        <v>#REF!</v>
      </c>
      <c r="C371" s="63" t="e">
        <f>'ERROR FINAL'!#REF!</f>
        <v>#REF!</v>
      </c>
      <c r="D371" s="64" t="e">
        <f>'ERROR FINAL'!#REF!</f>
        <v>#REF!</v>
      </c>
      <c r="E371" s="65" t="e">
        <f>'ERROR FINAL'!#REF!</f>
        <v>#REF!</v>
      </c>
      <c r="F371" s="66" t="e">
        <f>'ERROR FINAL'!#REF!</f>
        <v>#REF!</v>
      </c>
      <c r="G371" s="66" t="e">
        <f>'ERROR FINAL'!#REF!</f>
        <v>#REF!</v>
      </c>
      <c r="H371" s="67" t="e">
        <f>IF('ERROR FINAL'!#REF!="CONFORME","CONFORME","NO CONFORME")</f>
        <v>#REF!</v>
      </c>
      <c r="I371" s="68" t="e">
        <f t="shared" si="5"/>
        <v>#REF!</v>
      </c>
    </row>
    <row r="372" spans="1:9" x14ac:dyDescent="0.25">
      <c r="A372" s="61" t="e">
        <f>'ERROR FINAL'!#REF!</f>
        <v>#REF!</v>
      </c>
      <c r="B372" s="62" t="e">
        <f>'ERROR FINAL'!#REF!</f>
        <v>#REF!</v>
      </c>
      <c r="C372" s="63" t="e">
        <f>'ERROR FINAL'!#REF!</f>
        <v>#REF!</v>
      </c>
      <c r="D372" s="64" t="e">
        <f>'ERROR FINAL'!#REF!</f>
        <v>#REF!</v>
      </c>
      <c r="E372" s="65" t="e">
        <f>'ERROR FINAL'!#REF!</f>
        <v>#REF!</v>
      </c>
      <c r="F372" s="66" t="e">
        <f>'ERROR FINAL'!#REF!</f>
        <v>#REF!</v>
      </c>
      <c r="G372" s="66" t="e">
        <f>'ERROR FINAL'!#REF!</f>
        <v>#REF!</v>
      </c>
      <c r="H372" s="67" t="e">
        <f>IF('ERROR FINAL'!#REF!="CONFORME","CONFORME","NO CONFORME")</f>
        <v>#REF!</v>
      </c>
      <c r="I372" s="68" t="e">
        <f t="shared" si="5"/>
        <v>#REF!</v>
      </c>
    </row>
    <row r="373" spans="1:9" x14ac:dyDescent="0.25">
      <c r="A373" s="61" t="e">
        <f>'ERROR FINAL'!#REF!</f>
        <v>#REF!</v>
      </c>
      <c r="B373" s="62" t="e">
        <f>'ERROR FINAL'!#REF!</f>
        <v>#REF!</v>
      </c>
      <c r="C373" s="63" t="e">
        <f>'ERROR FINAL'!#REF!</f>
        <v>#REF!</v>
      </c>
      <c r="D373" s="64" t="e">
        <f>'ERROR FINAL'!#REF!</f>
        <v>#REF!</v>
      </c>
      <c r="E373" s="65" t="e">
        <f>'ERROR FINAL'!#REF!</f>
        <v>#REF!</v>
      </c>
      <c r="F373" s="66" t="e">
        <f>'ERROR FINAL'!#REF!</f>
        <v>#REF!</v>
      </c>
      <c r="G373" s="66" t="e">
        <f>'ERROR FINAL'!#REF!</f>
        <v>#REF!</v>
      </c>
      <c r="H373" s="67" t="e">
        <f>IF('ERROR FINAL'!#REF!="CONFORME","CONFORME","NO CONFORME")</f>
        <v>#REF!</v>
      </c>
      <c r="I373" s="68" t="e">
        <f t="shared" si="5"/>
        <v>#REF!</v>
      </c>
    </row>
    <row r="374" spans="1:9" x14ac:dyDescent="0.25">
      <c r="A374" s="61" t="e">
        <f>'ERROR FINAL'!#REF!</f>
        <v>#REF!</v>
      </c>
      <c r="B374" s="62" t="e">
        <f>'ERROR FINAL'!#REF!</f>
        <v>#REF!</v>
      </c>
      <c r="C374" s="63" t="e">
        <f>'ERROR FINAL'!#REF!</f>
        <v>#REF!</v>
      </c>
      <c r="D374" s="64" t="e">
        <f>'ERROR FINAL'!#REF!</f>
        <v>#REF!</v>
      </c>
      <c r="E374" s="65" t="e">
        <f>'ERROR FINAL'!#REF!</f>
        <v>#REF!</v>
      </c>
      <c r="F374" s="66" t="e">
        <f>'ERROR FINAL'!#REF!</f>
        <v>#REF!</v>
      </c>
      <c r="G374" s="66" t="e">
        <f>'ERROR FINAL'!#REF!</f>
        <v>#REF!</v>
      </c>
      <c r="H374" s="67" t="e">
        <f>IF('ERROR FINAL'!#REF!="CONFORME","CONFORME","NO CONFORME")</f>
        <v>#REF!</v>
      </c>
      <c r="I374" s="68" t="e">
        <f t="shared" si="5"/>
        <v>#REF!</v>
      </c>
    </row>
    <row r="375" spans="1:9" x14ac:dyDescent="0.25">
      <c r="A375" s="61" t="e">
        <f>'ERROR FINAL'!#REF!</f>
        <v>#REF!</v>
      </c>
      <c r="B375" s="62" t="e">
        <f>'ERROR FINAL'!#REF!</f>
        <v>#REF!</v>
      </c>
      <c r="C375" s="63" t="e">
        <f>'ERROR FINAL'!#REF!</f>
        <v>#REF!</v>
      </c>
      <c r="D375" s="64" t="e">
        <f>'ERROR FINAL'!#REF!</f>
        <v>#REF!</v>
      </c>
      <c r="E375" s="65" t="e">
        <f>'ERROR FINAL'!#REF!</f>
        <v>#REF!</v>
      </c>
      <c r="F375" s="66" t="e">
        <f>'ERROR FINAL'!#REF!</f>
        <v>#REF!</v>
      </c>
      <c r="G375" s="66" t="e">
        <f>'ERROR FINAL'!#REF!</f>
        <v>#REF!</v>
      </c>
      <c r="H375" s="67" t="e">
        <f>IF('ERROR FINAL'!#REF!="CONFORME","CONFORME","NO CONFORME")</f>
        <v>#REF!</v>
      </c>
      <c r="I375" s="68" t="e">
        <f t="shared" si="5"/>
        <v>#REF!</v>
      </c>
    </row>
    <row r="376" spans="1:9" x14ac:dyDescent="0.25">
      <c r="A376" s="61" t="e">
        <f>'ERROR FINAL'!#REF!</f>
        <v>#REF!</v>
      </c>
      <c r="B376" s="62" t="e">
        <f>'ERROR FINAL'!#REF!</f>
        <v>#REF!</v>
      </c>
      <c r="C376" s="63" t="e">
        <f>'ERROR FINAL'!#REF!</f>
        <v>#REF!</v>
      </c>
      <c r="D376" s="64" t="e">
        <f>'ERROR FINAL'!#REF!</f>
        <v>#REF!</v>
      </c>
      <c r="E376" s="65" t="e">
        <f>'ERROR FINAL'!#REF!</f>
        <v>#REF!</v>
      </c>
      <c r="F376" s="66" t="e">
        <f>'ERROR FINAL'!#REF!</f>
        <v>#REF!</v>
      </c>
      <c r="G376" s="66" t="e">
        <f>'ERROR FINAL'!#REF!</f>
        <v>#REF!</v>
      </c>
      <c r="H376" s="67" t="e">
        <f>IF('ERROR FINAL'!#REF!="CONFORME","CONFORME","NO CONFORME")</f>
        <v>#REF!</v>
      </c>
      <c r="I376" s="68" t="e">
        <f t="shared" si="5"/>
        <v>#REF!</v>
      </c>
    </row>
    <row r="377" spans="1:9" x14ac:dyDescent="0.25">
      <c r="A377" s="61" t="e">
        <f>'ERROR FINAL'!#REF!</f>
        <v>#REF!</v>
      </c>
      <c r="B377" s="62" t="e">
        <f>'ERROR FINAL'!#REF!</f>
        <v>#REF!</v>
      </c>
      <c r="C377" s="63" t="e">
        <f>'ERROR FINAL'!#REF!</f>
        <v>#REF!</v>
      </c>
      <c r="D377" s="64" t="e">
        <f>'ERROR FINAL'!#REF!</f>
        <v>#REF!</v>
      </c>
      <c r="E377" s="65" t="e">
        <f>'ERROR FINAL'!#REF!</f>
        <v>#REF!</v>
      </c>
      <c r="F377" s="66" t="e">
        <f>'ERROR FINAL'!#REF!</f>
        <v>#REF!</v>
      </c>
      <c r="G377" s="66" t="e">
        <f>'ERROR FINAL'!#REF!</f>
        <v>#REF!</v>
      </c>
      <c r="H377" s="67" t="e">
        <f>IF('ERROR FINAL'!#REF!="CONFORME","CONFORME","NO CONFORME")</f>
        <v>#REF!</v>
      </c>
      <c r="I377" s="68" t="e">
        <f t="shared" si="5"/>
        <v>#REF!</v>
      </c>
    </row>
    <row r="378" spans="1:9" x14ac:dyDescent="0.25">
      <c r="A378" s="61" t="e">
        <f>'ERROR FINAL'!#REF!</f>
        <v>#REF!</v>
      </c>
      <c r="B378" s="62" t="e">
        <f>'ERROR FINAL'!#REF!</f>
        <v>#REF!</v>
      </c>
      <c r="C378" s="63" t="e">
        <f>'ERROR FINAL'!#REF!</f>
        <v>#REF!</v>
      </c>
      <c r="D378" s="64" t="e">
        <f>'ERROR FINAL'!#REF!</f>
        <v>#REF!</v>
      </c>
      <c r="E378" s="65" t="e">
        <f>'ERROR FINAL'!#REF!</f>
        <v>#REF!</v>
      </c>
      <c r="F378" s="66" t="e">
        <f>'ERROR FINAL'!#REF!</f>
        <v>#REF!</v>
      </c>
      <c r="G378" s="66" t="e">
        <f>'ERROR FINAL'!#REF!</f>
        <v>#REF!</v>
      </c>
      <c r="H378" s="67" t="e">
        <f>IF('ERROR FINAL'!#REF!="CONFORME","CONFORME","NO CONFORME")</f>
        <v>#REF!</v>
      </c>
      <c r="I378" s="68" t="e">
        <f t="shared" si="5"/>
        <v>#REF!</v>
      </c>
    </row>
    <row r="379" spans="1:9" x14ac:dyDescent="0.25">
      <c r="A379" s="61" t="e">
        <f>'ERROR FINAL'!#REF!</f>
        <v>#REF!</v>
      </c>
      <c r="B379" s="62" t="e">
        <f>'ERROR FINAL'!#REF!</f>
        <v>#REF!</v>
      </c>
      <c r="C379" s="63" t="e">
        <f>'ERROR FINAL'!#REF!</f>
        <v>#REF!</v>
      </c>
      <c r="D379" s="64" t="e">
        <f>'ERROR FINAL'!#REF!</f>
        <v>#REF!</v>
      </c>
      <c r="E379" s="65" t="e">
        <f>'ERROR FINAL'!#REF!</f>
        <v>#REF!</v>
      </c>
      <c r="F379" s="66" t="e">
        <f>'ERROR FINAL'!#REF!</f>
        <v>#REF!</v>
      </c>
      <c r="G379" s="66" t="e">
        <f>'ERROR FINAL'!#REF!</f>
        <v>#REF!</v>
      </c>
      <c r="H379" s="67" t="e">
        <f>IF('ERROR FINAL'!#REF!="CONFORME","CONFORME","NO CONFORME")</f>
        <v>#REF!</v>
      </c>
      <c r="I379" s="68" t="e">
        <f t="shared" si="5"/>
        <v>#REF!</v>
      </c>
    </row>
    <row r="380" spans="1:9" x14ac:dyDescent="0.25">
      <c r="A380" s="61" t="e">
        <f>'ERROR FINAL'!#REF!</f>
        <v>#REF!</v>
      </c>
      <c r="B380" s="62" t="e">
        <f>'ERROR FINAL'!#REF!</f>
        <v>#REF!</v>
      </c>
      <c r="C380" s="63" t="e">
        <f>'ERROR FINAL'!#REF!</f>
        <v>#REF!</v>
      </c>
      <c r="D380" s="64" t="e">
        <f>'ERROR FINAL'!#REF!</f>
        <v>#REF!</v>
      </c>
      <c r="E380" s="65" t="e">
        <f>'ERROR FINAL'!#REF!</f>
        <v>#REF!</v>
      </c>
      <c r="F380" s="66" t="e">
        <f>'ERROR FINAL'!#REF!</f>
        <v>#REF!</v>
      </c>
      <c r="G380" s="66" t="e">
        <f>'ERROR FINAL'!#REF!</f>
        <v>#REF!</v>
      </c>
      <c r="H380" s="67" t="e">
        <f>IF('ERROR FINAL'!#REF!="CONFORME","CONFORME","NO CONFORME")</f>
        <v>#REF!</v>
      </c>
      <c r="I380" s="68" t="e">
        <f t="shared" si="5"/>
        <v>#REF!</v>
      </c>
    </row>
    <row r="381" spans="1:9" x14ac:dyDescent="0.25">
      <c r="A381" s="61" t="e">
        <f>'ERROR FINAL'!#REF!</f>
        <v>#REF!</v>
      </c>
      <c r="B381" s="62" t="e">
        <f>'ERROR FINAL'!#REF!</f>
        <v>#REF!</v>
      </c>
      <c r="C381" s="63" t="e">
        <f>'ERROR FINAL'!#REF!</f>
        <v>#REF!</v>
      </c>
      <c r="D381" s="64" t="e">
        <f>'ERROR FINAL'!#REF!</f>
        <v>#REF!</v>
      </c>
      <c r="E381" s="65" t="e">
        <f>'ERROR FINAL'!#REF!</f>
        <v>#REF!</v>
      </c>
      <c r="F381" s="66" t="e">
        <f>'ERROR FINAL'!#REF!</f>
        <v>#REF!</v>
      </c>
      <c r="G381" s="66" t="e">
        <f>'ERROR FINAL'!#REF!</f>
        <v>#REF!</v>
      </c>
      <c r="H381" s="67" t="e">
        <f>IF('ERROR FINAL'!#REF!="CONFORME","CONFORME","NO CONFORME")</f>
        <v>#REF!</v>
      </c>
      <c r="I381" s="68" t="e">
        <f t="shared" si="5"/>
        <v>#REF!</v>
      </c>
    </row>
    <row r="382" spans="1:9" x14ac:dyDescent="0.25">
      <c r="A382" s="61" t="e">
        <f>'ERROR FINAL'!#REF!</f>
        <v>#REF!</v>
      </c>
      <c r="B382" s="62" t="e">
        <f>'ERROR FINAL'!#REF!</f>
        <v>#REF!</v>
      </c>
      <c r="C382" s="63" t="e">
        <f>'ERROR FINAL'!#REF!</f>
        <v>#REF!</v>
      </c>
      <c r="D382" s="64" t="e">
        <f>'ERROR FINAL'!#REF!</f>
        <v>#REF!</v>
      </c>
      <c r="E382" s="65" t="e">
        <f>'ERROR FINAL'!#REF!</f>
        <v>#REF!</v>
      </c>
      <c r="F382" s="66" t="e">
        <f>'ERROR FINAL'!#REF!</f>
        <v>#REF!</v>
      </c>
      <c r="G382" s="66" t="e">
        <f>'ERROR FINAL'!#REF!</f>
        <v>#REF!</v>
      </c>
      <c r="H382" s="67" t="e">
        <f>IF('ERROR FINAL'!#REF!="CONFORME","CONFORME","NO CONFORME")</f>
        <v>#REF!</v>
      </c>
      <c r="I382" s="68" t="e">
        <f t="shared" si="5"/>
        <v>#REF!</v>
      </c>
    </row>
    <row r="383" spans="1:9" x14ac:dyDescent="0.25">
      <c r="A383" s="61" t="e">
        <f>'ERROR FINAL'!#REF!</f>
        <v>#REF!</v>
      </c>
      <c r="B383" s="62" t="e">
        <f>'ERROR FINAL'!#REF!</f>
        <v>#REF!</v>
      </c>
      <c r="C383" s="63" t="e">
        <f>'ERROR FINAL'!#REF!</f>
        <v>#REF!</v>
      </c>
      <c r="D383" s="64" t="e">
        <f>'ERROR FINAL'!#REF!</f>
        <v>#REF!</v>
      </c>
      <c r="E383" s="65" t="e">
        <f>'ERROR FINAL'!#REF!</f>
        <v>#REF!</v>
      </c>
      <c r="F383" s="66" t="e">
        <f>'ERROR FINAL'!#REF!</f>
        <v>#REF!</v>
      </c>
      <c r="G383" s="66" t="e">
        <f>'ERROR FINAL'!#REF!</f>
        <v>#REF!</v>
      </c>
      <c r="H383" s="67" t="e">
        <f>IF('ERROR FINAL'!#REF!="CONFORME","CONFORME","NO CONFORME")</f>
        <v>#REF!</v>
      </c>
      <c r="I383" s="68" t="e">
        <f t="shared" si="5"/>
        <v>#REF!</v>
      </c>
    </row>
    <row r="384" spans="1:9" x14ac:dyDescent="0.25">
      <c r="A384" s="61" t="e">
        <f>'ERROR FINAL'!#REF!</f>
        <v>#REF!</v>
      </c>
      <c r="B384" s="62" t="e">
        <f>'ERROR FINAL'!#REF!</f>
        <v>#REF!</v>
      </c>
      <c r="C384" s="63" t="e">
        <f>'ERROR FINAL'!#REF!</f>
        <v>#REF!</v>
      </c>
      <c r="D384" s="64" t="e">
        <f>'ERROR FINAL'!#REF!</f>
        <v>#REF!</v>
      </c>
      <c r="E384" s="65" t="e">
        <f>'ERROR FINAL'!#REF!</f>
        <v>#REF!</v>
      </c>
      <c r="F384" s="66" t="e">
        <f>'ERROR FINAL'!#REF!</f>
        <v>#REF!</v>
      </c>
      <c r="G384" s="66" t="e">
        <f>'ERROR FINAL'!#REF!</f>
        <v>#REF!</v>
      </c>
      <c r="H384" s="67" t="e">
        <f>IF('ERROR FINAL'!#REF!="CONFORME","CONFORME","NO CONFORME")</f>
        <v>#REF!</v>
      </c>
      <c r="I384" s="68" t="e">
        <f t="shared" si="5"/>
        <v>#REF!</v>
      </c>
    </row>
    <row r="385" spans="1:9" x14ac:dyDescent="0.25">
      <c r="A385" s="61" t="e">
        <f>'ERROR FINAL'!#REF!</f>
        <v>#REF!</v>
      </c>
      <c r="B385" s="62" t="e">
        <f>'ERROR FINAL'!#REF!</f>
        <v>#REF!</v>
      </c>
      <c r="C385" s="63" t="e">
        <f>'ERROR FINAL'!#REF!</f>
        <v>#REF!</v>
      </c>
      <c r="D385" s="64" t="e">
        <f>'ERROR FINAL'!#REF!</f>
        <v>#REF!</v>
      </c>
      <c r="E385" s="65" t="e">
        <f>'ERROR FINAL'!#REF!</f>
        <v>#REF!</v>
      </c>
      <c r="F385" s="66" t="e">
        <f>'ERROR FINAL'!#REF!</f>
        <v>#REF!</v>
      </c>
      <c r="G385" s="66" t="e">
        <f>'ERROR FINAL'!#REF!</f>
        <v>#REF!</v>
      </c>
      <c r="H385" s="67" t="e">
        <f>IF('ERROR FINAL'!#REF!="CONFORME","CONFORME","NO CONFORME")</f>
        <v>#REF!</v>
      </c>
      <c r="I385" s="68" t="e">
        <f t="shared" si="5"/>
        <v>#REF!</v>
      </c>
    </row>
    <row r="386" spans="1:9" x14ac:dyDescent="0.25">
      <c r="A386" s="61" t="e">
        <f>'ERROR FINAL'!#REF!</f>
        <v>#REF!</v>
      </c>
      <c r="B386" s="62" t="e">
        <f>'ERROR FINAL'!#REF!</f>
        <v>#REF!</v>
      </c>
      <c r="C386" s="63" t="e">
        <f>'ERROR FINAL'!#REF!</f>
        <v>#REF!</v>
      </c>
      <c r="D386" s="64" t="e">
        <f>'ERROR FINAL'!#REF!</f>
        <v>#REF!</v>
      </c>
      <c r="E386" s="65" t="e">
        <f>'ERROR FINAL'!#REF!</f>
        <v>#REF!</v>
      </c>
      <c r="F386" s="66" t="e">
        <f>'ERROR FINAL'!#REF!</f>
        <v>#REF!</v>
      </c>
      <c r="G386" s="66" t="e">
        <f>'ERROR FINAL'!#REF!</f>
        <v>#REF!</v>
      </c>
      <c r="H386" s="67" t="e">
        <f>IF('ERROR FINAL'!#REF!="CONFORME","CONFORME","NO CONFORME")</f>
        <v>#REF!</v>
      </c>
      <c r="I386" s="68" t="e">
        <f t="shared" si="5"/>
        <v>#REF!</v>
      </c>
    </row>
    <row r="387" spans="1:9" x14ac:dyDescent="0.25">
      <c r="A387" s="61" t="e">
        <f>'ERROR FINAL'!#REF!</f>
        <v>#REF!</v>
      </c>
      <c r="B387" s="62" t="e">
        <f>'ERROR FINAL'!#REF!</f>
        <v>#REF!</v>
      </c>
      <c r="C387" s="63" t="e">
        <f>'ERROR FINAL'!#REF!</f>
        <v>#REF!</v>
      </c>
      <c r="D387" s="64" t="e">
        <f>'ERROR FINAL'!#REF!</f>
        <v>#REF!</v>
      </c>
      <c r="E387" s="65" t="e">
        <f>'ERROR FINAL'!#REF!</f>
        <v>#REF!</v>
      </c>
      <c r="F387" s="66" t="e">
        <f>'ERROR FINAL'!#REF!</f>
        <v>#REF!</v>
      </c>
      <c r="G387" s="66" t="e">
        <f>'ERROR FINAL'!#REF!</f>
        <v>#REF!</v>
      </c>
      <c r="H387" s="67" t="e">
        <f>IF('ERROR FINAL'!#REF!="CONFORME","CONFORME","NO CONFORME")</f>
        <v>#REF!</v>
      </c>
      <c r="I387" s="68" t="e">
        <f t="shared" si="5"/>
        <v>#REF!</v>
      </c>
    </row>
    <row r="388" spans="1:9" x14ac:dyDescent="0.25">
      <c r="A388" s="61" t="e">
        <f>'ERROR FINAL'!#REF!</f>
        <v>#REF!</v>
      </c>
      <c r="B388" s="62" t="e">
        <f>'ERROR FINAL'!#REF!</f>
        <v>#REF!</v>
      </c>
      <c r="C388" s="63" t="e">
        <f>'ERROR FINAL'!#REF!</f>
        <v>#REF!</v>
      </c>
      <c r="D388" s="64" t="e">
        <f>'ERROR FINAL'!#REF!</f>
        <v>#REF!</v>
      </c>
      <c r="E388" s="65" t="e">
        <f>'ERROR FINAL'!#REF!</f>
        <v>#REF!</v>
      </c>
      <c r="F388" s="66" t="e">
        <f>'ERROR FINAL'!#REF!</f>
        <v>#REF!</v>
      </c>
      <c r="G388" s="66" t="e">
        <f>'ERROR FINAL'!#REF!</f>
        <v>#REF!</v>
      </c>
      <c r="H388" s="67" t="e">
        <f>IF('ERROR FINAL'!#REF!="CONFORME","CONFORME","NO CONFORME")</f>
        <v>#REF!</v>
      </c>
      <c r="I388" s="68" t="e">
        <f t="shared" si="5"/>
        <v>#REF!</v>
      </c>
    </row>
    <row r="389" spans="1:9" x14ac:dyDescent="0.25">
      <c r="A389" s="61" t="e">
        <f>'ERROR FINAL'!#REF!</f>
        <v>#REF!</v>
      </c>
      <c r="B389" s="62" t="e">
        <f>'ERROR FINAL'!#REF!</f>
        <v>#REF!</v>
      </c>
      <c r="C389" s="63" t="e">
        <f>'ERROR FINAL'!#REF!</f>
        <v>#REF!</v>
      </c>
      <c r="D389" s="64" t="e">
        <f>'ERROR FINAL'!#REF!</f>
        <v>#REF!</v>
      </c>
      <c r="E389" s="65" t="e">
        <f>'ERROR FINAL'!#REF!</f>
        <v>#REF!</v>
      </c>
      <c r="F389" s="66" t="e">
        <f>'ERROR FINAL'!#REF!</f>
        <v>#REF!</v>
      </c>
      <c r="G389" s="66" t="e">
        <f>'ERROR FINAL'!#REF!</f>
        <v>#REF!</v>
      </c>
      <c r="H389" s="67" t="e">
        <f>IF('ERROR FINAL'!#REF!="CONFORME","CONFORME","NO CONFORME")</f>
        <v>#REF!</v>
      </c>
      <c r="I389" s="68" t="e">
        <f t="shared" si="5"/>
        <v>#REF!</v>
      </c>
    </row>
    <row r="390" spans="1:9" x14ac:dyDescent="0.25">
      <c r="A390" s="61" t="e">
        <f>'ERROR FINAL'!#REF!</f>
        <v>#REF!</v>
      </c>
      <c r="B390" s="62" t="e">
        <f>'ERROR FINAL'!#REF!</f>
        <v>#REF!</v>
      </c>
      <c r="C390" s="63" t="e">
        <f>'ERROR FINAL'!#REF!</f>
        <v>#REF!</v>
      </c>
      <c r="D390" s="64" t="e">
        <f>'ERROR FINAL'!#REF!</f>
        <v>#REF!</v>
      </c>
      <c r="E390" s="65" t="e">
        <f>'ERROR FINAL'!#REF!</f>
        <v>#REF!</v>
      </c>
      <c r="F390" s="66" t="e">
        <f>'ERROR FINAL'!#REF!</f>
        <v>#REF!</v>
      </c>
      <c r="G390" s="66" t="e">
        <f>'ERROR FINAL'!#REF!</f>
        <v>#REF!</v>
      </c>
      <c r="H390" s="67" t="e">
        <f>IF('ERROR FINAL'!#REF!="CONFORME","CONFORME","NO CONFORME")</f>
        <v>#REF!</v>
      </c>
      <c r="I390" s="68" t="e">
        <f t="shared" si="5"/>
        <v>#REF!</v>
      </c>
    </row>
    <row r="391" spans="1:9" x14ac:dyDescent="0.25">
      <c r="A391" s="61" t="e">
        <f>'ERROR FINAL'!#REF!</f>
        <v>#REF!</v>
      </c>
      <c r="B391" s="62" t="e">
        <f>'ERROR FINAL'!#REF!</f>
        <v>#REF!</v>
      </c>
      <c r="C391" s="63" t="e">
        <f>'ERROR FINAL'!#REF!</f>
        <v>#REF!</v>
      </c>
      <c r="D391" s="64" t="e">
        <f>'ERROR FINAL'!#REF!</f>
        <v>#REF!</v>
      </c>
      <c r="E391" s="65" t="e">
        <f>'ERROR FINAL'!#REF!</f>
        <v>#REF!</v>
      </c>
      <c r="F391" s="66" t="e">
        <f>'ERROR FINAL'!#REF!</f>
        <v>#REF!</v>
      </c>
      <c r="G391" s="66" t="e">
        <f>'ERROR FINAL'!#REF!</f>
        <v>#REF!</v>
      </c>
      <c r="H391" s="67" t="e">
        <f>IF('ERROR FINAL'!#REF!="CONFORME","CONFORME","NO CONFORME")</f>
        <v>#REF!</v>
      </c>
      <c r="I391" s="68" t="e">
        <f t="shared" ref="I391:I454" si="6">IF(D391=0,"Medición",IF(D391=1,"Daño físico",IF(D391=2,"Fuga",IF(D391=3,"Picado",IF(D391=4,"Desfasado",IF(D391=5,"Paralizado","¿?"))))))</f>
        <v>#REF!</v>
      </c>
    </row>
    <row r="392" spans="1:9" x14ac:dyDescent="0.25">
      <c r="A392" s="61" t="e">
        <f>'ERROR FINAL'!#REF!</f>
        <v>#REF!</v>
      </c>
      <c r="B392" s="62" t="e">
        <f>'ERROR FINAL'!#REF!</f>
        <v>#REF!</v>
      </c>
      <c r="C392" s="63" t="e">
        <f>'ERROR FINAL'!#REF!</f>
        <v>#REF!</v>
      </c>
      <c r="D392" s="64" t="e">
        <f>'ERROR FINAL'!#REF!</f>
        <v>#REF!</v>
      </c>
      <c r="E392" s="65" t="e">
        <f>'ERROR FINAL'!#REF!</f>
        <v>#REF!</v>
      </c>
      <c r="F392" s="66" t="e">
        <f>'ERROR FINAL'!#REF!</f>
        <v>#REF!</v>
      </c>
      <c r="G392" s="66" t="e">
        <f>'ERROR FINAL'!#REF!</f>
        <v>#REF!</v>
      </c>
      <c r="H392" s="67" t="e">
        <f>IF('ERROR FINAL'!#REF!="CONFORME","CONFORME","NO CONFORME")</f>
        <v>#REF!</v>
      </c>
      <c r="I392" s="68" t="e">
        <f t="shared" si="6"/>
        <v>#REF!</v>
      </c>
    </row>
    <row r="393" spans="1:9" x14ac:dyDescent="0.25">
      <c r="A393" s="61" t="e">
        <f>'ERROR FINAL'!#REF!</f>
        <v>#REF!</v>
      </c>
      <c r="B393" s="62" t="e">
        <f>'ERROR FINAL'!#REF!</f>
        <v>#REF!</v>
      </c>
      <c r="C393" s="63" t="e">
        <f>'ERROR FINAL'!#REF!</f>
        <v>#REF!</v>
      </c>
      <c r="D393" s="64" t="e">
        <f>'ERROR FINAL'!#REF!</f>
        <v>#REF!</v>
      </c>
      <c r="E393" s="65" t="e">
        <f>'ERROR FINAL'!#REF!</f>
        <v>#REF!</v>
      </c>
      <c r="F393" s="66" t="e">
        <f>'ERROR FINAL'!#REF!</f>
        <v>#REF!</v>
      </c>
      <c r="G393" s="66" t="e">
        <f>'ERROR FINAL'!#REF!</f>
        <v>#REF!</v>
      </c>
      <c r="H393" s="67" t="e">
        <f>IF('ERROR FINAL'!#REF!="CONFORME","CONFORME","NO CONFORME")</f>
        <v>#REF!</v>
      </c>
      <c r="I393" s="68" t="e">
        <f t="shared" si="6"/>
        <v>#REF!</v>
      </c>
    </row>
    <row r="394" spans="1:9" x14ac:dyDescent="0.25">
      <c r="A394" s="61" t="e">
        <f>'ERROR FINAL'!#REF!</f>
        <v>#REF!</v>
      </c>
      <c r="B394" s="62" t="e">
        <f>'ERROR FINAL'!#REF!</f>
        <v>#REF!</v>
      </c>
      <c r="C394" s="63" t="e">
        <f>'ERROR FINAL'!#REF!</f>
        <v>#REF!</v>
      </c>
      <c r="D394" s="64" t="e">
        <f>'ERROR FINAL'!#REF!</f>
        <v>#REF!</v>
      </c>
      <c r="E394" s="65" t="e">
        <f>'ERROR FINAL'!#REF!</f>
        <v>#REF!</v>
      </c>
      <c r="F394" s="66" t="e">
        <f>'ERROR FINAL'!#REF!</f>
        <v>#REF!</v>
      </c>
      <c r="G394" s="66" t="e">
        <f>'ERROR FINAL'!#REF!</f>
        <v>#REF!</v>
      </c>
      <c r="H394" s="67" t="e">
        <f>IF('ERROR FINAL'!#REF!="CONFORME","CONFORME","NO CONFORME")</f>
        <v>#REF!</v>
      </c>
      <c r="I394" s="68" t="e">
        <f t="shared" si="6"/>
        <v>#REF!</v>
      </c>
    </row>
    <row r="395" spans="1:9" x14ac:dyDescent="0.25">
      <c r="A395" s="61" t="e">
        <f>'ERROR FINAL'!#REF!</f>
        <v>#REF!</v>
      </c>
      <c r="B395" s="62" t="e">
        <f>'ERROR FINAL'!#REF!</f>
        <v>#REF!</v>
      </c>
      <c r="C395" s="63" t="e">
        <f>'ERROR FINAL'!#REF!</f>
        <v>#REF!</v>
      </c>
      <c r="D395" s="64" t="e">
        <f>'ERROR FINAL'!#REF!</f>
        <v>#REF!</v>
      </c>
      <c r="E395" s="65" t="e">
        <f>'ERROR FINAL'!#REF!</f>
        <v>#REF!</v>
      </c>
      <c r="F395" s="66" t="e">
        <f>'ERROR FINAL'!#REF!</f>
        <v>#REF!</v>
      </c>
      <c r="G395" s="66" t="e">
        <f>'ERROR FINAL'!#REF!</f>
        <v>#REF!</v>
      </c>
      <c r="H395" s="67" t="e">
        <f>IF('ERROR FINAL'!#REF!="CONFORME","CONFORME","NO CONFORME")</f>
        <v>#REF!</v>
      </c>
      <c r="I395" s="68" t="e">
        <f t="shared" si="6"/>
        <v>#REF!</v>
      </c>
    </row>
    <row r="396" spans="1:9" x14ac:dyDescent="0.25">
      <c r="A396" s="61" t="e">
        <f>'ERROR FINAL'!#REF!</f>
        <v>#REF!</v>
      </c>
      <c r="B396" s="62" t="e">
        <f>'ERROR FINAL'!#REF!</f>
        <v>#REF!</v>
      </c>
      <c r="C396" s="63" t="e">
        <f>'ERROR FINAL'!#REF!</f>
        <v>#REF!</v>
      </c>
      <c r="D396" s="64" t="e">
        <f>'ERROR FINAL'!#REF!</f>
        <v>#REF!</v>
      </c>
      <c r="E396" s="65" t="e">
        <f>'ERROR FINAL'!#REF!</f>
        <v>#REF!</v>
      </c>
      <c r="F396" s="66" t="e">
        <f>'ERROR FINAL'!#REF!</f>
        <v>#REF!</v>
      </c>
      <c r="G396" s="66" t="e">
        <f>'ERROR FINAL'!#REF!</f>
        <v>#REF!</v>
      </c>
      <c r="H396" s="67" t="e">
        <f>IF('ERROR FINAL'!#REF!="CONFORME","CONFORME","NO CONFORME")</f>
        <v>#REF!</v>
      </c>
      <c r="I396" s="68" t="e">
        <f t="shared" si="6"/>
        <v>#REF!</v>
      </c>
    </row>
    <row r="397" spans="1:9" x14ac:dyDescent="0.25">
      <c r="A397" s="61" t="e">
        <f>'ERROR FINAL'!#REF!</f>
        <v>#REF!</v>
      </c>
      <c r="B397" s="62" t="e">
        <f>'ERROR FINAL'!#REF!</f>
        <v>#REF!</v>
      </c>
      <c r="C397" s="63" t="e">
        <f>'ERROR FINAL'!#REF!</f>
        <v>#REF!</v>
      </c>
      <c r="D397" s="64" t="e">
        <f>'ERROR FINAL'!#REF!</f>
        <v>#REF!</v>
      </c>
      <c r="E397" s="65" t="e">
        <f>'ERROR FINAL'!#REF!</f>
        <v>#REF!</v>
      </c>
      <c r="F397" s="66" t="e">
        <f>'ERROR FINAL'!#REF!</f>
        <v>#REF!</v>
      </c>
      <c r="G397" s="66" t="e">
        <f>'ERROR FINAL'!#REF!</f>
        <v>#REF!</v>
      </c>
      <c r="H397" s="67" t="e">
        <f>IF('ERROR FINAL'!#REF!="CONFORME","CONFORME","NO CONFORME")</f>
        <v>#REF!</v>
      </c>
      <c r="I397" s="68" t="e">
        <f t="shared" si="6"/>
        <v>#REF!</v>
      </c>
    </row>
    <row r="398" spans="1:9" x14ac:dyDescent="0.25">
      <c r="A398" s="61" t="e">
        <f>'ERROR FINAL'!#REF!</f>
        <v>#REF!</v>
      </c>
      <c r="B398" s="62" t="e">
        <f>'ERROR FINAL'!#REF!</f>
        <v>#REF!</v>
      </c>
      <c r="C398" s="63" t="e">
        <f>'ERROR FINAL'!#REF!</f>
        <v>#REF!</v>
      </c>
      <c r="D398" s="64" t="e">
        <f>'ERROR FINAL'!#REF!</f>
        <v>#REF!</v>
      </c>
      <c r="E398" s="65" t="e">
        <f>'ERROR FINAL'!#REF!</f>
        <v>#REF!</v>
      </c>
      <c r="F398" s="66" t="e">
        <f>'ERROR FINAL'!#REF!</f>
        <v>#REF!</v>
      </c>
      <c r="G398" s="66" t="e">
        <f>'ERROR FINAL'!#REF!</f>
        <v>#REF!</v>
      </c>
      <c r="H398" s="67" t="e">
        <f>IF('ERROR FINAL'!#REF!="CONFORME","CONFORME","NO CONFORME")</f>
        <v>#REF!</v>
      </c>
      <c r="I398" s="68" t="e">
        <f t="shared" si="6"/>
        <v>#REF!</v>
      </c>
    </row>
    <row r="399" spans="1:9" x14ac:dyDescent="0.25">
      <c r="A399" s="61" t="e">
        <f>'ERROR FINAL'!#REF!</f>
        <v>#REF!</v>
      </c>
      <c r="B399" s="62" t="e">
        <f>'ERROR FINAL'!#REF!</f>
        <v>#REF!</v>
      </c>
      <c r="C399" s="63" t="e">
        <f>'ERROR FINAL'!#REF!</f>
        <v>#REF!</v>
      </c>
      <c r="D399" s="64" t="e">
        <f>'ERROR FINAL'!#REF!</f>
        <v>#REF!</v>
      </c>
      <c r="E399" s="65" t="e">
        <f>'ERROR FINAL'!#REF!</f>
        <v>#REF!</v>
      </c>
      <c r="F399" s="66" t="e">
        <f>'ERROR FINAL'!#REF!</f>
        <v>#REF!</v>
      </c>
      <c r="G399" s="66" t="e">
        <f>'ERROR FINAL'!#REF!</f>
        <v>#REF!</v>
      </c>
      <c r="H399" s="67" t="e">
        <f>IF('ERROR FINAL'!#REF!="CONFORME","CONFORME","NO CONFORME")</f>
        <v>#REF!</v>
      </c>
      <c r="I399" s="68" t="e">
        <f t="shared" si="6"/>
        <v>#REF!</v>
      </c>
    </row>
    <row r="400" spans="1:9" x14ac:dyDescent="0.25">
      <c r="A400" s="61" t="e">
        <f>'ERROR FINAL'!#REF!</f>
        <v>#REF!</v>
      </c>
      <c r="B400" s="62" t="e">
        <f>'ERROR FINAL'!#REF!</f>
        <v>#REF!</v>
      </c>
      <c r="C400" s="63" t="e">
        <f>'ERROR FINAL'!#REF!</f>
        <v>#REF!</v>
      </c>
      <c r="D400" s="64" t="e">
        <f>'ERROR FINAL'!#REF!</f>
        <v>#REF!</v>
      </c>
      <c r="E400" s="65" t="e">
        <f>'ERROR FINAL'!#REF!</f>
        <v>#REF!</v>
      </c>
      <c r="F400" s="66" t="e">
        <f>'ERROR FINAL'!#REF!</f>
        <v>#REF!</v>
      </c>
      <c r="G400" s="66" t="e">
        <f>'ERROR FINAL'!#REF!</f>
        <v>#REF!</v>
      </c>
      <c r="H400" s="67" t="e">
        <f>IF('ERROR FINAL'!#REF!="CONFORME","CONFORME","NO CONFORME")</f>
        <v>#REF!</v>
      </c>
      <c r="I400" s="68" t="e">
        <f t="shared" si="6"/>
        <v>#REF!</v>
      </c>
    </row>
    <row r="401" spans="1:9" x14ac:dyDescent="0.25">
      <c r="A401" s="61" t="e">
        <f>'ERROR FINAL'!#REF!</f>
        <v>#REF!</v>
      </c>
      <c r="B401" s="62" t="e">
        <f>'ERROR FINAL'!#REF!</f>
        <v>#REF!</v>
      </c>
      <c r="C401" s="63" t="e">
        <f>'ERROR FINAL'!#REF!</f>
        <v>#REF!</v>
      </c>
      <c r="D401" s="64" t="e">
        <f>'ERROR FINAL'!#REF!</f>
        <v>#REF!</v>
      </c>
      <c r="E401" s="65" t="e">
        <f>'ERROR FINAL'!#REF!</f>
        <v>#REF!</v>
      </c>
      <c r="F401" s="66" t="e">
        <f>'ERROR FINAL'!#REF!</f>
        <v>#REF!</v>
      </c>
      <c r="G401" s="66" t="e">
        <f>'ERROR FINAL'!#REF!</f>
        <v>#REF!</v>
      </c>
      <c r="H401" s="67" t="e">
        <f>IF('ERROR FINAL'!#REF!="CONFORME","CONFORME","NO CONFORME")</f>
        <v>#REF!</v>
      </c>
      <c r="I401" s="68" t="e">
        <f t="shared" si="6"/>
        <v>#REF!</v>
      </c>
    </row>
    <row r="402" spans="1:9" x14ac:dyDescent="0.25">
      <c r="A402" s="61" t="e">
        <f>'ERROR FINAL'!#REF!</f>
        <v>#REF!</v>
      </c>
      <c r="B402" s="62" t="e">
        <f>'ERROR FINAL'!#REF!</f>
        <v>#REF!</v>
      </c>
      <c r="C402" s="63" t="e">
        <f>'ERROR FINAL'!#REF!</f>
        <v>#REF!</v>
      </c>
      <c r="D402" s="64" t="e">
        <f>'ERROR FINAL'!#REF!</f>
        <v>#REF!</v>
      </c>
      <c r="E402" s="65" t="e">
        <f>'ERROR FINAL'!#REF!</f>
        <v>#REF!</v>
      </c>
      <c r="F402" s="66" t="e">
        <f>'ERROR FINAL'!#REF!</f>
        <v>#REF!</v>
      </c>
      <c r="G402" s="66" t="e">
        <f>'ERROR FINAL'!#REF!</f>
        <v>#REF!</v>
      </c>
      <c r="H402" s="67" t="e">
        <f>IF('ERROR FINAL'!#REF!="CONFORME","CONFORME","NO CONFORME")</f>
        <v>#REF!</v>
      </c>
      <c r="I402" s="68" t="e">
        <f t="shared" si="6"/>
        <v>#REF!</v>
      </c>
    </row>
    <row r="403" spans="1:9" x14ac:dyDescent="0.25">
      <c r="A403" s="61" t="e">
        <f>'ERROR FINAL'!#REF!</f>
        <v>#REF!</v>
      </c>
      <c r="B403" s="62" t="e">
        <f>'ERROR FINAL'!#REF!</f>
        <v>#REF!</v>
      </c>
      <c r="C403" s="63" t="e">
        <f>'ERROR FINAL'!#REF!</f>
        <v>#REF!</v>
      </c>
      <c r="D403" s="64" t="e">
        <f>'ERROR FINAL'!#REF!</f>
        <v>#REF!</v>
      </c>
      <c r="E403" s="65" t="e">
        <f>'ERROR FINAL'!#REF!</f>
        <v>#REF!</v>
      </c>
      <c r="F403" s="66" t="e">
        <f>'ERROR FINAL'!#REF!</f>
        <v>#REF!</v>
      </c>
      <c r="G403" s="66" t="e">
        <f>'ERROR FINAL'!#REF!</f>
        <v>#REF!</v>
      </c>
      <c r="H403" s="67" t="e">
        <f>IF('ERROR FINAL'!#REF!="CONFORME","CONFORME","NO CONFORME")</f>
        <v>#REF!</v>
      </c>
      <c r="I403" s="68" t="e">
        <f t="shared" si="6"/>
        <v>#REF!</v>
      </c>
    </row>
    <row r="404" spans="1:9" x14ac:dyDescent="0.25">
      <c r="A404" s="61" t="e">
        <f>'ERROR FINAL'!#REF!</f>
        <v>#REF!</v>
      </c>
      <c r="B404" s="62" t="e">
        <f>'ERROR FINAL'!#REF!</f>
        <v>#REF!</v>
      </c>
      <c r="C404" s="63" t="e">
        <f>'ERROR FINAL'!#REF!</f>
        <v>#REF!</v>
      </c>
      <c r="D404" s="64" t="e">
        <f>'ERROR FINAL'!#REF!</f>
        <v>#REF!</v>
      </c>
      <c r="E404" s="65" t="e">
        <f>'ERROR FINAL'!#REF!</f>
        <v>#REF!</v>
      </c>
      <c r="F404" s="66" t="e">
        <f>'ERROR FINAL'!#REF!</f>
        <v>#REF!</v>
      </c>
      <c r="G404" s="66" t="e">
        <f>'ERROR FINAL'!#REF!</f>
        <v>#REF!</v>
      </c>
      <c r="H404" s="67" t="e">
        <f>IF('ERROR FINAL'!#REF!="CONFORME","CONFORME","NO CONFORME")</f>
        <v>#REF!</v>
      </c>
      <c r="I404" s="68" t="e">
        <f t="shared" si="6"/>
        <v>#REF!</v>
      </c>
    </row>
    <row r="405" spans="1:9" x14ac:dyDescent="0.25">
      <c r="A405" s="61" t="e">
        <f>'ERROR FINAL'!#REF!</f>
        <v>#REF!</v>
      </c>
      <c r="B405" s="62" t="e">
        <f>'ERROR FINAL'!#REF!</f>
        <v>#REF!</v>
      </c>
      <c r="C405" s="63" t="e">
        <f>'ERROR FINAL'!#REF!</f>
        <v>#REF!</v>
      </c>
      <c r="D405" s="64" t="e">
        <f>'ERROR FINAL'!#REF!</f>
        <v>#REF!</v>
      </c>
      <c r="E405" s="65" t="e">
        <f>'ERROR FINAL'!#REF!</f>
        <v>#REF!</v>
      </c>
      <c r="F405" s="66" t="e">
        <f>'ERROR FINAL'!#REF!</f>
        <v>#REF!</v>
      </c>
      <c r="G405" s="66" t="e">
        <f>'ERROR FINAL'!#REF!</f>
        <v>#REF!</v>
      </c>
      <c r="H405" s="67" t="e">
        <f>IF('ERROR FINAL'!#REF!="CONFORME","CONFORME","NO CONFORME")</f>
        <v>#REF!</v>
      </c>
      <c r="I405" s="68" t="e">
        <f t="shared" si="6"/>
        <v>#REF!</v>
      </c>
    </row>
    <row r="406" spans="1:9" x14ac:dyDescent="0.25">
      <c r="A406" s="61" t="e">
        <f>'ERROR FINAL'!#REF!</f>
        <v>#REF!</v>
      </c>
      <c r="B406" s="62" t="e">
        <f>'ERROR FINAL'!#REF!</f>
        <v>#REF!</v>
      </c>
      <c r="C406" s="63" t="e">
        <f>'ERROR FINAL'!#REF!</f>
        <v>#REF!</v>
      </c>
      <c r="D406" s="64" t="e">
        <f>'ERROR FINAL'!#REF!</f>
        <v>#REF!</v>
      </c>
      <c r="E406" s="65" t="e">
        <f>'ERROR FINAL'!#REF!</f>
        <v>#REF!</v>
      </c>
      <c r="F406" s="66" t="e">
        <f>'ERROR FINAL'!#REF!</f>
        <v>#REF!</v>
      </c>
      <c r="G406" s="66" t="e">
        <f>'ERROR FINAL'!#REF!</f>
        <v>#REF!</v>
      </c>
      <c r="H406" s="67" t="e">
        <f>IF('ERROR FINAL'!#REF!="CONFORME","CONFORME","NO CONFORME")</f>
        <v>#REF!</v>
      </c>
      <c r="I406" s="68" t="e">
        <f t="shared" si="6"/>
        <v>#REF!</v>
      </c>
    </row>
    <row r="407" spans="1:9" x14ac:dyDescent="0.25">
      <c r="A407" s="61" t="e">
        <f>'ERROR FINAL'!#REF!</f>
        <v>#REF!</v>
      </c>
      <c r="B407" s="62" t="e">
        <f>'ERROR FINAL'!#REF!</f>
        <v>#REF!</v>
      </c>
      <c r="C407" s="63" t="e">
        <f>'ERROR FINAL'!#REF!</f>
        <v>#REF!</v>
      </c>
      <c r="D407" s="64" t="e">
        <f>'ERROR FINAL'!#REF!</f>
        <v>#REF!</v>
      </c>
      <c r="E407" s="65" t="e">
        <f>'ERROR FINAL'!#REF!</f>
        <v>#REF!</v>
      </c>
      <c r="F407" s="66" t="e">
        <f>'ERROR FINAL'!#REF!</f>
        <v>#REF!</v>
      </c>
      <c r="G407" s="66" t="e">
        <f>'ERROR FINAL'!#REF!</f>
        <v>#REF!</v>
      </c>
      <c r="H407" s="67" t="e">
        <f>IF('ERROR FINAL'!#REF!="CONFORME","CONFORME","NO CONFORME")</f>
        <v>#REF!</v>
      </c>
      <c r="I407" s="68" t="e">
        <f t="shared" si="6"/>
        <v>#REF!</v>
      </c>
    </row>
    <row r="408" spans="1:9" x14ac:dyDescent="0.25">
      <c r="A408" s="61" t="e">
        <f>'ERROR FINAL'!#REF!</f>
        <v>#REF!</v>
      </c>
      <c r="B408" s="62" t="e">
        <f>'ERROR FINAL'!#REF!</f>
        <v>#REF!</v>
      </c>
      <c r="C408" s="63" t="e">
        <f>'ERROR FINAL'!#REF!</f>
        <v>#REF!</v>
      </c>
      <c r="D408" s="64" t="e">
        <f>'ERROR FINAL'!#REF!</f>
        <v>#REF!</v>
      </c>
      <c r="E408" s="65" t="e">
        <f>'ERROR FINAL'!#REF!</f>
        <v>#REF!</v>
      </c>
      <c r="F408" s="66" t="e">
        <f>'ERROR FINAL'!#REF!</f>
        <v>#REF!</v>
      </c>
      <c r="G408" s="66" t="e">
        <f>'ERROR FINAL'!#REF!</f>
        <v>#REF!</v>
      </c>
      <c r="H408" s="67" t="e">
        <f>IF('ERROR FINAL'!#REF!="CONFORME","CONFORME","NO CONFORME")</f>
        <v>#REF!</v>
      </c>
      <c r="I408" s="68" t="e">
        <f t="shared" si="6"/>
        <v>#REF!</v>
      </c>
    </row>
    <row r="409" spans="1:9" x14ac:dyDescent="0.25">
      <c r="A409" s="61" t="e">
        <f>'ERROR FINAL'!#REF!</f>
        <v>#REF!</v>
      </c>
      <c r="B409" s="62" t="e">
        <f>'ERROR FINAL'!#REF!</f>
        <v>#REF!</v>
      </c>
      <c r="C409" s="63" t="e">
        <f>'ERROR FINAL'!#REF!</f>
        <v>#REF!</v>
      </c>
      <c r="D409" s="64" t="e">
        <f>'ERROR FINAL'!#REF!</f>
        <v>#REF!</v>
      </c>
      <c r="E409" s="65" t="e">
        <f>'ERROR FINAL'!#REF!</f>
        <v>#REF!</v>
      </c>
      <c r="F409" s="66" t="e">
        <f>'ERROR FINAL'!#REF!</f>
        <v>#REF!</v>
      </c>
      <c r="G409" s="66" t="e">
        <f>'ERROR FINAL'!#REF!</f>
        <v>#REF!</v>
      </c>
      <c r="H409" s="67" t="e">
        <f>IF('ERROR FINAL'!#REF!="CONFORME","CONFORME","NO CONFORME")</f>
        <v>#REF!</v>
      </c>
      <c r="I409" s="68" t="e">
        <f t="shared" si="6"/>
        <v>#REF!</v>
      </c>
    </row>
    <row r="410" spans="1:9" x14ac:dyDescent="0.25">
      <c r="A410" s="61" t="e">
        <f>'ERROR FINAL'!#REF!</f>
        <v>#REF!</v>
      </c>
      <c r="B410" s="62" t="e">
        <f>'ERROR FINAL'!#REF!</f>
        <v>#REF!</v>
      </c>
      <c r="C410" s="63" t="e">
        <f>'ERROR FINAL'!#REF!</f>
        <v>#REF!</v>
      </c>
      <c r="D410" s="64" t="e">
        <f>'ERROR FINAL'!#REF!</f>
        <v>#REF!</v>
      </c>
      <c r="E410" s="65" t="e">
        <f>'ERROR FINAL'!#REF!</f>
        <v>#REF!</v>
      </c>
      <c r="F410" s="66" t="e">
        <f>'ERROR FINAL'!#REF!</f>
        <v>#REF!</v>
      </c>
      <c r="G410" s="66" t="e">
        <f>'ERROR FINAL'!#REF!</f>
        <v>#REF!</v>
      </c>
      <c r="H410" s="67" t="e">
        <f>IF('ERROR FINAL'!#REF!="CONFORME","CONFORME","NO CONFORME")</f>
        <v>#REF!</v>
      </c>
      <c r="I410" s="68" t="e">
        <f t="shared" si="6"/>
        <v>#REF!</v>
      </c>
    </row>
    <row r="411" spans="1:9" x14ac:dyDescent="0.25">
      <c r="A411" s="61" t="e">
        <f>'ERROR FINAL'!#REF!</f>
        <v>#REF!</v>
      </c>
      <c r="B411" s="62" t="e">
        <f>'ERROR FINAL'!#REF!</f>
        <v>#REF!</v>
      </c>
      <c r="C411" s="63" t="e">
        <f>'ERROR FINAL'!#REF!</f>
        <v>#REF!</v>
      </c>
      <c r="D411" s="64" t="e">
        <f>'ERROR FINAL'!#REF!</f>
        <v>#REF!</v>
      </c>
      <c r="E411" s="65" t="e">
        <f>'ERROR FINAL'!#REF!</f>
        <v>#REF!</v>
      </c>
      <c r="F411" s="66" t="e">
        <f>'ERROR FINAL'!#REF!</f>
        <v>#REF!</v>
      </c>
      <c r="G411" s="66" t="e">
        <f>'ERROR FINAL'!#REF!</f>
        <v>#REF!</v>
      </c>
      <c r="H411" s="67" t="e">
        <f>IF('ERROR FINAL'!#REF!="CONFORME","CONFORME","NO CONFORME")</f>
        <v>#REF!</v>
      </c>
      <c r="I411" s="68" t="e">
        <f t="shared" si="6"/>
        <v>#REF!</v>
      </c>
    </row>
    <row r="412" spans="1:9" x14ac:dyDescent="0.25">
      <c r="A412" s="61" t="e">
        <f>'ERROR FINAL'!#REF!</f>
        <v>#REF!</v>
      </c>
      <c r="B412" s="62" t="e">
        <f>'ERROR FINAL'!#REF!</f>
        <v>#REF!</v>
      </c>
      <c r="C412" s="63" t="e">
        <f>'ERROR FINAL'!#REF!</f>
        <v>#REF!</v>
      </c>
      <c r="D412" s="64" t="e">
        <f>'ERROR FINAL'!#REF!</f>
        <v>#REF!</v>
      </c>
      <c r="E412" s="65" t="e">
        <f>'ERROR FINAL'!#REF!</f>
        <v>#REF!</v>
      </c>
      <c r="F412" s="66" t="e">
        <f>'ERROR FINAL'!#REF!</f>
        <v>#REF!</v>
      </c>
      <c r="G412" s="66" t="e">
        <f>'ERROR FINAL'!#REF!</f>
        <v>#REF!</v>
      </c>
      <c r="H412" s="67" t="e">
        <f>IF('ERROR FINAL'!#REF!="CONFORME","CONFORME","NO CONFORME")</f>
        <v>#REF!</v>
      </c>
      <c r="I412" s="68" t="e">
        <f t="shared" si="6"/>
        <v>#REF!</v>
      </c>
    </row>
    <row r="413" spans="1:9" x14ac:dyDescent="0.25">
      <c r="A413" s="61" t="e">
        <f>'ERROR FINAL'!#REF!</f>
        <v>#REF!</v>
      </c>
      <c r="B413" s="62" t="e">
        <f>'ERROR FINAL'!#REF!</f>
        <v>#REF!</v>
      </c>
      <c r="C413" s="63" t="e">
        <f>'ERROR FINAL'!#REF!</f>
        <v>#REF!</v>
      </c>
      <c r="D413" s="64" t="e">
        <f>'ERROR FINAL'!#REF!</f>
        <v>#REF!</v>
      </c>
      <c r="E413" s="65" t="e">
        <f>'ERROR FINAL'!#REF!</f>
        <v>#REF!</v>
      </c>
      <c r="F413" s="66" t="e">
        <f>'ERROR FINAL'!#REF!</f>
        <v>#REF!</v>
      </c>
      <c r="G413" s="66" t="e">
        <f>'ERROR FINAL'!#REF!</f>
        <v>#REF!</v>
      </c>
      <c r="H413" s="67" t="e">
        <f>IF('ERROR FINAL'!#REF!="CONFORME","CONFORME","NO CONFORME")</f>
        <v>#REF!</v>
      </c>
      <c r="I413" s="68" t="e">
        <f t="shared" si="6"/>
        <v>#REF!</v>
      </c>
    </row>
    <row r="414" spans="1:9" x14ac:dyDescent="0.25">
      <c r="A414" s="61" t="e">
        <f>'ERROR FINAL'!#REF!</f>
        <v>#REF!</v>
      </c>
      <c r="B414" s="62" t="e">
        <f>'ERROR FINAL'!#REF!</f>
        <v>#REF!</v>
      </c>
      <c r="C414" s="63" t="e">
        <f>'ERROR FINAL'!#REF!</f>
        <v>#REF!</v>
      </c>
      <c r="D414" s="64" t="e">
        <f>'ERROR FINAL'!#REF!</f>
        <v>#REF!</v>
      </c>
      <c r="E414" s="65" t="e">
        <f>'ERROR FINAL'!#REF!</f>
        <v>#REF!</v>
      </c>
      <c r="F414" s="66" t="e">
        <f>'ERROR FINAL'!#REF!</f>
        <v>#REF!</v>
      </c>
      <c r="G414" s="66" t="e">
        <f>'ERROR FINAL'!#REF!</f>
        <v>#REF!</v>
      </c>
      <c r="H414" s="67" t="e">
        <f>IF('ERROR FINAL'!#REF!="CONFORME","CONFORME","NO CONFORME")</f>
        <v>#REF!</v>
      </c>
      <c r="I414" s="68" t="e">
        <f t="shared" si="6"/>
        <v>#REF!</v>
      </c>
    </row>
    <row r="415" spans="1:9" x14ac:dyDescent="0.25">
      <c r="A415" s="61" t="e">
        <f>'ERROR FINAL'!#REF!</f>
        <v>#REF!</v>
      </c>
      <c r="B415" s="62" t="e">
        <f>'ERROR FINAL'!#REF!</f>
        <v>#REF!</v>
      </c>
      <c r="C415" s="63" t="e">
        <f>'ERROR FINAL'!#REF!</f>
        <v>#REF!</v>
      </c>
      <c r="D415" s="64" t="e">
        <f>'ERROR FINAL'!#REF!</f>
        <v>#REF!</v>
      </c>
      <c r="E415" s="65" t="e">
        <f>'ERROR FINAL'!#REF!</f>
        <v>#REF!</v>
      </c>
      <c r="F415" s="66" t="e">
        <f>'ERROR FINAL'!#REF!</f>
        <v>#REF!</v>
      </c>
      <c r="G415" s="66" t="e">
        <f>'ERROR FINAL'!#REF!</f>
        <v>#REF!</v>
      </c>
      <c r="H415" s="67" t="e">
        <f>IF('ERROR FINAL'!#REF!="CONFORME","CONFORME","NO CONFORME")</f>
        <v>#REF!</v>
      </c>
      <c r="I415" s="68" t="e">
        <f t="shared" si="6"/>
        <v>#REF!</v>
      </c>
    </row>
    <row r="416" spans="1:9" x14ac:dyDescent="0.25">
      <c r="A416" s="61" t="e">
        <f>'ERROR FINAL'!#REF!</f>
        <v>#REF!</v>
      </c>
      <c r="B416" s="62" t="e">
        <f>'ERROR FINAL'!#REF!</f>
        <v>#REF!</v>
      </c>
      <c r="C416" s="63" t="e">
        <f>'ERROR FINAL'!#REF!</f>
        <v>#REF!</v>
      </c>
      <c r="D416" s="64" t="e">
        <f>'ERROR FINAL'!#REF!</f>
        <v>#REF!</v>
      </c>
      <c r="E416" s="65" t="e">
        <f>'ERROR FINAL'!#REF!</f>
        <v>#REF!</v>
      </c>
      <c r="F416" s="66" t="e">
        <f>'ERROR FINAL'!#REF!</f>
        <v>#REF!</v>
      </c>
      <c r="G416" s="66" t="e">
        <f>'ERROR FINAL'!#REF!</f>
        <v>#REF!</v>
      </c>
      <c r="H416" s="67" t="e">
        <f>IF('ERROR FINAL'!#REF!="CONFORME","CONFORME","NO CONFORME")</f>
        <v>#REF!</v>
      </c>
      <c r="I416" s="68" t="e">
        <f t="shared" si="6"/>
        <v>#REF!</v>
      </c>
    </row>
    <row r="417" spans="1:9" x14ac:dyDescent="0.25">
      <c r="A417" s="61" t="e">
        <f>'ERROR FINAL'!#REF!</f>
        <v>#REF!</v>
      </c>
      <c r="B417" s="62" t="e">
        <f>'ERROR FINAL'!#REF!</f>
        <v>#REF!</v>
      </c>
      <c r="C417" s="63" t="e">
        <f>'ERROR FINAL'!#REF!</f>
        <v>#REF!</v>
      </c>
      <c r="D417" s="64" t="e">
        <f>'ERROR FINAL'!#REF!</f>
        <v>#REF!</v>
      </c>
      <c r="E417" s="65" t="e">
        <f>'ERROR FINAL'!#REF!</f>
        <v>#REF!</v>
      </c>
      <c r="F417" s="66" t="e">
        <f>'ERROR FINAL'!#REF!</f>
        <v>#REF!</v>
      </c>
      <c r="G417" s="66" t="e">
        <f>'ERROR FINAL'!#REF!</f>
        <v>#REF!</v>
      </c>
      <c r="H417" s="67" t="e">
        <f>IF('ERROR FINAL'!#REF!="CONFORME","CONFORME","NO CONFORME")</f>
        <v>#REF!</v>
      </c>
      <c r="I417" s="68" t="e">
        <f t="shared" si="6"/>
        <v>#REF!</v>
      </c>
    </row>
    <row r="418" spans="1:9" x14ac:dyDescent="0.25">
      <c r="A418" s="61" t="e">
        <f>'ERROR FINAL'!#REF!</f>
        <v>#REF!</v>
      </c>
      <c r="B418" s="62" t="e">
        <f>'ERROR FINAL'!#REF!</f>
        <v>#REF!</v>
      </c>
      <c r="C418" s="63" t="e">
        <f>'ERROR FINAL'!#REF!</f>
        <v>#REF!</v>
      </c>
      <c r="D418" s="64" t="e">
        <f>'ERROR FINAL'!#REF!</f>
        <v>#REF!</v>
      </c>
      <c r="E418" s="65" t="e">
        <f>'ERROR FINAL'!#REF!</f>
        <v>#REF!</v>
      </c>
      <c r="F418" s="66" t="e">
        <f>'ERROR FINAL'!#REF!</f>
        <v>#REF!</v>
      </c>
      <c r="G418" s="66" t="e">
        <f>'ERROR FINAL'!#REF!</f>
        <v>#REF!</v>
      </c>
      <c r="H418" s="67" t="e">
        <f>IF('ERROR FINAL'!#REF!="CONFORME","CONFORME","NO CONFORME")</f>
        <v>#REF!</v>
      </c>
      <c r="I418" s="68" t="e">
        <f t="shared" si="6"/>
        <v>#REF!</v>
      </c>
    </row>
    <row r="419" spans="1:9" x14ac:dyDescent="0.25">
      <c r="A419" s="61" t="e">
        <f>'ERROR FINAL'!#REF!</f>
        <v>#REF!</v>
      </c>
      <c r="B419" s="62" t="e">
        <f>'ERROR FINAL'!#REF!</f>
        <v>#REF!</v>
      </c>
      <c r="C419" s="63" t="e">
        <f>'ERROR FINAL'!#REF!</f>
        <v>#REF!</v>
      </c>
      <c r="D419" s="64" t="e">
        <f>'ERROR FINAL'!#REF!</f>
        <v>#REF!</v>
      </c>
      <c r="E419" s="65" t="e">
        <f>'ERROR FINAL'!#REF!</f>
        <v>#REF!</v>
      </c>
      <c r="F419" s="66" t="e">
        <f>'ERROR FINAL'!#REF!</f>
        <v>#REF!</v>
      </c>
      <c r="G419" s="66" t="e">
        <f>'ERROR FINAL'!#REF!</f>
        <v>#REF!</v>
      </c>
      <c r="H419" s="67" t="e">
        <f>IF('ERROR FINAL'!#REF!="CONFORME","CONFORME","NO CONFORME")</f>
        <v>#REF!</v>
      </c>
      <c r="I419" s="68" t="e">
        <f t="shared" si="6"/>
        <v>#REF!</v>
      </c>
    </row>
    <row r="420" spans="1:9" x14ac:dyDescent="0.25">
      <c r="A420" s="61" t="e">
        <f>'ERROR FINAL'!#REF!</f>
        <v>#REF!</v>
      </c>
      <c r="B420" s="62" t="e">
        <f>'ERROR FINAL'!#REF!</f>
        <v>#REF!</v>
      </c>
      <c r="C420" s="63" t="e">
        <f>'ERROR FINAL'!#REF!</f>
        <v>#REF!</v>
      </c>
      <c r="D420" s="64" t="e">
        <f>'ERROR FINAL'!#REF!</f>
        <v>#REF!</v>
      </c>
      <c r="E420" s="65" t="e">
        <f>'ERROR FINAL'!#REF!</f>
        <v>#REF!</v>
      </c>
      <c r="F420" s="66" t="e">
        <f>'ERROR FINAL'!#REF!</f>
        <v>#REF!</v>
      </c>
      <c r="G420" s="66" t="e">
        <f>'ERROR FINAL'!#REF!</f>
        <v>#REF!</v>
      </c>
      <c r="H420" s="67" t="e">
        <f>IF('ERROR FINAL'!#REF!="CONFORME","CONFORME","NO CONFORME")</f>
        <v>#REF!</v>
      </c>
      <c r="I420" s="68" t="e">
        <f t="shared" si="6"/>
        <v>#REF!</v>
      </c>
    </row>
    <row r="421" spans="1:9" x14ac:dyDescent="0.25">
      <c r="A421" s="61" t="e">
        <f>'ERROR FINAL'!#REF!</f>
        <v>#REF!</v>
      </c>
      <c r="B421" s="62" t="e">
        <f>'ERROR FINAL'!#REF!</f>
        <v>#REF!</v>
      </c>
      <c r="C421" s="63" t="e">
        <f>'ERROR FINAL'!#REF!</f>
        <v>#REF!</v>
      </c>
      <c r="D421" s="64" t="e">
        <f>'ERROR FINAL'!#REF!</f>
        <v>#REF!</v>
      </c>
      <c r="E421" s="65" t="e">
        <f>'ERROR FINAL'!#REF!</f>
        <v>#REF!</v>
      </c>
      <c r="F421" s="66" t="e">
        <f>'ERROR FINAL'!#REF!</f>
        <v>#REF!</v>
      </c>
      <c r="G421" s="66" t="e">
        <f>'ERROR FINAL'!#REF!</f>
        <v>#REF!</v>
      </c>
      <c r="H421" s="67" t="e">
        <f>IF('ERROR FINAL'!#REF!="CONFORME","CONFORME","NO CONFORME")</f>
        <v>#REF!</v>
      </c>
      <c r="I421" s="68" t="e">
        <f t="shared" si="6"/>
        <v>#REF!</v>
      </c>
    </row>
    <row r="422" spans="1:9" x14ac:dyDescent="0.25">
      <c r="A422" s="61" t="e">
        <f>'ERROR FINAL'!#REF!</f>
        <v>#REF!</v>
      </c>
      <c r="B422" s="62" t="e">
        <f>'ERROR FINAL'!#REF!</f>
        <v>#REF!</v>
      </c>
      <c r="C422" s="63" t="e">
        <f>'ERROR FINAL'!#REF!</f>
        <v>#REF!</v>
      </c>
      <c r="D422" s="64" t="e">
        <f>'ERROR FINAL'!#REF!</f>
        <v>#REF!</v>
      </c>
      <c r="E422" s="65" t="e">
        <f>'ERROR FINAL'!#REF!</f>
        <v>#REF!</v>
      </c>
      <c r="F422" s="66" t="e">
        <f>'ERROR FINAL'!#REF!</f>
        <v>#REF!</v>
      </c>
      <c r="G422" s="66" t="e">
        <f>'ERROR FINAL'!#REF!</f>
        <v>#REF!</v>
      </c>
      <c r="H422" s="67" t="e">
        <f>IF('ERROR FINAL'!#REF!="CONFORME","CONFORME","NO CONFORME")</f>
        <v>#REF!</v>
      </c>
      <c r="I422" s="68" t="e">
        <f t="shared" si="6"/>
        <v>#REF!</v>
      </c>
    </row>
    <row r="423" spans="1:9" x14ac:dyDescent="0.25">
      <c r="A423" s="61" t="e">
        <f>'ERROR FINAL'!#REF!</f>
        <v>#REF!</v>
      </c>
      <c r="B423" s="62" t="e">
        <f>'ERROR FINAL'!#REF!</f>
        <v>#REF!</v>
      </c>
      <c r="C423" s="63" t="e">
        <f>'ERROR FINAL'!#REF!</f>
        <v>#REF!</v>
      </c>
      <c r="D423" s="64" t="e">
        <f>'ERROR FINAL'!#REF!</f>
        <v>#REF!</v>
      </c>
      <c r="E423" s="65" t="e">
        <f>'ERROR FINAL'!#REF!</f>
        <v>#REF!</v>
      </c>
      <c r="F423" s="66" t="e">
        <f>'ERROR FINAL'!#REF!</f>
        <v>#REF!</v>
      </c>
      <c r="G423" s="66" t="e">
        <f>'ERROR FINAL'!#REF!</f>
        <v>#REF!</v>
      </c>
      <c r="H423" s="67" t="e">
        <f>IF('ERROR FINAL'!#REF!="CONFORME","CONFORME","NO CONFORME")</f>
        <v>#REF!</v>
      </c>
      <c r="I423" s="68" t="e">
        <f t="shared" si="6"/>
        <v>#REF!</v>
      </c>
    </row>
    <row r="424" spans="1:9" x14ac:dyDescent="0.25">
      <c r="A424" s="61" t="e">
        <f>'ERROR FINAL'!#REF!</f>
        <v>#REF!</v>
      </c>
      <c r="B424" s="62" t="e">
        <f>'ERROR FINAL'!#REF!</f>
        <v>#REF!</v>
      </c>
      <c r="C424" s="63" t="e">
        <f>'ERROR FINAL'!#REF!</f>
        <v>#REF!</v>
      </c>
      <c r="D424" s="64" t="e">
        <f>'ERROR FINAL'!#REF!</f>
        <v>#REF!</v>
      </c>
      <c r="E424" s="65" t="e">
        <f>'ERROR FINAL'!#REF!</f>
        <v>#REF!</v>
      </c>
      <c r="F424" s="66" t="e">
        <f>'ERROR FINAL'!#REF!</f>
        <v>#REF!</v>
      </c>
      <c r="G424" s="66" t="e">
        <f>'ERROR FINAL'!#REF!</f>
        <v>#REF!</v>
      </c>
      <c r="H424" s="67" t="e">
        <f>IF('ERROR FINAL'!#REF!="CONFORME","CONFORME","NO CONFORME")</f>
        <v>#REF!</v>
      </c>
      <c r="I424" s="68" t="e">
        <f t="shared" si="6"/>
        <v>#REF!</v>
      </c>
    </row>
    <row r="425" spans="1:9" x14ac:dyDescent="0.25">
      <c r="A425" s="61" t="e">
        <f>'ERROR FINAL'!#REF!</f>
        <v>#REF!</v>
      </c>
      <c r="B425" s="62" t="e">
        <f>'ERROR FINAL'!#REF!</f>
        <v>#REF!</v>
      </c>
      <c r="C425" s="63" t="e">
        <f>'ERROR FINAL'!#REF!</f>
        <v>#REF!</v>
      </c>
      <c r="D425" s="64" t="e">
        <f>'ERROR FINAL'!#REF!</f>
        <v>#REF!</v>
      </c>
      <c r="E425" s="65" t="e">
        <f>'ERROR FINAL'!#REF!</f>
        <v>#REF!</v>
      </c>
      <c r="F425" s="66" t="e">
        <f>'ERROR FINAL'!#REF!</f>
        <v>#REF!</v>
      </c>
      <c r="G425" s="66" t="e">
        <f>'ERROR FINAL'!#REF!</f>
        <v>#REF!</v>
      </c>
      <c r="H425" s="67" t="e">
        <f>IF('ERROR FINAL'!#REF!="CONFORME","CONFORME","NO CONFORME")</f>
        <v>#REF!</v>
      </c>
      <c r="I425" s="68" t="e">
        <f t="shared" si="6"/>
        <v>#REF!</v>
      </c>
    </row>
    <row r="426" spans="1:9" x14ac:dyDescent="0.25">
      <c r="A426" s="61" t="e">
        <f>'ERROR FINAL'!#REF!</f>
        <v>#REF!</v>
      </c>
      <c r="B426" s="62" t="e">
        <f>'ERROR FINAL'!#REF!</f>
        <v>#REF!</v>
      </c>
      <c r="C426" s="63" t="e">
        <f>'ERROR FINAL'!#REF!</f>
        <v>#REF!</v>
      </c>
      <c r="D426" s="64" t="e">
        <f>'ERROR FINAL'!#REF!</f>
        <v>#REF!</v>
      </c>
      <c r="E426" s="65" t="e">
        <f>'ERROR FINAL'!#REF!</f>
        <v>#REF!</v>
      </c>
      <c r="F426" s="66" t="e">
        <f>'ERROR FINAL'!#REF!</f>
        <v>#REF!</v>
      </c>
      <c r="G426" s="66" t="e">
        <f>'ERROR FINAL'!#REF!</f>
        <v>#REF!</v>
      </c>
      <c r="H426" s="67" t="e">
        <f>IF('ERROR FINAL'!#REF!="CONFORME","CONFORME","NO CONFORME")</f>
        <v>#REF!</v>
      </c>
      <c r="I426" s="68" t="e">
        <f t="shared" si="6"/>
        <v>#REF!</v>
      </c>
    </row>
    <row r="427" spans="1:9" x14ac:dyDescent="0.25">
      <c r="A427" s="61" t="e">
        <f>'ERROR FINAL'!#REF!</f>
        <v>#REF!</v>
      </c>
      <c r="B427" s="62" t="e">
        <f>'ERROR FINAL'!#REF!</f>
        <v>#REF!</v>
      </c>
      <c r="C427" s="63" t="e">
        <f>'ERROR FINAL'!#REF!</f>
        <v>#REF!</v>
      </c>
      <c r="D427" s="64" t="e">
        <f>'ERROR FINAL'!#REF!</f>
        <v>#REF!</v>
      </c>
      <c r="E427" s="65" t="e">
        <f>'ERROR FINAL'!#REF!</f>
        <v>#REF!</v>
      </c>
      <c r="F427" s="66" t="e">
        <f>'ERROR FINAL'!#REF!</f>
        <v>#REF!</v>
      </c>
      <c r="G427" s="66" t="e">
        <f>'ERROR FINAL'!#REF!</f>
        <v>#REF!</v>
      </c>
      <c r="H427" s="67" t="e">
        <f>IF('ERROR FINAL'!#REF!="CONFORME","CONFORME","NO CONFORME")</f>
        <v>#REF!</v>
      </c>
      <c r="I427" s="68" t="e">
        <f t="shared" si="6"/>
        <v>#REF!</v>
      </c>
    </row>
    <row r="428" spans="1:9" x14ac:dyDescent="0.25">
      <c r="A428" s="61" t="e">
        <f>'ERROR FINAL'!#REF!</f>
        <v>#REF!</v>
      </c>
      <c r="B428" s="62" t="e">
        <f>'ERROR FINAL'!#REF!</f>
        <v>#REF!</v>
      </c>
      <c r="C428" s="63" t="e">
        <f>'ERROR FINAL'!#REF!</f>
        <v>#REF!</v>
      </c>
      <c r="D428" s="64" t="e">
        <f>'ERROR FINAL'!#REF!</f>
        <v>#REF!</v>
      </c>
      <c r="E428" s="65" t="e">
        <f>'ERROR FINAL'!#REF!</f>
        <v>#REF!</v>
      </c>
      <c r="F428" s="66" t="e">
        <f>'ERROR FINAL'!#REF!</f>
        <v>#REF!</v>
      </c>
      <c r="G428" s="66" t="e">
        <f>'ERROR FINAL'!#REF!</f>
        <v>#REF!</v>
      </c>
      <c r="H428" s="67" t="e">
        <f>IF('ERROR FINAL'!#REF!="CONFORME","CONFORME","NO CONFORME")</f>
        <v>#REF!</v>
      </c>
      <c r="I428" s="68" t="e">
        <f t="shared" si="6"/>
        <v>#REF!</v>
      </c>
    </row>
    <row r="429" spans="1:9" x14ac:dyDescent="0.25">
      <c r="A429" s="61" t="e">
        <f>'ERROR FINAL'!#REF!</f>
        <v>#REF!</v>
      </c>
      <c r="B429" s="62" t="e">
        <f>'ERROR FINAL'!#REF!</f>
        <v>#REF!</v>
      </c>
      <c r="C429" s="63" t="e">
        <f>'ERROR FINAL'!#REF!</f>
        <v>#REF!</v>
      </c>
      <c r="D429" s="64" t="e">
        <f>'ERROR FINAL'!#REF!</f>
        <v>#REF!</v>
      </c>
      <c r="E429" s="65" t="e">
        <f>'ERROR FINAL'!#REF!</f>
        <v>#REF!</v>
      </c>
      <c r="F429" s="66" t="e">
        <f>'ERROR FINAL'!#REF!</f>
        <v>#REF!</v>
      </c>
      <c r="G429" s="66" t="e">
        <f>'ERROR FINAL'!#REF!</f>
        <v>#REF!</v>
      </c>
      <c r="H429" s="67" t="e">
        <f>IF('ERROR FINAL'!#REF!="CONFORME","CONFORME","NO CONFORME")</f>
        <v>#REF!</v>
      </c>
      <c r="I429" s="68" t="e">
        <f t="shared" si="6"/>
        <v>#REF!</v>
      </c>
    </row>
    <row r="430" spans="1:9" x14ac:dyDescent="0.25">
      <c r="A430" s="61" t="e">
        <f>'ERROR FINAL'!#REF!</f>
        <v>#REF!</v>
      </c>
      <c r="B430" s="62" t="e">
        <f>'ERROR FINAL'!#REF!</f>
        <v>#REF!</v>
      </c>
      <c r="C430" s="63" t="e">
        <f>'ERROR FINAL'!#REF!</f>
        <v>#REF!</v>
      </c>
      <c r="D430" s="64" t="e">
        <f>'ERROR FINAL'!#REF!</f>
        <v>#REF!</v>
      </c>
      <c r="E430" s="65" t="e">
        <f>'ERROR FINAL'!#REF!</f>
        <v>#REF!</v>
      </c>
      <c r="F430" s="66" t="e">
        <f>'ERROR FINAL'!#REF!</f>
        <v>#REF!</v>
      </c>
      <c r="G430" s="66" t="e">
        <f>'ERROR FINAL'!#REF!</f>
        <v>#REF!</v>
      </c>
      <c r="H430" s="67" t="e">
        <f>IF('ERROR FINAL'!#REF!="CONFORME","CONFORME","NO CONFORME")</f>
        <v>#REF!</v>
      </c>
      <c r="I430" s="68" t="e">
        <f t="shared" si="6"/>
        <v>#REF!</v>
      </c>
    </row>
    <row r="431" spans="1:9" x14ac:dyDescent="0.25">
      <c r="A431" s="61" t="e">
        <f>'ERROR FINAL'!#REF!</f>
        <v>#REF!</v>
      </c>
      <c r="B431" s="62" t="e">
        <f>'ERROR FINAL'!#REF!</f>
        <v>#REF!</v>
      </c>
      <c r="C431" s="63" t="e">
        <f>'ERROR FINAL'!#REF!</f>
        <v>#REF!</v>
      </c>
      <c r="D431" s="64" t="e">
        <f>'ERROR FINAL'!#REF!</f>
        <v>#REF!</v>
      </c>
      <c r="E431" s="65" t="e">
        <f>'ERROR FINAL'!#REF!</f>
        <v>#REF!</v>
      </c>
      <c r="F431" s="66" t="e">
        <f>'ERROR FINAL'!#REF!</f>
        <v>#REF!</v>
      </c>
      <c r="G431" s="66" t="e">
        <f>'ERROR FINAL'!#REF!</f>
        <v>#REF!</v>
      </c>
      <c r="H431" s="67" t="e">
        <f>IF('ERROR FINAL'!#REF!="CONFORME","CONFORME","NO CONFORME")</f>
        <v>#REF!</v>
      </c>
      <c r="I431" s="68" t="e">
        <f t="shared" si="6"/>
        <v>#REF!</v>
      </c>
    </row>
    <row r="432" spans="1:9" x14ac:dyDescent="0.25">
      <c r="A432" s="61" t="e">
        <f>'ERROR FINAL'!#REF!</f>
        <v>#REF!</v>
      </c>
      <c r="B432" s="62" t="e">
        <f>'ERROR FINAL'!#REF!</f>
        <v>#REF!</v>
      </c>
      <c r="C432" s="63" t="e">
        <f>'ERROR FINAL'!#REF!</f>
        <v>#REF!</v>
      </c>
      <c r="D432" s="64" t="e">
        <f>'ERROR FINAL'!#REF!</f>
        <v>#REF!</v>
      </c>
      <c r="E432" s="65" t="e">
        <f>'ERROR FINAL'!#REF!</f>
        <v>#REF!</v>
      </c>
      <c r="F432" s="66" t="e">
        <f>'ERROR FINAL'!#REF!</f>
        <v>#REF!</v>
      </c>
      <c r="G432" s="66" t="e">
        <f>'ERROR FINAL'!#REF!</f>
        <v>#REF!</v>
      </c>
      <c r="H432" s="67" t="e">
        <f>IF('ERROR FINAL'!#REF!="CONFORME","CONFORME","NO CONFORME")</f>
        <v>#REF!</v>
      </c>
      <c r="I432" s="68" t="e">
        <f t="shared" si="6"/>
        <v>#REF!</v>
      </c>
    </row>
    <row r="433" spans="1:9" x14ac:dyDescent="0.25">
      <c r="A433" s="61" t="e">
        <f>'ERROR FINAL'!#REF!</f>
        <v>#REF!</v>
      </c>
      <c r="B433" s="62" t="e">
        <f>'ERROR FINAL'!#REF!</f>
        <v>#REF!</v>
      </c>
      <c r="C433" s="63" t="e">
        <f>'ERROR FINAL'!#REF!</f>
        <v>#REF!</v>
      </c>
      <c r="D433" s="64" t="e">
        <f>'ERROR FINAL'!#REF!</f>
        <v>#REF!</v>
      </c>
      <c r="E433" s="65" t="e">
        <f>'ERROR FINAL'!#REF!</f>
        <v>#REF!</v>
      </c>
      <c r="F433" s="66" t="e">
        <f>'ERROR FINAL'!#REF!</f>
        <v>#REF!</v>
      </c>
      <c r="G433" s="66" t="e">
        <f>'ERROR FINAL'!#REF!</f>
        <v>#REF!</v>
      </c>
      <c r="H433" s="67" t="e">
        <f>IF('ERROR FINAL'!#REF!="CONFORME","CONFORME","NO CONFORME")</f>
        <v>#REF!</v>
      </c>
      <c r="I433" s="68" t="e">
        <f t="shared" si="6"/>
        <v>#REF!</v>
      </c>
    </row>
    <row r="434" spans="1:9" x14ac:dyDescent="0.25">
      <c r="A434" s="61" t="e">
        <f>'ERROR FINAL'!#REF!</f>
        <v>#REF!</v>
      </c>
      <c r="B434" s="62" t="e">
        <f>'ERROR FINAL'!#REF!</f>
        <v>#REF!</v>
      </c>
      <c r="C434" s="63" t="e">
        <f>'ERROR FINAL'!#REF!</f>
        <v>#REF!</v>
      </c>
      <c r="D434" s="64" t="e">
        <f>'ERROR FINAL'!#REF!</f>
        <v>#REF!</v>
      </c>
      <c r="E434" s="65" t="e">
        <f>'ERROR FINAL'!#REF!</f>
        <v>#REF!</v>
      </c>
      <c r="F434" s="66" t="e">
        <f>'ERROR FINAL'!#REF!</f>
        <v>#REF!</v>
      </c>
      <c r="G434" s="66" t="e">
        <f>'ERROR FINAL'!#REF!</f>
        <v>#REF!</v>
      </c>
      <c r="H434" s="67" t="e">
        <f>IF('ERROR FINAL'!#REF!="CONFORME","CONFORME","NO CONFORME")</f>
        <v>#REF!</v>
      </c>
      <c r="I434" s="68" t="e">
        <f t="shared" si="6"/>
        <v>#REF!</v>
      </c>
    </row>
    <row r="435" spans="1:9" x14ac:dyDescent="0.25">
      <c r="A435" s="61" t="e">
        <f>'ERROR FINAL'!#REF!</f>
        <v>#REF!</v>
      </c>
      <c r="B435" s="62" t="e">
        <f>'ERROR FINAL'!#REF!</f>
        <v>#REF!</v>
      </c>
      <c r="C435" s="63" t="e">
        <f>'ERROR FINAL'!#REF!</f>
        <v>#REF!</v>
      </c>
      <c r="D435" s="64" t="e">
        <f>'ERROR FINAL'!#REF!</f>
        <v>#REF!</v>
      </c>
      <c r="E435" s="65" t="e">
        <f>'ERROR FINAL'!#REF!</f>
        <v>#REF!</v>
      </c>
      <c r="F435" s="66" t="e">
        <f>'ERROR FINAL'!#REF!</f>
        <v>#REF!</v>
      </c>
      <c r="G435" s="66" t="e">
        <f>'ERROR FINAL'!#REF!</f>
        <v>#REF!</v>
      </c>
      <c r="H435" s="67" t="e">
        <f>IF('ERROR FINAL'!#REF!="CONFORME","CONFORME","NO CONFORME")</f>
        <v>#REF!</v>
      </c>
      <c r="I435" s="68" t="e">
        <f t="shared" si="6"/>
        <v>#REF!</v>
      </c>
    </row>
    <row r="436" spans="1:9" x14ac:dyDescent="0.25">
      <c r="A436" s="61" t="e">
        <f>'ERROR FINAL'!#REF!</f>
        <v>#REF!</v>
      </c>
      <c r="B436" s="62" t="e">
        <f>'ERROR FINAL'!#REF!</f>
        <v>#REF!</v>
      </c>
      <c r="C436" s="63" t="e">
        <f>'ERROR FINAL'!#REF!</f>
        <v>#REF!</v>
      </c>
      <c r="D436" s="64" t="e">
        <f>'ERROR FINAL'!#REF!</f>
        <v>#REF!</v>
      </c>
      <c r="E436" s="65" t="e">
        <f>'ERROR FINAL'!#REF!</f>
        <v>#REF!</v>
      </c>
      <c r="F436" s="66" t="e">
        <f>'ERROR FINAL'!#REF!</f>
        <v>#REF!</v>
      </c>
      <c r="G436" s="66" t="e">
        <f>'ERROR FINAL'!#REF!</f>
        <v>#REF!</v>
      </c>
      <c r="H436" s="67" t="e">
        <f>IF('ERROR FINAL'!#REF!="CONFORME","CONFORME","NO CONFORME")</f>
        <v>#REF!</v>
      </c>
      <c r="I436" s="68" t="e">
        <f t="shared" si="6"/>
        <v>#REF!</v>
      </c>
    </row>
    <row r="437" spans="1:9" x14ac:dyDescent="0.25">
      <c r="A437" s="61" t="e">
        <f>'ERROR FINAL'!#REF!</f>
        <v>#REF!</v>
      </c>
      <c r="B437" s="62" t="e">
        <f>'ERROR FINAL'!#REF!</f>
        <v>#REF!</v>
      </c>
      <c r="C437" s="63" t="e">
        <f>'ERROR FINAL'!#REF!</f>
        <v>#REF!</v>
      </c>
      <c r="D437" s="64" t="e">
        <f>'ERROR FINAL'!#REF!</f>
        <v>#REF!</v>
      </c>
      <c r="E437" s="65" t="e">
        <f>'ERROR FINAL'!#REF!</f>
        <v>#REF!</v>
      </c>
      <c r="F437" s="66" t="e">
        <f>'ERROR FINAL'!#REF!</f>
        <v>#REF!</v>
      </c>
      <c r="G437" s="66" t="e">
        <f>'ERROR FINAL'!#REF!</f>
        <v>#REF!</v>
      </c>
      <c r="H437" s="67" t="e">
        <f>IF('ERROR FINAL'!#REF!="CONFORME","CONFORME","NO CONFORME")</f>
        <v>#REF!</v>
      </c>
      <c r="I437" s="68" t="e">
        <f t="shared" si="6"/>
        <v>#REF!</v>
      </c>
    </row>
    <row r="438" spans="1:9" x14ac:dyDescent="0.25">
      <c r="A438" s="61" t="e">
        <f>'ERROR FINAL'!#REF!</f>
        <v>#REF!</v>
      </c>
      <c r="B438" s="62" t="e">
        <f>'ERROR FINAL'!#REF!</f>
        <v>#REF!</v>
      </c>
      <c r="C438" s="63" t="e">
        <f>'ERROR FINAL'!#REF!</f>
        <v>#REF!</v>
      </c>
      <c r="D438" s="64" t="e">
        <f>'ERROR FINAL'!#REF!</f>
        <v>#REF!</v>
      </c>
      <c r="E438" s="65" t="e">
        <f>'ERROR FINAL'!#REF!</f>
        <v>#REF!</v>
      </c>
      <c r="F438" s="66" t="e">
        <f>'ERROR FINAL'!#REF!</f>
        <v>#REF!</v>
      </c>
      <c r="G438" s="66" t="e">
        <f>'ERROR FINAL'!#REF!</f>
        <v>#REF!</v>
      </c>
      <c r="H438" s="67" t="e">
        <f>IF('ERROR FINAL'!#REF!="CONFORME","CONFORME","NO CONFORME")</f>
        <v>#REF!</v>
      </c>
      <c r="I438" s="68" t="e">
        <f t="shared" si="6"/>
        <v>#REF!</v>
      </c>
    </row>
    <row r="439" spans="1:9" x14ac:dyDescent="0.25">
      <c r="A439" s="61" t="e">
        <f>'ERROR FINAL'!#REF!</f>
        <v>#REF!</v>
      </c>
      <c r="B439" s="62" t="e">
        <f>'ERROR FINAL'!#REF!</f>
        <v>#REF!</v>
      </c>
      <c r="C439" s="63" t="e">
        <f>'ERROR FINAL'!#REF!</f>
        <v>#REF!</v>
      </c>
      <c r="D439" s="64" t="e">
        <f>'ERROR FINAL'!#REF!</f>
        <v>#REF!</v>
      </c>
      <c r="E439" s="65" t="e">
        <f>'ERROR FINAL'!#REF!</f>
        <v>#REF!</v>
      </c>
      <c r="F439" s="66" t="e">
        <f>'ERROR FINAL'!#REF!</f>
        <v>#REF!</v>
      </c>
      <c r="G439" s="66" t="e">
        <f>'ERROR FINAL'!#REF!</f>
        <v>#REF!</v>
      </c>
      <c r="H439" s="67" t="e">
        <f>IF('ERROR FINAL'!#REF!="CONFORME","CONFORME","NO CONFORME")</f>
        <v>#REF!</v>
      </c>
      <c r="I439" s="68" t="e">
        <f t="shared" si="6"/>
        <v>#REF!</v>
      </c>
    </row>
    <row r="440" spans="1:9" x14ac:dyDescent="0.25">
      <c r="A440" s="61" t="e">
        <f>'ERROR FINAL'!#REF!</f>
        <v>#REF!</v>
      </c>
      <c r="B440" s="62" t="e">
        <f>'ERROR FINAL'!#REF!</f>
        <v>#REF!</v>
      </c>
      <c r="C440" s="63" t="e">
        <f>'ERROR FINAL'!#REF!</f>
        <v>#REF!</v>
      </c>
      <c r="D440" s="64" t="e">
        <f>'ERROR FINAL'!#REF!</f>
        <v>#REF!</v>
      </c>
      <c r="E440" s="65" t="e">
        <f>'ERROR FINAL'!#REF!</f>
        <v>#REF!</v>
      </c>
      <c r="F440" s="66" t="e">
        <f>'ERROR FINAL'!#REF!</f>
        <v>#REF!</v>
      </c>
      <c r="G440" s="66" t="e">
        <f>'ERROR FINAL'!#REF!</f>
        <v>#REF!</v>
      </c>
      <c r="H440" s="67" t="e">
        <f>IF('ERROR FINAL'!#REF!="CONFORME","CONFORME","NO CONFORME")</f>
        <v>#REF!</v>
      </c>
      <c r="I440" s="68" t="e">
        <f t="shared" si="6"/>
        <v>#REF!</v>
      </c>
    </row>
    <row r="441" spans="1:9" x14ac:dyDescent="0.25">
      <c r="A441" s="61" t="e">
        <f>'ERROR FINAL'!#REF!</f>
        <v>#REF!</v>
      </c>
      <c r="B441" s="62" t="e">
        <f>'ERROR FINAL'!#REF!</f>
        <v>#REF!</v>
      </c>
      <c r="C441" s="63" t="e">
        <f>'ERROR FINAL'!#REF!</f>
        <v>#REF!</v>
      </c>
      <c r="D441" s="64" t="e">
        <f>'ERROR FINAL'!#REF!</f>
        <v>#REF!</v>
      </c>
      <c r="E441" s="65" t="e">
        <f>'ERROR FINAL'!#REF!</f>
        <v>#REF!</v>
      </c>
      <c r="F441" s="66" t="e">
        <f>'ERROR FINAL'!#REF!</f>
        <v>#REF!</v>
      </c>
      <c r="G441" s="66" t="e">
        <f>'ERROR FINAL'!#REF!</f>
        <v>#REF!</v>
      </c>
      <c r="H441" s="67" t="e">
        <f>IF('ERROR FINAL'!#REF!="CONFORME","CONFORME","NO CONFORME")</f>
        <v>#REF!</v>
      </c>
      <c r="I441" s="68" t="e">
        <f t="shared" si="6"/>
        <v>#REF!</v>
      </c>
    </row>
    <row r="442" spans="1:9" x14ac:dyDescent="0.25">
      <c r="A442" s="61" t="e">
        <f>'ERROR FINAL'!#REF!</f>
        <v>#REF!</v>
      </c>
      <c r="B442" s="62" t="e">
        <f>'ERROR FINAL'!#REF!</f>
        <v>#REF!</v>
      </c>
      <c r="C442" s="63" t="e">
        <f>'ERROR FINAL'!#REF!</f>
        <v>#REF!</v>
      </c>
      <c r="D442" s="64" t="e">
        <f>'ERROR FINAL'!#REF!</f>
        <v>#REF!</v>
      </c>
      <c r="E442" s="65" t="e">
        <f>'ERROR FINAL'!#REF!</f>
        <v>#REF!</v>
      </c>
      <c r="F442" s="66" t="e">
        <f>'ERROR FINAL'!#REF!</f>
        <v>#REF!</v>
      </c>
      <c r="G442" s="66" t="e">
        <f>'ERROR FINAL'!#REF!</f>
        <v>#REF!</v>
      </c>
      <c r="H442" s="67" t="e">
        <f>IF('ERROR FINAL'!#REF!="CONFORME","CONFORME","NO CONFORME")</f>
        <v>#REF!</v>
      </c>
      <c r="I442" s="68" t="e">
        <f t="shared" si="6"/>
        <v>#REF!</v>
      </c>
    </row>
    <row r="443" spans="1:9" x14ac:dyDescent="0.25">
      <c r="A443" s="61" t="e">
        <f>'ERROR FINAL'!#REF!</f>
        <v>#REF!</v>
      </c>
      <c r="B443" s="62" t="e">
        <f>'ERROR FINAL'!#REF!</f>
        <v>#REF!</v>
      </c>
      <c r="C443" s="63" t="e">
        <f>'ERROR FINAL'!#REF!</f>
        <v>#REF!</v>
      </c>
      <c r="D443" s="64" t="e">
        <f>'ERROR FINAL'!#REF!</f>
        <v>#REF!</v>
      </c>
      <c r="E443" s="65" t="e">
        <f>'ERROR FINAL'!#REF!</f>
        <v>#REF!</v>
      </c>
      <c r="F443" s="66" t="e">
        <f>'ERROR FINAL'!#REF!</f>
        <v>#REF!</v>
      </c>
      <c r="G443" s="66" t="e">
        <f>'ERROR FINAL'!#REF!</f>
        <v>#REF!</v>
      </c>
      <c r="H443" s="67" t="e">
        <f>IF('ERROR FINAL'!#REF!="CONFORME","CONFORME","NO CONFORME")</f>
        <v>#REF!</v>
      </c>
      <c r="I443" s="68" t="e">
        <f t="shared" si="6"/>
        <v>#REF!</v>
      </c>
    </row>
    <row r="444" spans="1:9" x14ac:dyDescent="0.25">
      <c r="A444" s="61" t="e">
        <f>'ERROR FINAL'!#REF!</f>
        <v>#REF!</v>
      </c>
      <c r="B444" s="62" t="e">
        <f>'ERROR FINAL'!#REF!</f>
        <v>#REF!</v>
      </c>
      <c r="C444" s="63" t="e">
        <f>'ERROR FINAL'!#REF!</f>
        <v>#REF!</v>
      </c>
      <c r="D444" s="64" t="e">
        <f>'ERROR FINAL'!#REF!</f>
        <v>#REF!</v>
      </c>
      <c r="E444" s="65" t="e">
        <f>'ERROR FINAL'!#REF!</f>
        <v>#REF!</v>
      </c>
      <c r="F444" s="66" t="e">
        <f>'ERROR FINAL'!#REF!</f>
        <v>#REF!</v>
      </c>
      <c r="G444" s="66" t="e">
        <f>'ERROR FINAL'!#REF!</f>
        <v>#REF!</v>
      </c>
      <c r="H444" s="67" t="e">
        <f>IF('ERROR FINAL'!#REF!="CONFORME","CONFORME","NO CONFORME")</f>
        <v>#REF!</v>
      </c>
      <c r="I444" s="68" t="e">
        <f t="shared" si="6"/>
        <v>#REF!</v>
      </c>
    </row>
    <row r="445" spans="1:9" x14ac:dyDescent="0.25">
      <c r="A445" s="61" t="e">
        <f>'ERROR FINAL'!#REF!</f>
        <v>#REF!</v>
      </c>
      <c r="B445" s="62" t="e">
        <f>'ERROR FINAL'!#REF!</f>
        <v>#REF!</v>
      </c>
      <c r="C445" s="63" t="e">
        <f>'ERROR FINAL'!#REF!</f>
        <v>#REF!</v>
      </c>
      <c r="D445" s="64" t="e">
        <f>'ERROR FINAL'!#REF!</f>
        <v>#REF!</v>
      </c>
      <c r="E445" s="65" t="e">
        <f>'ERROR FINAL'!#REF!</f>
        <v>#REF!</v>
      </c>
      <c r="F445" s="66" t="e">
        <f>'ERROR FINAL'!#REF!</f>
        <v>#REF!</v>
      </c>
      <c r="G445" s="66" t="e">
        <f>'ERROR FINAL'!#REF!</f>
        <v>#REF!</v>
      </c>
      <c r="H445" s="67" t="e">
        <f>IF('ERROR FINAL'!#REF!="CONFORME","CONFORME","NO CONFORME")</f>
        <v>#REF!</v>
      </c>
      <c r="I445" s="68" t="e">
        <f t="shared" si="6"/>
        <v>#REF!</v>
      </c>
    </row>
    <row r="446" spans="1:9" x14ac:dyDescent="0.25">
      <c r="A446" s="61" t="e">
        <f>'ERROR FINAL'!#REF!</f>
        <v>#REF!</v>
      </c>
      <c r="B446" s="62" t="e">
        <f>'ERROR FINAL'!#REF!</f>
        <v>#REF!</v>
      </c>
      <c r="C446" s="63" t="e">
        <f>'ERROR FINAL'!#REF!</f>
        <v>#REF!</v>
      </c>
      <c r="D446" s="64" t="e">
        <f>'ERROR FINAL'!#REF!</f>
        <v>#REF!</v>
      </c>
      <c r="E446" s="65" t="e">
        <f>'ERROR FINAL'!#REF!</f>
        <v>#REF!</v>
      </c>
      <c r="F446" s="66" t="e">
        <f>'ERROR FINAL'!#REF!</f>
        <v>#REF!</v>
      </c>
      <c r="G446" s="66" t="e">
        <f>'ERROR FINAL'!#REF!</f>
        <v>#REF!</v>
      </c>
      <c r="H446" s="67" t="e">
        <f>IF('ERROR FINAL'!#REF!="CONFORME","CONFORME","NO CONFORME")</f>
        <v>#REF!</v>
      </c>
      <c r="I446" s="68" t="e">
        <f t="shared" si="6"/>
        <v>#REF!</v>
      </c>
    </row>
    <row r="447" spans="1:9" x14ac:dyDescent="0.25">
      <c r="A447" s="61" t="e">
        <f>'ERROR FINAL'!#REF!</f>
        <v>#REF!</v>
      </c>
      <c r="B447" s="62" t="e">
        <f>'ERROR FINAL'!#REF!</f>
        <v>#REF!</v>
      </c>
      <c r="C447" s="63" t="e">
        <f>'ERROR FINAL'!#REF!</f>
        <v>#REF!</v>
      </c>
      <c r="D447" s="64" t="e">
        <f>'ERROR FINAL'!#REF!</f>
        <v>#REF!</v>
      </c>
      <c r="E447" s="65" t="e">
        <f>'ERROR FINAL'!#REF!</f>
        <v>#REF!</v>
      </c>
      <c r="F447" s="66" t="e">
        <f>'ERROR FINAL'!#REF!</f>
        <v>#REF!</v>
      </c>
      <c r="G447" s="66" t="e">
        <f>'ERROR FINAL'!#REF!</f>
        <v>#REF!</v>
      </c>
      <c r="H447" s="67" t="e">
        <f>IF('ERROR FINAL'!#REF!="CONFORME","CONFORME","NO CONFORME")</f>
        <v>#REF!</v>
      </c>
      <c r="I447" s="68" t="e">
        <f t="shared" si="6"/>
        <v>#REF!</v>
      </c>
    </row>
    <row r="448" spans="1:9" x14ac:dyDescent="0.25">
      <c r="A448" s="61" t="e">
        <f>'ERROR FINAL'!#REF!</f>
        <v>#REF!</v>
      </c>
      <c r="B448" s="62" t="e">
        <f>'ERROR FINAL'!#REF!</f>
        <v>#REF!</v>
      </c>
      <c r="C448" s="63" t="e">
        <f>'ERROR FINAL'!#REF!</f>
        <v>#REF!</v>
      </c>
      <c r="D448" s="64" t="e">
        <f>'ERROR FINAL'!#REF!</f>
        <v>#REF!</v>
      </c>
      <c r="E448" s="65" t="e">
        <f>'ERROR FINAL'!#REF!</f>
        <v>#REF!</v>
      </c>
      <c r="F448" s="66" t="e">
        <f>'ERROR FINAL'!#REF!</f>
        <v>#REF!</v>
      </c>
      <c r="G448" s="66" t="e">
        <f>'ERROR FINAL'!#REF!</f>
        <v>#REF!</v>
      </c>
      <c r="H448" s="67" t="e">
        <f>IF('ERROR FINAL'!#REF!="CONFORME","CONFORME","NO CONFORME")</f>
        <v>#REF!</v>
      </c>
      <c r="I448" s="68" t="e">
        <f t="shared" si="6"/>
        <v>#REF!</v>
      </c>
    </row>
    <row r="449" spans="1:9" x14ac:dyDescent="0.25">
      <c r="A449" s="61" t="e">
        <f>'ERROR FINAL'!#REF!</f>
        <v>#REF!</v>
      </c>
      <c r="B449" s="62" t="e">
        <f>'ERROR FINAL'!#REF!</f>
        <v>#REF!</v>
      </c>
      <c r="C449" s="63" t="e">
        <f>'ERROR FINAL'!#REF!</f>
        <v>#REF!</v>
      </c>
      <c r="D449" s="64" t="e">
        <f>'ERROR FINAL'!#REF!</f>
        <v>#REF!</v>
      </c>
      <c r="E449" s="65" t="e">
        <f>'ERROR FINAL'!#REF!</f>
        <v>#REF!</v>
      </c>
      <c r="F449" s="66" t="e">
        <f>'ERROR FINAL'!#REF!</f>
        <v>#REF!</v>
      </c>
      <c r="G449" s="66" t="e">
        <f>'ERROR FINAL'!#REF!</f>
        <v>#REF!</v>
      </c>
      <c r="H449" s="67" t="e">
        <f>IF('ERROR FINAL'!#REF!="CONFORME","CONFORME","NO CONFORME")</f>
        <v>#REF!</v>
      </c>
      <c r="I449" s="68" t="e">
        <f t="shared" si="6"/>
        <v>#REF!</v>
      </c>
    </row>
    <row r="450" spans="1:9" x14ac:dyDescent="0.25">
      <c r="A450" s="61" t="e">
        <f>'ERROR FINAL'!#REF!</f>
        <v>#REF!</v>
      </c>
      <c r="B450" s="62" t="e">
        <f>'ERROR FINAL'!#REF!</f>
        <v>#REF!</v>
      </c>
      <c r="C450" s="63" t="e">
        <f>'ERROR FINAL'!#REF!</f>
        <v>#REF!</v>
      </c>
      <c r="D450" s="64" t="e">
        <f>'ERROR FINAL'!#REF!</f>
        <v>#REF!</v>
      </c>
      <c r="E450" s="65" t="e">
        <f>'ERROR FINAL'!#REF!</f>
        <v>#REF!</v>
      </c>
      <c r="F450" s="66" t="e">
        <f>'ERROR FINAL'!#REF!</f>
        <v>#REF!</v>
      </c>
      <c r="G450" s="66" t="e">
        <f>'ERROR FINAL'!#REF!</f>
        <v>#REF!</v>
      </c>
      <c r="H450" s="67" t="e">
        <f>IF('ERROR FINAL'!#REF!="CONFORME","CONFORME","NO CONFORME")</f>
        <v>#REF!</v>
      </c>
      <c r="I450" s="68" t="e">
        <f t="shared" si="6"/>
        <v>#REF!</v>
      </c>
    </row>
    <row r="451" spans="1:9" x14ac:dyDescent="0.25">
      <c r="A451" s="61" t="e">
        <f>'ERROR FINAL'!#REF!</f>
        <v>#REF!</v>
      </c>
      <c r="B451" s="62" t="e">
        <f>'ERROR FINAL'!#REF!</f>
        <v>#REF!</v>
      </c>
      <c r="C451" s="63" t="e">
        <f>'ERROR FINAL'!#REF!</f>
        <v>#REF!</v>
      </c>
      <c r="D451" s="64" t="e">
        <f>'ERROR FINAL'!#REF!</f>
        <v>#REF!</v>
      </c>
      <c r="E451" s="65" t="e">
        <f>'ERROR FINAL'!#REF!</f>
        <v>#REF!</v>
      </c>
      <c r="F451" s="66" t="e">
        <f>'ERROR FINAL'!#REF!</f>
        <v>#REF!</v>
      </c>
      <c r="G451" s="66" t="e">
        <f>'ERROR FINAL'!#REF!</f>
        <v>#REF!</v>
      </c>
      <c r="H451" s="67" t="e">
        <f>IF('ERROR FINAL'!#REF!="CONFORME","CONFORME","NO CONFORME")</f>
        <v>#REF!</v>
      </c>
      <c r="I451" s="68" t="e">
        <f t="shared" si="6"/>
        <v>#REF!</v>
      </c>
    </row>
    <row r="452" spans="1:9" x14ac:dyDescent="0.25">
      <c r="A452" s="61" t="e">
        <f>'ERROR FINAL'!#REF!</f>
        <v>#REF!</v>
      </c>
      <c r="B452" s="62" t="e">
        <f>'ERROR FINAL'!#REF!</f>
        <v>#REF!</v>
      </c>
      <c r="C452" s="63" t="e">
        <f>'ERROR FINAL'!#REF!</f>
        <v>#REF!</v>
      </c>
      <c r="D452" s="64" t="e">
        <f>'ERROR FINAL'!#REF!</f>
        <v>#REF!</v>
      </c>
      <c r="E452" s="65" t="e">
        <f>'ERROR FINAL'!#REF!</f>
        <v>#REF!</v>
      </c>
      <c r="F452" s="66" t="e">
        <f>'ERROR FINAL'!#REF!</f>
        <v>#REF!</v>
      </c>
      <c r="G452" s="66" t="e">
        <f>'ERROR FINAL'!#REF!</f>
        <v>#REF!</v>
      </c>
      <c r="H452" s="67" t="e">
        <f>IF('ERROR FINAL'!#REF!="CONFORME","CONFORME","NO CONFORME")</f>
        <v>#REF!</v>
      </c>
      <c r="I452" s="68" t="e">
        <f t="shared" si="6"/>
        <v>#REF!</v>
      </c>
    </row>
    <row r="453" spans="1:9" x14ac:dyDescent="0.25">
      <c r="A453" s="61" t="e">
        <f>'ERROR FINAL'!#REF!</f>
        <v>#REF!</v>
      </c>
      <c r="B453" s="62" t="e">
        <f>'ERROR FINAL'!#REF!</f>
        <v>#REF!</v>
      </c>
      <c r="C453" s="63" t="e">
        <f>'ERROR FINAL'!#REF!</f>
        <v>#REF!</v>
      </c>
      <c r="D453" s="64" t="e">
        <f>'ERROR FINAL'!#REF!</f>
        <v>#REF!</v>
      </c>
      <c r="E453" s="65" t="e">
        <f>'ERROR FINAL'!#REF!</f>
        <v>#REF!</v>
      </c>
      <c r="F453" s="66" t="e">
        <f>'ERROR FINAL'!#REF!</f>
        <v>#REF!</v>
      </c>
      <c r="G453" s="66" t="e">
        <f>'ERROR FINAL'!#REF!</f>
        <v>#REF!</v>
      </c>
      <c r="H453" s="67" t="e">
        <f>IF('ERROR FINAL'!#REF!="CONFORME","CONFORME","NO CONFORME")</f>
        <v>#REF!</v>
      </c>
      <c r="I453" s="68" t="e">
        <f t="shared" si="6"/>
        <v>#REF!</v>
      </c>
    </row>
    <row r="454" spans="1:9" x14ac:dyDescent="0.25">
      <c r="A454" s="61" t="e">
        <f>'ERROR FINAL'!#REF!</f>
        <v>#REF!</v>
      </c>
      <c r="B454" s="62" t="e">
        <f>'ERROR FINAL'!#REF!</f>
        <v>#REF!</v>
      </c>
      <c r="C454" s="63" t="e">
        <f>'ERROR FINAL'!#REF!</f>
        <v>#REF!</v>
      </c>
      <c r="D454" s="64" t="e">
        <f>'ERROR FINAL'!#REF!</f>
        <v>#REF!</v>
      </c>
      <c r="E454" s="65" t="e">
        <f>'ERROR FINAL'!#REF!</f>
        <v>#REF!</v>
      </c>
      <c r="F454" s="66" t="e">
        <f>'ERROR FINAL'!#REF!</f>
        <v>#REF!</v>
      </c>
      <c r="G454" s="66" t="e">
        <f>'ERROR FINAL'!#REF!</f>
        <v>#REF!</v>
      </c>
      <c r="H454" s="67" t="e">
        <f>IF('ERROR FINAL'!#REF!="CONFORME","CONFORME","NO CONFORME")</f>
        <v>#REF!</v>
      </c>
      <c r="I454" s="68" t="e">
        <f t="shared" si="6"/>
        <v>#REF!</v>
      </c>
    </row>
    <row r="455" spans="1:9" x14ac:dyDescent="0.25">
      <c r="A455" s="61" t="e">
        <f>'ERROR FINAL'!#REF!</f>
        <v>#REF!</v>
      </c>
      <c r="B455" s="62" t="e">
        <f>'ERROR FINAL'!#REF!</f>
        <v>#REF!</v>
      </c>
      <c r="C455" s="63" t="e">
        <f>'ERROR FINAL'!#REF!</f>
        <v>#REF!</v>
      </c>
      <c r="D455" s="64" t="e">
        <f>'ERROR FINAL'!#REF!</f>
        <v>#REF!</v>
      </c>
      <c r="E455" s="65" t="e">
        <f>'ERROR FINAL'!#REF!</f>
        <v>#REF!</v>
      </c>
      <c r="F455" s="66" t="e">
        <f>'ERROR FINAL'!#REF!</f>
        <v>#REF!</v>
      </c>
      <c r="G455" s="66" t="e">
        <f>'ERROR FINAL'!#REF!</f>
        <v>#REF!</v>
      </c>
      <c r="H455" s="67" t="e">
        <f>IF('ERROR FINAL'!#REF!="CONFORME","CONFORME","NO CONFORME")</f>
        <v>#REF!</v>
      </c>
      <c r="I455" s="68" t="e">
        <f t="shared" ref="I455:I518" si="7">IF(D455=0,"Medición",IF(D455=1,"Daño físico",IF(D455=2,"Fuga",IF(D455=3,"Picado",IF(D455=4,"Desfasado",IF(D455=5,"Paralizado","¿?"))))))</f>
        <v>#REF!</v>
      </c>
    </row>
    <row r="456" spans="1:9" x14ac:dyDescent="0.25">
      <c r="A456" s="61" t="e">
        <f>'ERROR FINAL'!#REF!</f>
        <v>#REF!</v>
      </c>
      <c r="B456" s="62" t="e">
        <f>'ERROR FINAL'!#REF!</f>
        <v>#REF!</v>
      </c>
      <c r="C456" s="63" t="e">
        <f>'ERROR FINAL'!#REF!</f>
        <v>#REF!</v>
      </c>
      <c r="D456" s="64" t="e">
        <f>'ERROR FINAL'!#REF!</f>
        <v>#REF!</v>
      </c>
      <c r="E456" s="65" t="e">
        <f>'ERROR FINAL'!#REF!</f>
        <v>#REF!</v>
      </c>
      <c r="F456" s="66" t="e">
        <f>'ERROR FINAL'!#REF!</f>
        <v>#REF!</v>
      </c>
      <c r="G456" s="66" t="e">
        <f>'ERROR FINAL'!#REF!</f>
        <v>#REF!</v>
      </c>
      <c r="H456" s="67" t="e">
        <f>IF('ERROR FINAL'!#REF!="CONFORME","CONFORME","NO CONFORME")</f>
        <v>#REF!</v>
      </c>
      <c r="I456" s="68" t="e">
        <f t="shared" si="7"/>
        <v>#REF!</v>
      </c>
    </row>
    <row r="457" spans="1:9" x14ac:dyDescent="0.25">
      <c r="A457" s="61" t="e">
        <f>'ERROR FINAL'!#REF!</f>
        <v>#REF!</v>
      </c>
      <c r="B457" s="62" t="e">
        <f>'ERROR FINAL'!#REF!</f>
        <v>#REF!</v>
      </c>
      <c r="C457" s="63" t="e">
        <f>'ERROR FINAL'!#REF!</f>
        <v>#REF!</v>
      </c>
      <c r="D457" s="64" t="e">
        <f>'ERROR FINAL'!#REF!</f>
        <v>#REF!</v>
      </c>
      <c r="E457" s="65" t="e">
        <f>'ERROR FINAL'!#REF!</f>
        <v>#REF!</v>
      </c>
      <c r="F457" s="66" t="e">
        <f>'ERROR FINAL'!#REF!</f>
        <v>#REF!</v>
      </c>
      <c r="G457" s="66" t="e">
        <f>'ERROR FINAL'!#REF!</f>
        <v>#REF!</v>
      </c>
      <c r="H457" s="67" t="e">
        <f>IF('ERROR FINAL'!#REF!="CONFORME","CONFORME","NO CONFORME")</f>
        <v>#REF!</v>
      </c>
      <c r="I457" s="68" t="e">
        <f t="shared" si="7"/>
        <v>#REF!</v>
      </c>
    </row>
    <row r="458" spans="1:9" x14ac:dyDescent="0.25">
      <c r="A458" s="61" t="e">
        <f>'ERROR FINAL'!#REF!</f>
        <v>#REF!</v>
      </c>
      <c r="B458" s="62" t="e">
        <f>'ERROR FINAL'!#REF!</f>
        <v>#REF!</v>
      </c>
      <c r="C458" s="63" t="e">
        <f>'ERROR FINAL'!#REF!</f>
        <v>#REF!</v>
      </c>
      <c r="D458" s="64" t="e">
        <f>'ERROR FINAL'!#REF!</f>
        <v>#REF!</v>
      </c>
      <c r="E458" s="65" t="e">
        <f>'ERROR FINAL'!#REF!</f>
        <v>#REF!</v>
      </c>
      <c r="F458" s="66" t="e">
        <f>'ERROR FINAL'!#REF!</f>
        <v>#REF!</v>
      </c>
      <c r="G458" s="66" t="e">
        <f>'ERROR FINAL'!#REF!</f>
        <v>#REF!</v>
      </c>
      <c r="H458" s="67" t="e">
        <f>IF('ERROR FINAL'!#REF!="CONFORME","CONFORME","NO CONFORME")</f>
        <v>#REF!</v>
      </c>
      <c r="I458" s="68" t="e">
        <f t="shared" si="7"/>
        <v>#REF!</v>
      </c>
    </row>
    <row r="459" spans="1:9" x14ac:dyDescent="0.25">
      <c r="A459" s="61" t="e">
        <f>'ERROR FINAL'!#REF!</f>
        <v>#REF!</v>
      </c>
      <c r="B459" s="62" t="e">
        <f>'ERROR FINAL'!#REF!</f>
        <v>#REF!</v>
      </c>
      <c r="C459" s="63" t="e">
        <f>'ERROR FINAL'!#REF!</f>
        <v>#REF!</v>
      </c>
      <c r="D459" s="64" t="e">
        <f>'ERROR FINAL'!#REF!</f>
        <v>#REF!</v>
      </c>
      <c r="E459" s="65" t="e">
        <f>'ERROR FINAL'!#REF!</f>
        <v>#REF!</v>
      </c>
      <c r="F459" s="66" t="e">
        <f>'ERROR FINAL'!#REF!</f>
        <v>#REF!</v>
      </c>
      <c r="G459" s="66" t="e">
        <f>'ERROR FINAL'!#REF!</f>
        <v>#REF!</v>
      </c>
      <c r="H459" s="67" t="e">
        <f>IF('ERROR FINAL'!#REF!="CONFORME","CONFORME","NO CONFORME")</f>
        <v>#REF!</v>
      </c>
      <c r="I459" s="68" t="e">
        <f t="shared" si="7"/>
        <v>#REF!</v>
      </c>
    </row>
    <row r="460" spans="1:9" x14ac:dyDescent="0.25">
      <c r="A460" s="61" t="e">
        <f>'ERROR FINAL'!#REF!</f>
        <v>#REF!</v>
      </c>
      <c r="B460" s="62" t="e">
        <f>'ERROR FINAL'!#REF!</f>
        <v>#REF!</v>
      </c>
      <c r="C460" s="63" t="e">
        <f>'ERROR FINAL'!#REF!</f>
        <v>#REF!</v>
      </c>
      <c r="D460" s="64" t="e">
        <f>'ERROR FINAL'!#REF!</f>
        <v>#REF!</v>
      </c>
      <c r="E460" s="65" t="e">
        <f>'ERROR FINAL'!#REF!</f>
        <v>#REF!</v>
      </c>
      <c r="F460" s="66" t="e">
        <f>'ERROR FINAL'!#REF!</f>
        <v>#REF!</v>
      </c>
      <c r="G460" s="66" t="e">
        <f>'ERROR FINAL'!#REF!</f>
        <v>#REF!</v>
      </c>
      <c r="H460" s="67" t="e">
        <f>IF('ERROR FINAL'!#REF!="CONFORME","CONFORME","NO CONFORME")</f>
        <v>#REF!</v>
      </c>
      <c r="I460" s="68" t="e">
        <f t="shared" si="7"/>
        <v>#REF!</v>
      </c>
    </row>
    <row r="461" spans="1:9" x14ac:dyDescent="0.25">
      <c r="A461" s="61" t="e">
        <f>'ERROR FINAL'!#REF!</f>
        <v>#REF!</v>
      </c>
      <c r="B461" s="62" t="e">
        <f>'ERROR FINAL'!#REF!</f>
        <v>#REF!</v>
      </c>
      <c r="C461" s="63" t="e">
        <f>'ERROR FINAL'!#REF!</f>
        <v>#REF!</v>
      </c>
      <c r="D461" s="64" t="e">
        <f>'ERROR FINAL'!#REF!</f>
        <v>#REF!</v>
      </c>
      <c r="E461" s="65" t="e">
        <f>'ERROR FINAL'!#REF!</f>
        <v>#REF!</v>
      </c>
      <c r="F461" s="66" t="e">
        <f>'ERROR FINAL'!#REF!</f>
        <v>#REF!</v>
      </c>
      <c r="G461" s="66" t="e">
        <f>'ERROR FINAL'!#REF!</f>
        <v>#REF!</v>
      </c>
      <c r="H461" s="67" t="e">
        <f>IF('ERROR FINAL'!#REF!="CONFORME","CONFORME","NO CONFORME")</f>
        <v>#REF!</v>
      </c>
      <c r="I461" s="68" t="e">
        <f t="shared" si="7"/>
        <v>#REF!</v>
      </c>
    </row>
    <row r="462" spans="1:9" x14ac:dyDescent="0.25">
      <c r="A462" s="61" t="e">
        <f>'ERROR FINAL'!#REF!</f>
        <v>#REF!</v>
      </c>
      <c r="B462" s="62" t="e">
        <f>'ERROR FINAL'!#REF!</f>
        <v>#REF!</v>
      </c>
      <c r="C462" s="63" t="e">
        <f>'ERROR FINAL'!#REF!</f>
        <v>#REF!</v>
      </c>
      <c r="D462" s="64" t="e">
        <f>'ERROR FINAL'!#REF!</f>
        <v>#REF!</v>
      </c>
      <c r="E462" s="65" t="e">
        <f>'ERROR FINAL'!#REF!</f>
        <v>#REF!</v>
      </c>
      <c r="F462" s="66" t="e">
        <f>'ERROR FINAL'!#REF!</f>
        <v>#REF!</v>
      </c>
      <c r="G462" s="66" t="e">
        <f>'ERROR FINAL'!#REF!</f>
        <v>#REF!</v>
      </c>
      <c r="H462" s="67" t="e">
        <f>IF('ERROR FINAL'!#REF!="CONFORME","CONFORME","NO CONFORME")</f>
        <v>#REF!</v>
      </c>
      <c r="I462" s="68" t="e">
        <f t="shared" si="7"/>
        <v>#REF!</v>
      </c>
    </row>
    <row r="463" spans="1:9" x14ac:dyDescent="0.25">
      <c r="A463" s="61" t="e">
        <f>'ERROR FINAL'!#REF!</f>
        <v>#REF!</v>
      </c>
      <c r="B463" s="62" t="e">
        <f>'ERROR FINAL'!#REF!</f>
        <v>#REF!</v>
      </c>
      <c r="C463" s="63" t="e">
        <f>'ERROR FINAL'!#REF!</f>
        <v>#REF!</v>
      </c>
      <c r="D463" s="64" t="e">
        <f>'ERROR FINAL'!#REF!</f>
        <v>#REF!</v>
      </c>
      <c r="E463" s="65" t="e">
        <f>'ERROR FINAL'!#REF!</f>
        <v>#REF!</v>
      </c>
      <c r="F463" s="66" t="e">
        <f>'ERROR FINAL'!#REF!</f>
        <v>#REF!</v>
      </c>
      <c r="G463" s="66" t="e">
        <f>'ERROR FINAL'!#REF!</f>
        <v>#REF!</v>
      </c>
      <c r="H463" s="67" t="e">
        <f>IF('ERROR FINAL'!#REF!="CONFORME","CONFORME","NO CONFORME")</f>
        <v>#REF!</v>
      </c>
      <c r="I463" s="68" t="e">
        <f t="shared" si="7"/>
        <v>#REF!</v>
      </c>
    </row>
    <row r="464" spans="1:9" x14ac:dyDescent="0.25">
      <c r="A464" s="61" t="e">
        <f>'ERROR FINAL'!#REF!</f>
        <v>#REF!</v>
      </c>
      <c r="B464" s="62" t="e">
        <f>'ERROR FINAL'!#REF!</f>
        <v>#REF!</v>
      </c>
      <c r="C464" s="63" t="e">
        <f>'ERROR FINAL'!#REF!</f>
        <v>#REF!</v>
      </c>
      <c r="D464" s="64" t="e">
        <f>'ERROR FINAL'!#REF!</f>
        <v>#REF!</v>
      </c>
      <c r="E464" s="65" t="e">
        <f>'ERROR FINAL'!#REF!</f>
        <v>#REF!</v>
      </c>
      <c r="F464" s="66" t="e">
        <f>'ERROR FINAL'!#REF!</f>
        <v>#REF!</v>
      </c>
      <c r="G464" s="66" t="e">
        <f>'ERROR FINAL'!#REF!</f>
        <v>#REF!</v>
      </c>
      <c r="H464" s="67" t="e">
        <f>IF('ERROR FINAL'!#REF!="CONFORME","CONFORME","NO CONFORME")</f>
        <v>#REF!</v>
      </c>
      <c r="I464" s="68" t="e">
        <f t="shared" si="7"/>
        <v>#REF!</v>
      </c>
    </row>
    <row r="465" spans="1:9" x14ac:dyDescent="0.25">
      <c r="A465" s="61" t="e">
        <f>'ERROR FINAL'!#REF!</f>
        <v>#REF!</v>
      </c>
      <c r="B465" s="62" t="e">
        <f>'ERROR FINAL'!#REF!</f>
        <v>#REF!</v>
      </c>
      <c r="C465" s="63" t="e">
        <f>'ERROR FINAL'!#REF!</f>
        <v>#REF!</v>
      </c>
      <c r="D465" s="64" t="e">
        <f>'ERROR FINAL'!#REF!</f>
        <v>#REF!</v>
      </c>
      <c r="E465" s="65" t="e">
        <f>'ERROR FINAL'!#REF!</f>
        <v>#REF!</v>
      </c>
      <c r="F465" s="66" t="e">
        <f>'ERROR FINAL'!#REF!</f>
        <v>#REF!</v>
      </c>
      <c r="G465" s="66" t="e">
        <f>'ERROR FINAL'!#REF!</f>
        <v>#REF!</v>
      </c>
      <c r="H465" s="67" t="e">
        <f>IF('ERROR FINAL'!#REF!="CONFORME","CONFORME","NO CONFORME")</f>
        <v>#REF!</v>
      </c>
      <c r="I465" s="68" t="e">
        <f t="shared" si="7"/>
        <v>#REF!</v>
      </c>
    </row>
    <row r="466" spans="1:9" x14ac:dyDescent="0.25">
      <c r="A466" s="61" t="e">
        <f>'ERROR FINAL'!#REF!</f>
        <v>#REF!</v>
      </c>
      <c r="B466" s="62" t="e">
        <f>'ERROR FINAL'!#REF!</f>
        <v>#REF!</v>
      </c>
      <c r="C466" s="63" t="e">
        <f>'ERROR FINAL'!#REF!</f>
        <v>#REF!</v>
      </c>
      <c r="D466" s="64" t="e">
        <f>'ERROR FINAL'!#REF!</f>
        <v>#REF!</v>
      </c>
      <c r="E466" s="65" t="e">
        <f>'ERROR FINAL'!#REF!</f>
        <v>#REF!</v>
      </c>
      <c r="F466" s="66" t="e">
        <f>'ERROR FINAL'!#REF!</f>
        <v>#REF!</v>
      </c>
      <c r="G466" s="66" t="e">
        <f>'ERROR FINAL'!#REF!</f>
        <v>#REF!</v>
      </c>
      <c r="H466" s="67" t="e">
        <f>IF('ERROR FINAL'!#REF!="CONFORME","CONFORME","NO CONFORME")</f>
        <v>#REF!</v>
      </c>
      <c r="I466" s="68" t="e">
        <f t="shared" si="7"/>
        <v>#REF!</v>
      </c>
    </row>
    <row r="467" spans="1:9" x14ac:dyDescent="0.25">
      <c r="A467" s="61" t="e">
        <f>'ERROR FINAL'!#REF!</f>
        <v>#REF!</v>
      </c>
      <c r="B467" s="62" t="e">
        <f>'ERROR FINAL'!#REF!</f>
        <v>#REF!</v>
      </c>
      <c r="C467" s="63" t="e">
        <f>'ERROR FINAL'!#REF!</f>
        <v>#REF!</v>
      </c>
      <c r="D467" s="64" t="e">
        <f>'ERROR FINAL'!#REF!</f>
        <v>#REF!</v>
      </c>
      <c r="E467" s="65" t="e">
        <f>'ERROR FINAL'!#REF!</f>
        <v>#REF!</v>
      </c>
      <c r="F467" s="66" t="e">
        <f>'ERROR FINAL'!#REF!</f>
        <v>#REF!</v>
      </c>
      <c r="G467" s="66" t="e">
        <f>'ERROR FINAL'!#REF!</f>
        <v>#REF!</v>
      </c>
      <c r="H467" s="67" t="e">
        <f>IF('ERROR FINAL'!#REF!="CONFORME","CONFORME","NO CONFORME")</f>
        <v>#REF!</v>
      </c>
      <c r="I467" s="68" t="e">
        <f t="shared" si="7"/>
        <v>#REF!</v>
      </c>
    </row>
    <row r="468" spans="1:9" x14ac:dyDescent="0.25">
      <c r="A468" s="61" t="e">
        <f>'ERROR FINAL'!#REF!</f>
        <v>#REF!</v>
      </c>
      <c r="B468" s="62" t="e">
        <f>'ERROR FINAL'!#REF!</f>
        <v>#REF!</v>
      </c>
      <c r="C468" s="63" t="e">
        <f>'ERROR FINAL'!#REF!</f>
        <v>#REF!</v>
      </c>
      <c r="D468" s="64" t="e">
        <f>'ERROR FINAL'!#REF!</f>
        <v>#REF!</v>
      </c>
      <c r="E468" s="65" t="e">
        <f>'ERROR FINAL'!#REF!</f>
        <v>#REF!</v>
      </c>
      <c r="F468" s="66" t="e">
        <f>'ERROR FINAL'!#REF!</f>
        <v>#REF!</v>
      </c>
      <c r="G468" s="66" t="e">
        <f>'ERROR FINAL'!#REF!</f>
        <v>#REF!</v>
      </c>
      <c r="H468" s="67" t="e">
        <f>IF('ERROR FINAL'!#REF!="CONFORME","CONFORME","NO CONFORME")</f>
        <v>#REF!</v>
      </c>
      <c r="I468" s="68" t="e">
        <f t="shared" si="7"/>
        <v>#REF!</v>
      </c>
    </row>
    <row r="469" spans="1:9" x14ac:dyDescent="0.25">
      <c r="A469" s="61" t="e">
        <f>'ERROR FINAL'!#REF!</f>
        <v>#REF!</v>
      </c>
      <c r="B469" s="62" t="e">
        <f>'ERROR FINAL'!#REF!</f>
        <v>#REF!</v>
      </c>
      <c r="C469" s="63" t="e">
        <f>'ERROR FINAL'!#REF!</f>
        <v>#REF!</v>
      </c>
      <c r="D469" s="64" t="e">
        <f>'ERROR FINAL'!#REF!</f>
        <v>#REF!</v>
      </c>
      <c r="E469" s="65" t="e">
        <f>'ERROR FINAL'!#REF!</f>
        <v>#REF!</v>
      </c>
      <c r="F469" s="66" t="e">
        <f>'ERROR FINAL'!#REF!</f>
        <v>#REF!</v>
      </c>
      <c r="G469" s="66" t="e">
        <f>'ERROR FINAL'!#REF!</f>
        <v>#REF!</v>
      </c>
      <c r="H469" s="67" t="e">
        <f>IF('ERROR FINAL'!#REF!="CONFORME","CONFORME","NO CONFORME")</f>
        <v>#REF!</v>
      </c>
      <c r="I469" s="68" t="e">
        <f t="shared" si="7"/>
        <v>#REF!</v>
      </c>
    </row>
    <row r="470" spans="1:9" x14ac:dyDescent="0.25">
      <c r="A470" s="61" t="e">
        <f>'ERROR FINAL'!#REF!</f>
        <v>#REF!</v>
      </c>
      <c r="B470" s="62" t="e">
        <f>'ERROR FINAL'!#REF!</f>
        <v>#REF!</v>
      </c>
      <c r="C470" s="63" t="e">
        <f>'ERROR FINAL'!#REF!</f>
        <v>#REF!</v>
      </c>
      <c r="D470" s="64" t="e">
        <f>'ERROR FINAL'!#REF!</f>
        <v>#REF!</v>
      </c>
      <c r="E470" s="65" t="e">
        <f>'ERROR FINAL'!#REF!</f>
        <v>#REF!</v>
      </c>
      <c r="F470" s="66" t="e">
        <f>'ERROR FINAL'!#REF!</f>
        <v>#REF!</v>
      </c>
      <c r="G470" s="66" t="e">
        <f>'ERROR FINAL'!#REF!</f>
        <v>#REF!</v>
      </c>
      <c r="H470" s="67" t="e">
        <f>IF('ERROR FINAL'!#REF!="CONFORME","CONFORME","NO CONFORME")</f>
        <v>#REF!</v>
      </c>
      <c r="I470" s="68" t="e">
        <f t="shared" si="7"/>
        <v>#REF!</v>
      </c>
    </row>
    <row r="471" spans="1:9" x14ac:dyDescent="0.25">
      <c r="A471" s="61" t="e">
        <f>'ERROR FINAL'!#REF!</f>
        <v>#REF!</v>
      </c>
      <c r="B471" s="62" t="e">
        <f>'ERROR FINAL'!#REF!</f>
        <v>#REF!</v>
      </c>
      <c r="C471" s="63" t="e">
        <f>'ERROR FINAL'!#REF!</f>
        <v>#REF!</v>
      </c>
      <c r="D471" s="64" t="e">
        <f>'ERROR FINAL'!#REF!</f>
        <v>#REF!</v>
      </c>
      <c r="E471" s="65" t="e">
        <f>'ERROR FINAL'!#REF!</f>
        <v>#REF!</v>
      </c>
      <c r="F471" s="66" t="e">
        <f>'ERROR FINAL'!#REF!</f>
        <v>#REF!</v>
      </c>
      <c r="G471" s="66" t="e">
        <f>'ERROR FINAL'!#REF!</f>
        <v>#REF!</v>
      </c>
      <c r="H471" s="67" t="e">
        <f>IF('ERROR FINAL'!#REF!="CONFORME","CONFORME","NO CONFORME")</f>
        <v>#REF!</v>
      </c>
      <c r="I471" s="68" t="e">
        <f t="shared" si="7"/>
        <v>#REF!</v>
      </c>
    </row>
    <row r="472" spans="1:9" x14ac:dyDescent="0.25">
      <c r="A472" s="61" t="e">
        <f>'ERROR FINAL'!#REF!</f>
        <v>#REF!</v>
      </c>
      <c r="B472" s="62" t="e">
        <f>'ERROR FINAL'!#REF!</f>
        <v>#REF!</v>
      </c>
      <c r="C472" s="63" t="e">
        <f>'ERROR FINAL'!#REF!</f>
        <v>#REF!</v>
      </c>
      <c r="D472" s="64" t="e">
        <f>'ERROR FINAL'!#REF!</f>
        <v>#REF!</v>
      </c>
      <c r="E472" s="65" t="e">
        <f>'ERROR FINAL'!#REF!</f>
        <v>#REF!</v>
      </c>
      <c r="F472" s="66" t="e">
        <f>'ERROR FINAL'!#REF!</f>
        <v>#REF!</v>
      </c>
      <c r="G472" s="66" t="e">
        <f>'ERROR FINAL'!#REF!</f>
        <v>#REF!</v>
      </c>
      <c r="H472" s="67" t="e">
        <f>IF('ERROR FINAL'!#REF!="CONFORME","CONFORME","NO CONFORME")</f>
        <v>#REF!</v>
      </c>
      <c r="I472" s="68" t="e">
        <f t="shared" si="7"/>
        <v>#REF!</v>
      </c>
    </row>
    <row r="473" spans="1:9" x14ac:dyDescent="0.25">
      <c r="A473" s="61" t="e">
        <f>'ERROR FINAL'!#REF!</f>
        <v>#REF!</v>
      </c>
      <c r="B473" s="62" t="e">
        <f>'ERROR FINAL'!#REF!</f>
        <v>#REF!</v>
      </c>
      <c r="C473" s="63" t="e">
        <f>'ERROR FINAL'!#REF!</f>
        <v>#REF!</v>
      </c>
      <c r="D473" s="64" t="e">
        <f>'ERROR FINAL'!#REF!</f>
        <v>#REF!</v>
      </c>
      <c r="E473" s="65" t="e">
        <f>'ERROR FINAL'!#REF!</f>
        <v>#REF!</v>
      </c>
      <c r="F473" s="66" t="e">
        <f>'ERROR FINAL'!#REF!</f>
        <v>#REF!</v>
      </c>
      <c r="G473" s="66" t="e">
        <f>'ERROR FINAL'!#REF!</f>
        <v>#REF!</v>
      </c>
      <c r="H473" s="67" t="e">
        <f>IF('ERROR FINAL'!#REF!="CONFORME","CONFORME","NO CONFORME")</f>
        <v>#REF!</v>
      </c>
      <c r="I473" s="68" t="e">
        <f t="shared" si="7"/>
        <v>#REF!</v>
      </c>
    </row>
    <row r="474" spans="1:9" x14ac:dyDescent="0.25">
      <c r="A474" s="61" t="e">
        <f>'ERROR FINAL'!#REF!</f>
        <v>#REF!</v>
      </c>
      <c r="B474" s="62" t="e">
        <f>'ERROR FINAL'!#REF!</f>
        <v>#REF!</v>
      </c>
      <c r="C474" s="63" t="e">
        <f>'ERROR FINAL'!#REF!</f>
        <v>#REF!</v>
      </c>
      <c r="D474" s="64" t="e">
        <f>'ERROR FINAL'!#REF!</f>
        <v>#REF!</v>
      </c>
      <c r="E474" s="65" t="e">
        <f>'ERROR FINAL'!#REF!</f>
        <v>#REF!</v>
      </c>
      <c r="F474" s="66" t="e">
        <f>'ERROR FINAL'!#REF!</f>
        <v>#REF!</v>
      </c>
      <c r="G474" s="66" t="e">
        <f>'ERROR FINAL'!#REF!</f>
        <v>#REF!</v>
      </c>
      <c r="H474" s="67" t="e">
        <f>IF('ERROR FINAL'!#REF!="CONFORME","CONFORME","NO CONFORME")</f>
        <v>#REF!</v>
      </c>
      <c r="I474" s="68" t="e">
        <f t="shared" si="7"/>
        <v>#REF!</v>
      </c>
    </row>
    <row r="475" spans="1:9" x14ac:dyDescent="0.25">
      <c r="A475" s="61" t="e">
        <f>'ERROR FINAL'!#REF!</f>
        <v>#REF!</v>
      </c>
      <c r="B475" s="62" t="e">
        <f>'ERROR FINAL'!#REF!</f>
        <v>#REF!</v>
      </c>
      <c r="C475" s="63" t="e">
        <f>'ERROR FINAL'!#REF!</f>
        <v>#REF!</v>
      </c>
      <c r="D475" s="64" t="e">
        <f>'ERROR FINAL'!#REF!</f>
        <v>#REF!</v>
      </c>
      <c r="E475" s="65" t="e">
        <f>'ERROR FINAL'!#REF!</f>
        <v>#REF!</v>
      </c>
      <c r="F475" s="66" t="e">
        <f>'ERROR FINAL'!#REF!</f>
        <v>#REF!</v>
      </c>
      <c r="G475" s="66" t="e">
        <f>'ERROR FINAL'!#REF!</f>
        <v>#REF!</v>
      </c>
      <c r="H475" s="67" t="e">
        <f>IF('ERROR FINAL'!#REF!="CONFORME","CONFORME","NO CONFORME")</f>
        <v>#REF!</v>
      </c>
      <c r="I475" s="68" t="e">
        <f t="shared" si="7"/>
        <v>#REF!</v>
      </c>
    </row>
    <row r="476" spans="1:9" x14ac:dyDescent="0.25">
      <c r="A476" s="61" t="e">
        <f>'ERROR FINAL'!#REF!</f>
        <v>#REF!</v>
      </c>
      <c r="B476" s="62" t="e">
        <f>'ERROR FINAL'!#REF!</f>
        <v>#REF!</v>
      </c>
      <c r="C476" s="63" t="e">
        <f>'ERROR FINAL'!#REF!</f>
        <v>#REF!</v>
      </c>
      <c r="D476" s="64" t="e">
        <f>'ERROR FINAL'!#REF!</f>
        <v>#REF!</v>
      </c>
      <c r="E476" s="65" t="e">
        <f>'ERROR FINAL'!#REF!</f>
        <v>#REF!</v>
      </c>
      <c r="F476" s="66" t="e">
        <f>'ERROR FINAL'!#REF!</f>
        <v>#REF!</v>
      </c>
      <c r="G476" s="66" t="e">
        <f>'ERROR FINAL'!#REF!</f>
        <v>#REF!</v>
      </c>
      <c r="H476" s="67" t="e">
        <f>IF('ERROR FINAL'!#REF!="CONFORME","CONFORME","NO CONFORME")</f>
        <v>#REF!</v>
      </c>
      <c r="I476" s="68" t="e">
        <f t="shared" si="7"/>
        <v>#REF!</v>
      </c>
    </row>
    <row r="477" spans="1:9" x14ac:dyDescent="0.25">
      <c r="A477" s="61" t="e">
        <f>'ERROR FINAL'!#REF!</f>
        <v>#REF!</v>
      </c>
      <c r="B477" s="62" t="e">
        <f>'ERROR FINAL'!#REF!</f>
        <v>#REF!</v>
      </c>
      <c r="C477" s="63" t="e">
        <f>'ERROR FINAL'!#REF!</f>
        <v>#REF!</v>
      </c>
      <c r="D477" s="64" t="e">
        <f>'ERROR FINAL'!#REF!</f>
        <v>#REF!</v>
      </c>
      <c r="E477" s="65" t="e">
        <f>'ERROR FINAL'!#REF!</f>
        <v>#REF!</v>
      </c>
      <c r="F477" s="66" t="e">
        <f>'ERROR FINAL'!#REF!</f>
        <v>#REF!</v>
      </c>
      <c r="G477" s="66" t="e">
        <f>'ERROR FINAL'!#REF!</f>
        <v>#REF!</v>
      </c>
      <c r="H477" s="67" t="e">
        <f>IF('ERROR FINAL'!#REF!="CONFORME","CONFORME","NO CONFORME")</f>
        <v>#REF!</v>
      </c>
      <c r="I477" s="68" t="e">
        <f t="shared" si="7"/>
        <v>#REF!</v>
      </c>
    </row>
    <row r="478" spans="1:9" x14ac:dyDescent="0.25">
      <c r="A478" s="61" t="e">
        <f>'ERROR FINAL'!#REF!</f>
        <v>#REF!</v>
      </c>
      <c r="B478" s="62" t="e">
        <f>'ERROR FINAL'!#REF!</f>
        <v>#REF!</v>
      </c>
      <c r="C478" s="63" t="e">
        <f>'ERROR FINAL'!#REF!</f>
        <v>#REF!</v>
      </c>
      <c r="D478" s="64" t="e">
        <f>'ERROR FINAL'!#REF!</f>
        <v>#REF!</v>
      </c>
      <c r="E478" s="65" t="e">
        <f>'ERROR FINAL'!#REF!</f>
        <v>#REF!</v>
      </c>
      <c r="F478" s="66" t="e">
        <f>'ERROR FINAL'!#REF!</f>
        <v>#REF!</v>
      </c>
      <c r="G478" s="66" t="e">
        <f>'ERROR FINAL'!#REF!</f>
        <v>#REF!</v>
      </c>
      <c r="H478" s="67" t="e">
        <f>IF('ERROR FINAL'!#REF!="CONFORME","CONFORME","NO CONFORME")</f>
        <v>#REF!</v>
      </c>
      <c r="I478" s="68" t="e">
        <f t="shared" si="7"/>
        <v>#REF!</v>
      </c>
    </row>
    <row r="479" spans="1:9" x14ac:dyDescent="0.25">
      <c r="A479" s="61" t="e">
        <f>'ERROR FINAL'!#REF!</f>
        <v>#REF!</v>
      </c>
      <c r="B479" s="62" t="e">
        <f>'ERROR FINAL'!#REF!</f>
        <v>#REF!</v>
      </c>
      <c r="C479" s="63" t="e">
        <f>'ERROR FINAL'!#REF!</f>
        <v>#REF!</v>
      </c>
      <c r="D479" s="64" t="e">
        <f>'ERROR FINAL'!#REF!</f>
        <v>#REF!</v>
      </c>
      <c r="E479" s="65" t="e">
        <f>'ERROR FINAL'!#REF!</f>
        <v>#REF!</v>
      </c>
      <c r="F479" s="66" t="e">
        <f>'ERROR FINAL'!#REF!</f>
        <v>#REF!</v>
      </c>
      <c r="G479" s="66" t="e">
        <f>'ERROR FINAL'!#REF!</f>
        <v>#REF!</v>
      </c>
      <c r="H479" s="67" t="e">
        <f>IF('ERROR FINAL'!#REF!="CONFORME","CONFORME","NO CONFORME")</f>
        <v>#REF!</v>
      </c>
      <c r="I479" s="68" t="e">
        <f t="shared" si="7"/>
        <v>#REF!</v>
      </c>
    </row>
    <row r="480" spans="1:9" x14ac:dyDescent="0.25">
      <c r="A480" s="61" t="e">
        <f>'ERROR FINAL'!#REF!</f>
        <v>#REF!</v>
      </c>
      <c r="B480" s="62" t="e">
        <f>'ERROR FINAL'!#REF!</f>
        <v>#REF!</v>
      </c>
      <c r="C480" s="63" t="e">
        <f>'ERROR FINAL'!#REF!</f>
        <v>#REF!</v>
      </c>
      <c r="D480" s="64" t="e">
        <f>'ERROR FINAL'!#REF!</f>
        <v>#REF!</v>
      </c>
      <c r="E480" s="65" t="e">
        <f>'ERROR FINAL'!#REF!</f>
        <v>#REF!</v>
      </c>
      <c r="F480" s="66" t="e">
        <f>'ERROR FINAL'!#REF!</f>
        <v>#REF!</v>
      </c>
      <c r="G480" s="66" t="e">
        <f>'ERROR FINAL'!#REF!</f>
        <v>#REF!</v>
      </c>
      <c r="H480" s="67" t="e">
        <f>IF('ERROR FINAL'!#REF!="CONFORME","CONFORME","NO CONFORME")</f>
        <v>#REF!</v>
      </c>
      <c r="I480" s="68" t="e">
        <f t="shared" si="7"/>
        <v>#REF!</v>
      </c>
    </row>
    <row r="481" spans="1:9" x14ac:dyDescent="0.25">
      <c r="A481" s="61" t="e">
        <f>'ERROR FINAL'!#REF!</f>
        <v>#REF!</v>
      </c>
      <c r="B481" s="62" t="e">
        <f>'ERROR FINAL'!#REF!</f>
        <v>#REF!</v>
      </c>
      <c r="C481" s="63" t="e">
        <f>'ERROR FINAL'!#REF!</f>
        <v>#REF!</v>
      </c>
      <c r="D481" s="64" t="e">
        <f>'ERROR FINAL'!#REF!</f>
        <v>#REF!</v>
      </c>
      <c r="E481" s="65" t="e">
        <f>'ERROR FINAL'!#REF!</f>
        <v>#REF!</v>
      </c>
      <c r="F481" s="66" t="e">
        <f>'ERROR FINAL'!#REF!</f>
        <v>#REF!</v>
      </c>
      <c r="G481" s="66" t="e">
        <f>'ERROR FINAL'!#REF!</f>
        <v>#REF!</v>
      </c>
      <c r="H481" s="67" t="e">
        <f>IF('ERROR FINAL'!#REF!="CONFORME","CONFORME","NO CONFORME")</f>
        <v>#REF!</v>
      </c>
      <c r="I481" s="68" t="e">
        <f t="shared" si="7"/>
        <v>#REF!</v>
      </c>
    </row>
    <row r="482" spans="1:9" x14ac:dyDescent="0.25">
      <c r="A482" s="61" t="e">
        <f>'ERROR FINAL'!#REF!</f>
        <v>#REF!</v>
      </c>
      <c r="B482" s="62" t="e">
        <f>'ERROR FINAL'!#REF!</f>
        <v>#REF!</v>
      </c>
      <c r="C482" s="63" t="e">
        <f>'ERROR FINAL'!#REF!</f>
        <v>#REF!</v>
      </c>
      <c r="D482" s="64" t="e">
        <f>'ERROR FINAL'!#REF!</f>
        <v>#REF!</v>
      </c>
      <c r="E482" s="65" t="e">
        <f>'ERROR FINAL'!#REF!</f>
        <v>#REF!</v>
      </c>
      <c r="F482" s="66" t="e">
        <f>'ERROR FINAL'!#REF!</f>
        <v>#REF!</v>
      </c>
      <c r="G482" s="66" t="e">
        <f>'ERROR FINAL'!#REF!</f>
        <v>#REF!</v>
      </c>
      <c r="H482" s="67" t="e">
        <f>IF('ERROR FINAL'!#REF!="CONFORME","CONFORME","NO CONFORME")</f>
        <v>#REF!</v>
      </c>
      <c r="I482" s="68" t="e">
        <f t="shared" si="7"/>
        <v>#REF!</v>
      </c>
    </row>
    <row r="483" spans="1:9" x14ac:dyDescent="0.25">
      <c r="A483" s="61" t="e">
        <f>'ERROR FINAL'!#REF!</f>
        <v>#REF!</v>
      </c>
      <c r="B483" s="62" t="e">
        <f>'ERROR FINAL'!#REF!</f>
        <v>#REF!</v>
      </c>
      <c r="C483" s="63" t="e">
        <f>'ERROR FINAL'!#REF!</f>
        <v>#REF!</v>
      </c>
      <c r="D483" s="64" t="e">
        <f>'ERROR FINAL'!#REF!</f>
        <v>#REF!</v>
      </c>
      <c r="E483" s="65" t="e">
        <f>'ERROR FINAL'!#REF!</f>
        <v>#REF!</v>
      </c>
      <c r="F483" s="66" t="e">
        <f>'ERROR FINAL'!#REF!</f>
        <v>#REF!</v>
      </c>
      <c r="G483" s="66" t="e">
        <f>'ERROR FINAL'!#REF!</f>
        <v>#REF!</v>
      </c>
      <c r="H483" s="67" t="e">
        <f>IF('ERROR FINAL'!#REF!="CONFORME","CONFORME","NO CONFORME")</f>
        <v>#REF!</v>
      </c>
      <c r="I483" s="68" t="e">
        <f t="shared" si="7"/>
        <v>#REF!</v>
      </c>
    </row>
    <row r="484" spans="1:9" x14ac:dyDescent="0.25">
      <c r="A484" s="61" t="e">
        <f>'ERROR FINAL'!#REF!</f>
        <v>#REF!</v>
      </c>
      <c r="B484" s="62" t="e">
        <f>'ERROR FINAL'!#REF!</f>
        <v>#REF!</v>
      </c>
      <c r="C484" s="63" t="e">
        <f>'ERROR FINAL'!#REF!</f>
        <v>#REF!</v>
      </c>
      <c r="D484" s="64" t="e">
        <f>'ERROR FINAL'!#REF!</f>
        <v>#REF!</v>
      </c>
      <c r="E484" s="65" t="e">
        <f>'ERROR FINAL'!#REF!</f>
        <v>#REF!</v>
      </c>
      <c r="F484" s="66" t="e">
        <f>'ERROR FINAL'!#REF!</f>
        <v>#REF!</v>
      </c>
      <c r="G484" s="66" t="e">
        <f>'ERROR FINAL'!#REF!</f>
        <v>#REF!</v>
      </c>
      <c r="H484" s="67" t="e">
        <f>IF('ERROR FINAL'!#REF!="CONFORME","CONFORME","NO CONFORME")</f>
        <v>#REF!</v>
      </c>
      <c r="I484" s="68" t="e">
        <f t="shared" si="7"/>
        <v>#REF!</v>
      </c>
    </row>
    <row r="485" spans="1:9" x14ac:dyDescent="0.25">
      <c r="A485" s="61" t="e">
        <f>'ERROR FINAL'!#REF!</f>
        <v>#REF!</v>
      </c>
      <c r="B485" s="62" t="e">
        <f>'ERROR FINAL'!#REF!</f>
        <v>#REF!</v>
      </c>
      <c r="C485" s="63" t="e">
        <f>'ERROR FINAL'!#REF!</f>
        <v>#REF!</v>
      </c>
      <c r="D485" s="64" t="e">
        <f>'ERROR FINAL'!#REF!</f>
        <v>#REF!</v>
      </c>
      <c r="E485" s="65" t="e">
        <f>'ERROR FINAL'!#REF!</f>
        <v>#REF!</v>
      </c>
      <c r="F485" s="66" t="e">
        <f>'ERROR FINAL'!#REF!</f>
        <v>#REF!</v>
      </c>
      <c r="G485" s="66" t="e">
        <f>'ERROR FINAL'!#REF!</f>
        <v>#REF!</v>
      </c>
      <c r="H485" s="67" t="e">
        <f>IF('ERROR FINAL'!#REF!="CONFORME","CONFORME","NO CONFORME")</f>
        <v>#REF!</v>
      </c>
      <c r="I485" s="68" t="e">
        <f t="shared" si="7"/>
        <v>#REF!</v>
      </c>
    </row>
    <row r="486" spans="1:9" x14ac:dyDescent="0.25">
      <c r="A486" s="61" t="e">
        <f>'ERROR FINAL'!#REF!</f>
        <v>#REF!</v>
      </c>
      <c r="B486" s="62" t="e">
        <f>'ERROR FINAL'!#REF!</f>
        <v>#REF!</v>
      </c>
      <c r="C486" s="63" t="e">
        <f>'ERROR FINAL'!#REF!</f>
        <v>#REF!</v>
      </c>
      <c r="D486" s="64" t="e">
        <f>'ERROR FINAL'!#REF!</f>
        <v>#REF!</v>
      </c>
      <c r="E486" s="65" t="e">
        <f>'ERROR FINAL'!#REF!</f>
        <v>#REF!</v>
      </c>
      <c r="F486" s="66" t="e">
        <f>'ERROR FINAL'!#REF!</f>
        <v>#REF!</v>
      </c>
      <c r="G486" s="66" t="e">
        <f>'ERROR FINAL'!#REF!</f>
        <v>#REF!</v>
      </c>
      <c r="H486" s="67" t="e">
        <f>IF('ERROR FINAL'!#REF!="CONFORME","CONFORME","NO CONFORME")</f>
        <v>#REF!</v>
      </c>
      <c r="I486" s="68" t="e">
        <f t="shared" si="7"/>
        <v>#REF!</v>
      </c>
    </row>
    <row r="487" spans="1:9" x14ac:dyDescent="0.25">
      <c r="A487" s="61" t="e">
        <f>'ERROR FINAL'!#REF!</f>
        <v>#REF!</v>
      </c>
      <c r="B487" s="62" t="e">
        <f>'ERROR FINAL'!#REF!</f>
        <v>#REF!</v>
      </c>
      <c r="C487" s="63" t="e">
        <f>'ERROR FINAL'!#REF!</f>
        <v>#REF!</v>
      </c>
      <c r="D487" s="64" t="e">
        <f>'ERROR FINAL'!#REF!</f>
        <v>#REF!</v>
      </c>
      <c r="E487" s="65" t="e">
        <f>'ERROR FINAL'!#REF!</f>
        <v>#REF!</v>
      </c>
      <c r="F487" s="66" t="e">
        <f>'ERROR FINAL'!#REF!</f>
        <v>#REF!</v>
      </c>
      <c r="G487" s="66" t="e">
        <f>'ERROR FINAL'!#REF!</f>
        <v>#REF!</v>
      </c>
      <c r="H487" s="67" t="e">
        <f>IF('ERROR FINAL'!#REF!="CONFORME","CONFORME","NO CONFORME")</f>
        <v>#REF!</v>
      </c>
      <c r="I487" s="68" t="e">
        <f t="shared" si="7"/>
        <v>#REF!</v>
      </c>
    </row>
    <row r="488" spans="1:9" x14ac:dyDescent="0.25">
      <c r="A488" s="61" t="e">
        <f>'ERROR FINAL'!#REF!</f>
        <v>#REF!</v>
      </c>
      <c r="B488" s="62" t="e">
        <f>'ERROR FINAL'!#REF!</f>
        <v>#REF!</v>
      </c>
      <c r="C488" s="63" t="e">
        <f>'ERROR FINAL'!#REF!</f>
        <v>#REF!</v>
      </c>
      <c r="D488" s="64" t="e">
        <f>'ERROR FINAL'!#REF!</f>
        <v>#REF!</v>
      </c>
      <c r="E488" s="65" t="e">
        <f>'ERROR FINAL'!#REF!</f>
        <v>#REF!</v>
      </c>
      <c r="F488" s="66" t="e">
        <f>'ERROR FINAL'!#REF!</f>
        <v>#REF!</v>
      </c>
      <c r="G488" s="66" t="e">
        <f>'ERROR FINAL'!#REF!</f>
        <v>#REF!</v>
      </c>
      <c r="H488" s="67" t="e">
        <f>IF('ERROR FINAL'!#REF!="CONFORME","CONFORME","NO CONFORME")</f>
        <v>#REF!</v>
      </c>
      <c r="I488" s="68" t="e">
        <f t="shared" si="7"/>
        <v>#REF!</v>
      </c>
    </row>
    <row r="489" spans="1:9" x14ac:dyDescent="0.25">
      <c r="A489" s="61" t="e">
        <f>'ERROR FINAL'!#REF!</f>
        <v>#REF!</v>
      </c>
      <c r="B489" s="62" t="e">
        <f>'ERROR FINAL'!#REF!</f>
        <v>#REF!</v>
      </c>
      <c r="C489" s="63" t="e">
        <f>'ERROR FINAL'!#REF!</f>
        <v>#REF!</v>
      </c>
      <c r="D489" s="64" t="e">
        <f>'ERROR FINAL'!#REF!</f>
        <v>#REF!</v>
      </c>
      <c r="E489" s="65" t="e">
        <f>'ERROR FINAL'!#REF!</f>
        <v>#REF!</v>
      </c>
      <c r="F489" s="66" t="e">
        <f>'ERROR FINAL'!#REF!</f>
        <v>#REF!</v>
      </c>
      <c r="G489" s="66" t="e">
        <f>'ERROR FINAL'!#REF!</f>
        <v>#REF!</v>
      </c>
      <c r="H489" s="67" t="e">
        <f>IF('ERROR FINAL'!#REF!="CONFORME","CONFORME","NO CONFORME")</f>
        <v>#REF!</v>
      </c>
      <c r="I489" s="68" t="e">
        <f t="shared" si="7"/>
        <v>#REF!</v>
      </c>
    </row>
    <row r="490" spans="1:9" x14ac:dyDescent="0.25">
      <c r="A490" s="61" t="e">
        <f>'ERROR FINAL'!#REF!</f>
        <v>#REF!</v>
      </c>
      <c r="B490" s="62" t="e">
        <f>'ERROR FINAL'!#REF!</f>
        <v>#REF!</v>
      </c>
      <c r="C490" s="63" t="e">
        <f>'ERROR FINAL'!#REF!</f>
        <v>#REF!</v>
      </c>
      <c r="D490" s="64" t="e">
        <f>'ERROR FINAL'!#REF!</f>
        <v>#REF!</v>
      </c>
      <c r="E490" s="65" t="e">
        <f>'ERROR FINAL'!#REF!</f>
        <v>#REF!</v>
      </c>
      <c r="F490" s="66" t="e">
        <f>'ERROR FINAL'!#REF!</f>
        <v>#REF!</v>
      </c>
      <c r="G490" s="66" t="e">
        <f>'ERROR FINAL'!#REF!</f>
        <v>#REF!</v>
      </c>
      <c r="H490" s="67" t="e">
        <f>IF('ERROR FINAL'!#REF!="CONFORME","CONFORME","NO CONFORME")</f>
        <v>#REF!</v>
      </c>
      <c r="I490" s="68" t="e">
        <f t="shared" si="7"/>
        <v>#REF!</v>
      </c>
    </row>
    <row r="491" spans="1:9" x14ac:dyDescent="0.25">
      <c r="A491" s="61" t="e">
        <f>'ERROR FINAL'!#REF!</f>
        <v>#REF!</v>
      </c>
      <c r="B491" s="62" t="e">
        <f>'ERROR FINAL'!#REF!</f>
        <v>#REF!</v>
      </c>
      <c r="C491" s="63" t="e">
        <f>'ERROR FINAL'!#REF!</f>
        <v>#REF!</v>
      </c>
      <c r="D491" s="64" t="e">
        <f>'ERROR FINAL'!#REF!</f>
        <v>#REF!</v>
      </c>
      <c r="E491" s="65" t="e">
        <f>'ERROR FINAL'!#REF!</f>
        <v>#REF!</v>
      </c>
      <c r="F491" s="66" t="e">
        <f>'ERROR FINAL'!#REF!</f>
        <v>#REF!</v>
      </c>
      <c r="G491" s="66" t="e">
        <f>'ERROR FINAL'!#REF!</f>
        <v>#REF!</v>
      </c>
      <c r="H491" s="67" t="e">
        <f>IF('ERROR FINAL'!#REF!="CONFORME","CONFORME","NO CONFORME")</f>
        <v>#REF!</v>
      </c>
      <c r="I491" s="68" t="e">
        <f t="shared" si="7"/>
        <v>#REF!</v>
      </c>
    </row>
    <row r="492" spans="1:9" x14ac:dyDescent="0.25">
      <c r="A492" s="61" t="e">
        <f>'ERROR FINAL'!#REF!</f>
        <v>#REF!</v>
      </c>
      <c r="B492" s="62" t="e">
        <f>'ERROR FINAL'!#REF!</f>
        <v>#REF!</v>
      </c>
      <c r="C492" s="63" t="e">
        <f>'ERROR FINAL'!#REF!</f>
        <v>#REF!</v>
      </c>
      <c r="D492" s="64" t="e">
        <f>'ERROR FINAL'!#REF!</f>
        <v>#REF!</v>
      </c>
      <c r="E492" s="65" t="e">
        <f>'ERROR FINAL'!#REF!</f>
        <v>#REF!</v>
      </c>
      <c r="F492" s="66" t="e">
        <f>'ERROR FINAL'!#REF!</f>
        <v>#REF!</v>
      </c>
      <c r="G492" s="66" t="e">
        <f>'ERROR FINAL'!#REF!</f>
        <v>#REF!</v>
      </c>
      <c r="H492" s="67" t="e">
        <f>IF('ERROR FINAL'!#REF!="CONFORME","CONFORME","NO CONFORME")</f>
        <v>#REF!</v>
      </c>
      <c r="I492" s="68" t="e">
        <f t="shared" si="7"/>
        <v>#REF!</v>
      </c>
    </row>
    <row r="493" spans="1:9" x14ac:dyDescent="0.25">
      <c r="A493" s="61" t="e">
        <f>'ERROR FINAL'!#REF!</f>
        <v>#REF!</v>
      </c>
      <c r="B493" s="62" t="e">
        <f>'ERROR FINAL'!#REF!</f>
        <v>#REF!</v>
      </c>
      <c r="C493" s="63" t="e">
        <f>'ERROR FINAL'!#REF!</f>
        <v>#REF!</v>
      </c>
      <c r="D493" s="64" t="e">
        <f>'ERROR FINAL'!#REF!</f>
        <v>#REF!</v>
      </c>
      <c r="E493" s="65" t="e">
        <f>'ERROR FINAL'!#REF!</f>
        <v>#REF!</v>
      </c>
      <c r="F493" s="66" t="e">
        <f>'ERROR FINAL'!#REF!</f>
        <v>#REF!</v>
      </c>
      <c r="G493" s="66" t="e">
        <f>'ERROR FINAL'!#REF!</f>
        <v>#REF!</v>
      </c>
      <c r="H493" s="67" t="e">
        <f>IF('ERROR FINAL'!#REF!="CONFORME","CONFORME","NO CONFORME")</f>
        <v>#REF!</v>
      </c>
      <c r="I493" s="68" t="e">
        <f t="shared" si="7"/>
        <v>#REF!</v>
      </c>
    </row>
    <row r="494" spans="1:9" x14ac:dyDescent="0.25">
      <c r="A494" s="61" t="e">
        <f>'ERROR FINAL'!#REF!</f>
        <v>#REF!</v>
      </c>
      <c r="B494" s="62" t="e">
        <f>'ERROR FINAL'!#REF!</f>
        <v>#REF!</v>
      </c>
      <c r="C494" s="63" t="e">
        <f>'ERROR FINAL'!#REF!</f>
        <v>#REF!</v>
      </c>
      <c r="D494" s="64" t="e">
        <f>'ERROR FINAL'!#REF!</f>
        <v>#REF!</v>
      </c>
      <c r="E494" s="65" t="e">
        <f>'ERROR FINAL'!#REF!</f>
        <v>#REF!</v>
      </c>
      <c r="F494" s="66" t="e">
        <f>'ERROR FINAL'!#REF!</f>
        <v>#REF!</v>
      </c>
      <c r="G494" s="66" t="e">
        <f>'ERROR FINAL'!#REF!</f>
        <v>#REF!</v>
      </c>
      <c r="H494" s="67" t="e">
        <f>IF('ERROR FINAL'!#REF!="CONFORME","CONFORME","NO CONFORME")</f>
        <v>#REF!</v>
      </c>
      <c r="I494" s="68" t="e">
        <f t="shared" si="7"/>
        <v>#REF!</v>
      </c>
    </row>
    <row r="495" spans="1:9" x14ac:dyDescent="0.25">
      <c r="A495" s="61" t="e">
        <f>'ERROR FINAL'!#REF!</f>
        <v>#REF!</v>
      </c>
      <c r="B495" s="62" t="e">
        <f>'ERROR FINAL'!#REF!</f>
        <v>#REF!</v>
      </c>
      <c r="C495" s="63" t="e">
        <f>'ERROR FINAL'!#REF!</f>
        <v>#REF!</v>
      </c>
      <c r="D495" s="64" t="e">
        <f>'ERROR FINAL'!#REF!</f>
        <v>#REF!</v>
      </c>
      <c r="E495" s="65" t="e">
        <f>'ERROR FINAL'!#REF!</f>
        <v>#REF!</v>
      </c>
      <c r="F495" s="66" t="e">
        <f>'ERROR FINAL'!#REF!</f>
        <v>#REF!</v>
      </c>
      <c r="G495" s="66" t="e">
        <f>'ERROR FINAL'!#REF!</f>
        <v>#REF!</v>
      </c>
      <c r="H495" s="67" t="e">
        <f>IF('ERROR FINAL'!#REF!="CONFORME","CONFORME","NO CONFORME")</f>
        <v>#REF!</v>
      </c>
      <c r="I495" s="68" t="e">
        <f t="shared" si="7"/>
        <v>#REF!</v>
      </c>
    </row>
    <row r="496" spans="1:9" x14ac:dyDescent="0.25">
      <c r="A496" s="61" t="e">
        <f>'ERROR FINAL'!#REF!</f>
        <v>#REF!</v>
      </c>
      <c r="B496" s="62" t="e">
        <f>'ERROR FINAL'!#REF!</f>
        <v>#REF!</v>
      </c>
      <c r="C496" s="63" t="e">
        <f>'ERROR FINAL'!#REF!</f>
        <v>#REF!</v>
      </c>
      <c r="D496" s="64" t="e">
        <f>'ERROR FINAL'!#REF!</f>
        <v>#REF!</v>
      </c>
      <c r="E496" s="65" t="e">
        <f>'ERROR FINAL'!#REF!</f>
        <v>#REF!</v>
      </c>
      <c r="F496" s="66" t="e">
        <f>'ERROR FINAL'!#REF!</f>
        <v>#REF!</v>
      </c>
      <c r="G496" s="66" t="e">
        <f>'ERROR FINAL'!#REF!</f>
        <v>#REF!</v>
      </c>
      <c r="H496" s="67" t="e">
        <f>IF('ERROR FINAL'!#REF!="CONFORME","CONFORME","NO CONFORME")</f>
        <v>#REF!</v>
      </c>
      <c r="I496" s="68" t="e">
        <f t="shared" si="7"/>
        <v>#REF!</v>
      </c>
    </row>
    <row r="497" spans="1:9" x14ac:dyDescent="0.25">
      <c r="A497" s="61" t="e">
        <f>'ERROR FINAL'!#REF!</f>
        <v>#REF!</v>
      </c>
      <c r="B497" s="62" t="e">
        <f>'ERROR FINAL'!#REF!</f>
        <v>#REF!</v>
      </c>
      <c r="C497" s="63" t="e">
        <f>'ERROR FINAL'!#REF!</f>
        <v>#REF!</v>
      </c>
      <c r="D497" s="64" t="e">
        <f>'ERROR FINAL'!#REF!</f>
        <v>#REF!</v>
      </c>
      <c r="E497" s="65" t="e">
        <f>'ERROR FINAL'!#REF!</f>
        <v>#REF!</v>
      </c>
      <c r="F497" s="66" t="e">
        <f>'ERROR FINAL'!#REF!</f>
        <v>#REF!</v>
      </c>
      <c r="G497" s="66" t="e">
        <f>'ERROR FINAL'!#REF!</f>
        <v>#REF!</v>
      </c>
      <c r="H497" s="67" t="e">
        <f>IF('ERROR FINAL'!#REF!="CONFORME","CONFORME","NO CONFORME")</f>
        <v>#REF!</v>
      </c>
      <c r="I497" s="68" t="e">
        <f t="shared" si="7"/>
        <v>#REF!</v>
      </c>
    </row>
    <row r="498" spans="1:9" x14ac:dyDescent="0.25">
      <c r="A498" s="61" t="e">
        <f>'ERROR FINAL'!#REF!</f>
        <v>#REF!</v>
      </c>
      <c r="B498" s="62" t="e">
        <f>'ERROR FINAL'!#REF!</f>
        <v>#REF!</v>
      </c>
      <c r="C498" s="63" t="e">
        <f>'ERROR FINAL'!#REF!</f>
        <v>#REF!</v>
      </c>
      <c r="D498" s="64" t="e">
        <f>'ERROR FINAL'!#REF!</f>
        <v>#REF!</v>
      </c>
      <c r="E498" s="65" t="e">
        <f>'ERROR FINAL'!#REF!</f>
        <v>#REF!</v>
      </c>
      <c r="F498" s="66" t="e">
        <f>'ERROR FINAL'!#REF!</f>
        <v>#REF!</v>
      </c>
      <c r="G498" s="66" t="e">
        <f>'ERROR FINAL'!#REF!</f>
        <v>#REF!</v>
      </c>
      <c r="H498" s="67" t="e">
        <f>IF('ERROR FINAL'!#REF!="CONFORME","CONFORME","NO CONFORME")</f>
        <v>#REF!</v>
      </c>
      <c r="I498" s="68" t="e">
        <f t="shared" si="7"/>
        <v>#REF!</v>
      </c>
    </row>
    <row r="499" spans="1:9" x14ac:dyDescent="0.25">
      <c r="A499" s="61" t="e">
        <f>'ERROR FINAL'!#REF!</f>
        <v>#REF!</v>
      </c>
      <c r="B499" s="62" t="e">
        <f>'ERROR FINAL'!#REF!</f>
        <v>#REF!</v>
      </c>
      <c r="C499" s="63" t="e">
        <f>'ERROR FINAL'!#REF!</f>
        <v>#REF!</v>
      </c>
      <c r="D499" s="64" t="e">
        <f>'ERROR FINAL'!#REF!</f>
        <v>#REF!</v>
      </c>
      <c r="E499" s="65" t="e">
        <f>'ERROR FINAL'!#REF!</f>
        <v>#REF!</v>
      </c>
      <c r="F499" s="66" t="e">
        <f>'ERROR FINAL'!#REF!</f>
        <v>#REF!</v>
      </c>
      <c r="G499" s="66" t="e">
        <f>'ERROR FINAL'!#REF!</f>
        <v>#REF!</v>
      </c>
      <c r="H499" s="67" t="e">
        <f>IF('ERROR FINAL'!#REF!="CONFORME","CONFORME","NO CONFORME")</f>
        <v>#REF!</v>
      </c>
      <c r="I499" s="68" t="e">
        <f t="shared" si="7"/>
        <v>#REF!</v>
      </c>
    </row>
    <row r="500" spans="1:9" x14ac:dyDescent="0.25">
      <c r="A500" s="61" t="e">
        <f>'ERROR FINAL'!#REF!</f>
        <v>#REF!</v>
      </c>
      <c r="B500" s="62" t="e">
        <f>'ERROR FINAL'!#REF!</f>
        <v>#REF!</v>
      </c>
      <c r="C500" s="63" t="e">
        <f>'ERROR FINAL'!#REF!</f>
        <v>#REF!</v>
      </c>
      <c r="D500" s="64" t="e">
        <f>'ERROR FINAL'!#REF!</f>
        <v>#REF!</v>
      </c>
      <c r="E500" s="65" t="e">
        <f>'ERROR FINAL'!#REF!</f>
        <v>#REF!</v>
      </c>
      <c r="F500" s="66" t="e">
        <f>'ERROR FINAL'!#REF!</f>
        <v>#REF!</v>
      </c>
      <c r="G500" s="66" t="e">
        <f>'ERROR FINAL'!#REF!</f>
        <v>#REF!</v>
      </c>
      <c r="H500" s="67" t="e">
        <f>IF('ERROR FINAL'!#REF!="CONFORME","CONFORME","NO CONFORME")</f>
        <v>#REF!</v>
      </c>
      <c r="I500" s="68" t="e">
        <f t="shared" si="7"/>
        <v>#REF!</v>
      </c>
    </row>
    <row r="501" spans="1:9" x14ac:dyDescent="0.25">
      <c r="A501" s="61" t="e">
        <f>'ERROR FINAL'!#REF!</f>
        <v>#REF!</v>
      </c>
      <c r="B501" s="62" t="e">
        <f>'ERROR FINAL'!#REF!</f>
        <v>#REF!</v>
      </c>
      <c r="C501" s="63" t="e">
        <f>'ERROR FINAL'!#REF!</f>
        <v>#REF!</v>
      </c>
      <c r="D501" s="64" t="e">
        <f>'ERROR FINAL'!#REF!</f>
        <v>#REF!</v>
      </c>
      <c r="E501" s="65" t="e">
        <f>'ERROR FINAL'!#REF!</f>
        <v>#REF!</v>
      </c>
      <c r="F501" s="66" t="e">
        <f>'ERROR FINAL'!#REF!</f>
        <v>#REF!</v>
      </c>
      <c r="G501" s="66" t="e">
        <f>'ERROR FINAL'!#REF!</f>
        <v>#REF!</v>
      </c>
      <c r="H501" s="67" t="e">
        <f>IF('ERROR FINAL'!#REF!="CONFORME","CONFORME","NO CONFORME")</f>
        <v>#REF!</v>
      </c>
      <c r="I501" s="68" t="e">
        <f t="shared" si="7"/>
        <v>#REF!</v>
      </c>
    </row>
    <row r="502" spans="1:9" x14ac:dyDescent="0.25">
      <c r="A502" s="61" t="e">
        <f>'ERROR FINAL'!#REF!</f>
        <v>#REF!</v>
      </c>
      <c r="B502" s="62" t="e">
        <f>'ERROR FINAL'!#REF!</f>
        <v>#REF!</v>
      </c>
      <c r="C502" s="63" t="e">
        <f>'ERROR FINAL'!#REF!</f>
        <v>#REF!</v>
      </c>
      <c r="D502" s="64" t="e">
        <f>'ERROR FINAL'!#REF!</f>
        <v>#REF!</v>
      </c>
      <c r="E502" s="65" t="e">
        <f>'ERROR FINAL'!#REF!</f>
        <v>#REF!</v>
      </c>
      <c r="F502" s="66" t="e">
        <f>'ERROR FINAL'!#REF!</f>
        <v>#REF!</v>
      </c>
      <c r="G502" s="66" t="e">
        <f>'ERROR FINAL'!#REF!</f>
        <v>#REF!</v>
      </c>
      <c r="H502" s="67" t="e">
        <f>IF('ERROR FINAL'!#REF!="CONFORME","CONFORME","NO CONFORME")</f>
        <v>#REF!</v>
      </c>
      <c r="I502" s="68" t="e">
        <f t="shared" si="7"/>
        <v>#REF!</v>
      </c>
    </row>
    <row r="503" spans="1:9" x14ac:dyDescent="0.25">
      <c r="A503" s="61" t="e">
        <f>'ERROR FINAL'!#REF!</f>
        <v>#REF!</v>
      </c>
      <c r="B503" s="62" t="e">
        <f>'ERROR FINAL'!#REF!</f>
        <v>#REF!</v>
      </c>
      <c r="C503" s="63" t="e">
        <f>'ERROR FINAL'!#REF!</f>
        <v>#REF!</v>
      </c>
      <c r="D503" s="64" t="e">
        <f>'ERROR FINAL'!#REF!</f>
        <v>#REF!</v>
      </c>
      <c r="E503" s="65" t="e">
        <f>'ERROR FINAL'!#REF!</f>
        <v>#REF!</v>
      </c>
      <c r="F503" s="66" t="e">
        <f>'ERROR FINAL'!#REF!</f>
        <v>#REF!</v>
      </c>
      <c r="G503" s="66" t="e">
        <f>'ERROR FINAL'!#REF!</f>
        <v>#REF!</v>
      </c>
      <c r="H503" s="67" t="e">
        <f>IF('ERROR FINAL'!#REF!="CONFORME","CONFORME","NO CONFORME")</f>
        <v>#REF!</v>
      </c>
      <c r="I503" s="68" t="e">
        <f t="shared" si="7"/>
        <v>#REF!</v>
      </c>
    </row>
    <row r="504" spans="1:9" x14ac:dyDescent="0.25">
      <c r="A504" s="61" t="e">
        <f>'ERROR FINAL'!#REF!</f>
        <v>#REF!</v>
      </c>
      <c r="B504" s="62" t="e">
        <f>'ERROR FINAL'!#REF!</f>
        <v>#REF!</v>
      </c>
      <c r="C504" s="63" t="e">
        <f>'ERROR FINAL'!#REF!</f>
        <v>#REF!</v>
      </c>
      <c r="D504" s="64" t="e">
        <f>'ERROR FINAL'!#REF!</f>
        <v>#REF!</v>
      </c>
      <c r="E504" s="65" t="e">
        <f>'ERROR FINAL'!#REF!</f>
        <v>#REF!</v>
      </c>
      <c r="F504" s="66" t="e">
        <f>'ERROR FINAL'!#REF!</f>
        <v>#REF!</v>
      </c>
      <c r="G504" s="66" t="e">
        <f>'ERROR FINAL'!#REF!</f>
        <v>#REF!</v>
      </c>
      <c r="H504" s="67" t="e">
        <f>IF('ERROR FINAL'!#REF!="CONFORME","CONFORME","NO CONFORME")</f>
        <v>#REF!</v>
      </c>
      <c r="I504" s="68" t="e">
        <f t="shared" si="7"/>
        <v>#REF!</v>
      </c>
    </row>
    <row r="505" spans="1:9" x14ac:dyDescent="0.25">
      <c r="A505" s="61" t="e">
        <f>'ERROR FINAL'!#REF!</f>
        <v>#REF!</v>
      </c>
      <c r="B505" s="62" t="e">
        <f>'ERROR FINAL'!#REF!</f>
        <v>#REF!</v>
      </c>
      <c r="C505" s="63" t="e">
        <f>'ERROR FINAL'!#REF!</f>
        <v>#REF!</v>
      </c>
      <c r="D505" s="64" t="e">
        <f>'ERROR FINAL'!#REF!</f>
        <v>#REF!</v>
      </c>
      <c r="E505" s="65" t="e">
        <f>'ERROR FINAL'!#REF!</f>
        <v>#REF!</v>
      </c>
      <c r="F505" s="66" t="e">
        <f>'ERROR FINAL'!#REF!</f>
        <v>#REF!</v>
      </c>
      <c r="G505" s="66" t="e">
        <f>'ERROR FINAL'!#REF!</f>
        <v>#REF!</v>
      </c>
      <c r="H505" s="67" t="e">
        <f>IF('ERROR FINAL'!#REF!="CONFORME","CONFORME","NO CONFORME")</f>
        <v>#REF!</v>
      </c>
      <c r="I505" s="68" t="e">
        <f t="shared" si="7"/>
        <v>#REF!</v>
      </c>
    </row>
    <row r="506" spans="1:9" x14ac:dyDescent="0.25">
      <c r="A506" s="61" t="e">
        <f>'ERROR FINAL'!#REF!</f>
        <v>#REF!</v>
      </c>
      <c r="B506" s="62" t="e">
        <f>'ERROR FINAL'!#REF!</f>
        <v>#REF!</v>
      </c>
      <c r="C506" s="63" t="e">
        <f>'ERROR FINAL'!#REF!</f>
        <v>#REF!</v>
      </c>
      <c r="D506" s="64" t="e">
        <f>'ERROR FINAL'!#REF!</f>
        <v>#REF!</v>
      </c>
      <c r="E506" s="65" t="e">
        <f>'ERROR FINAL'!#REF!</f>
        <v>#REF!</v>
      </c>
      <c r="F506" s="66" t="e">
        <f>'ERROR FINAL'!#REF!</f>
        <v>#REF!</v>
      </c>
      <c r="G506" s="66" t="e">
        <f>'ERROR FINAL'!#REF!</f>
        <v>#REF!</v>
      </c>
      <c r="H506" s="67" t="e">
        <f>IF('ERROR FINAL'!#REF!="CONFORME","CONFORME","NO CONFORME")</f>
        <v>#REF!</v>
      </c>
      <c r="I506" s="68" t="e">
        <f t="shared" si="7"/>
        <v>#REF!</v>
      </c>
    </row>
    <row r="507" spans="1:9" x14ac:dyDescent="0.25">
      <c r="A507" s="61" t="e">
        <f>'ERROR FINAL'!#REF!</f>
        <v>#REF!</v>
      </c>
      <c r="B507" s="62" t="e">
        <f>'ERROR FINAL'!#REF!</f>
        <v>#REF!</v>
      </c>
      <c r="C507" s="63" t="e">
        <f>'ERROR FINAL'!#REF!</f>
        <v>#REF!</v>
      </c>
      <c r="D507" s="64" t="e">
        <f>'ERROR FINAL'!#REF!</f>
        <v>#REF!</v>
      </c>
      <c r="E507" s="65" t="e">
        <f>'ERROR FINAL'!#REF!</f>
        <v>#REF!</v>
      </c>
      <c r="F507" s="66" t="e">
        <f>'ERROR FINAL'!#REF!</f>
        <v>#REF!</v>
      </c>
      <c r="G507" s="66" t="e">
        <f>'ERROR FINAL'!#REF!</f>
        <v>#REF!</v>
      </c>
      <c r="H507" s="67" t="e">
        <f>IF('ERROR FINAL'!#REF!="CONFORME","CONFORME","NO CONFORME")</f>
        <v>#REF!</v>
      </c>
      <c r="I507" s="68" t="e">
        <f t="shared" si="7"/>
        <v>#REF!</v>
      </c>
    </row>
    <row r="508" spans="1:9" x14ac:dyDescent="0.25">
      <c r="A508" s="61" t="e">
        <f>'ERROR FINAL'!#REF!</f>
        <v>#REF!</v>
      </c>
      <c r="B508" s="62" t="e">
        <f>'ERROR FINAL'!#REF!</f>
        <v>#REF!</v>
      </c>
      <c r="C508" s="63" t="e">
        <f>'ERROR FINAL'!#REF!</f>
        <v>#REF!</v>
      </c>
      <c r="D508" s="64" t="e">
        <f>'ERROR FINAL'!#REF!</f>
        <v>#REF!</v>
      </c>
      <c r="E508" s="65" t="e">
        <f>'ERROR FINAL'!#REF!</f>
        <v>#REF!</v>
      </c>
      <c r="F508" s="66" t="e">
        <f>'ERROR FINAL'!#REF!</f>
        <v>#REF!</v>
      </c>
      <c r="G508" s="66" t="e">
        <f>'ERROR FINAL'!#REF!</f>
        <v>#REF!</v>
      </c>
      <c r="H508" s="67" t="e">
        <f>IF('ERROR FINAL'!#REF!="CONFORME","CONFORME","NO CONFORME")</f>
        <v>#REF!</v>
      </c>
      <c r="I508" s="68" t="e">
        <f t="shared" si="7"/>
        <v>#REF!</v>
      </c>
    </row>
    <row r="509" spans="1:9" x14ac:dyDescent="0.25">
      <c r="A509" s="61" t="e">
        <f>'ERROR FINAL'!#REF!</f>
        <v>#REF!</v>
      </c>
      <c r="B509" s="62" t="e">
        <f>'ERROR FINAL'!#REF!</f>
        <v>#REF!</v>
      </c>
      <c r="C509" s="63" t="e">
        <f>'ERROR FINAL'!#REF!</f>
        <v>#REF!</v>
      </c>
      <c r="D509" s="64" t="e">
        <f>'ERROR FINAL'!#REF!</f>
        <v>#REF!</v>
      </c>
      <c r="E509" s="65" t="e">
        <f>'ERROR FINAL'!#REF!</f>
        <v>#REF!</v>
      </c>
      <c r="F509" s="66" t="e">
        <f>'ERROR FINAL'!#REF!</f>
        <v>#REF!</v>
      </c>
      <c r="G509" s="66" t="e">
        <f>'ERROR FINAL'!#REF!</f>
        <v>#REF!</v>
      </c>
      <c r="H509" s="67" t="e">
        <f>IF('ERROR FINAL'!#REF!="CONFORME","CONFORME","NO CONFORME")</f>
        <v>#REF!</v>
      </c>
      <c r="I509" s="68" t="e">
        <f t="shared" si="7"/>
        <v>#REF!</v>
      </c>
    </row>
    <row r="510" spans="1:9" x14ac:dyDescent="0.25">
      <c r="A510" s="61" t="e">
        <f>'ERROR FINAL'!#REF!</f>
        <v>#REF!</v>
      </c>
      <c r="B510" s="62" t="e">
        <f>'ERROR FINAL'!#REF!</f>
        <v>#REF!</v>
      </c>
      <c r="C510" s="63" t="e">
        <f>'ERROR FINAL'!#REF!</f>
        <v>#REF!</v>
      </c>
      <c r="D510" s="64" t="e">
        <f>'ERROR FINAL'!#REF!</f>
        <v>#REF!</v>
      </c>
      <c r="E510" s="65" t="e">
        <f>'ERROR FINAL'!#REF!</f>
        <v>#REF!</v>
      </c>
      <c r="F510" s="66" t="e">
        <f>'ERROR FINAL'!#REF!</f>
        <v>#REF!</v>
      </c>
      <c r="G510" s="66" t="e">
        <f>'ERROR FINAL'!#REF!</f>
        <v>#REF!</v>
      </c>
      <c r="H510" s="67" t="e">
        <f>IF('ERROR FINAL'!#REF!="CONFORME","CONFORME","NO CONFORME")</f>
        <v>#REF!</v>
      </c>
      <c r="I510" s="68" t="e">
        <f t="shared" si="7"/>
        <v>#REF!</v>
      </c>
    </row>
    <row r="511" spans="1:9" x14ac:dyDescent="0.25">
      <c r="A511" s="61" t="e">
        <f>'ERROR FINAL'!#REF!</f>
        <v>#REF!</v>
      </c>
      <c r="B511" s="62" t="e">
        <f>'ERROR FINAL'!#REF!</f>
        <v>#REF!</v>
      </c>
      <c r="C511" s="63" t="e">
        <f>'ERROR FINAL'!#REF!</f>
        <v>#REF!</v>
      </c>
      <c r="D511" s="64" t="e">
        <f>'ERROR FINAL'!#REF!</f>
        <v>#REF!</v>
      </c>
      <c r="E511" s="65" t="e">
        <f>'ERROR FINAL'!#REF!</f>
        <v>#REF!</v>
      </c>
      <c r="F511" s="66" t="e">
        <f>'ERROR FINAL'!#REF!</f>
        <v>#REF!</v>
      </c>
      <c r="G511" s="66" t="e">
        <f>'ERROR FINAL'!#REF!</f>
        <v>#REF!</v>
      </c>
      <c r="H511" s="67" t="e">
        <f>IF('ERROR FINAL'!#REF!="CONFORME","CONFORME","NO CONFORME")</f>
        <v>#REF!</v>
      </c>
      <c r="I511" s="68" t="e">
        <f t="shared" si="7"/>
        <v>#REF!</v>
      </c>
    </row>
    <row r="512" spans="1:9" x14ac:dyDescent="0.25">
      <c r="A512" s="61" t="e">
        <f>'ERROR FINAL'!#REF!</f>
        <v>#REF!</v>
      </c>
      <c r="B512" s="62" t="e">
        <f>'ERROR FINAL'!#REF!</f>
        <v>#REF!</v>
      </c>
      <c r="C512" s="63" t="e">
        <f>'ERROR FINAL'!#REF!</f>
        <v>#REF!</v>
      </c>
      <c r="D512" s="64" t="e">
        <f>'ERROR FINAL'!#REF!</f>
        <v>#REF!</v>
      </c>
      <c r="E512" s="65" t="e">
        <f>'ERROR FINAL'!#REF!</f>
        <v>#REF!</v>
      </c>
      <c r="F512" s="66" t="e">
        <f>'ERROR FINAL'!#REF!</f>
        <v>#REF!</v>
      </c>
      <c r="G512" s="66" t="e">
        <f>'ERROR FINAL'!#REF!</f>
        <v>#REF!</v>
      </c>
      <c r="H512" s="67" t="e">
        <f>IF('ERROR FINAL'!#REF!="CONFORME","CONFORME","NO CONFORME")</f>
        <v>#REF!</v>
      </c>
      <c r="I512" s="68" t="e">
        <f t="shared" si="7"/>
        <v>#REF!</v>
      </c>
    </row>
    <row r="513" spans="1:9" x14ac:dyDescent="0.25">
      <c r="A513" s="61" t="e">
        <f>'ERROR FINAL'!#REF!</f>
        <v>#REF!</v>
      </c>
      <c r="B513" s="62" t="e">
        <f>'ERROR FINAL'!#REF!</f>
        <v>#REF!</v>
      </c>
      <c r="C513" s="63" t="e">
        <f>'ERROR FINAL'!#REF!</f>
        <v>#REF!</v>
      </c>
      <c r="D513" s="64" t="e">
        <f>'ERROR FINAL'!#REF!</f>
        <v>#REF!</v>
      </c>
      <c r="E513" s="65" t="e">
        <f>'ERROR FINAL'!#REF!</f>
        <v>#REF!</v>
      </c>
      <c r="F513" s="66" t="e">
        <f>'ERROR FINAL'!#REF!</f>
        <v>#REF!</v>
      </c>
      <c r="G513" s="66" t="e">
        <f>'ERROR FINAL'!#REF!</f>
        <v>#REF!</v>
      </c>
      <c r="H513" s="67" t="e">
        <f>IF('ERROR FINAL'!#REF!="CONFORME","CONFORME","NO CONFORME")</f>
        <v>#REF!</v>
      </c>
      <c r="I513" s="68" t="e">
        <f t="shared" si="7"/>
        <v>#REF!</v>
      </c>
    </row>
    <row r="514" spans="1:9" x14ac:dyDescent="0.25">
      <c r="A514" s="61" t="e">
        <f>'ERROR FINAL'!#REF!</f>
        <v>#REF!</v>
      </c>
      <c r="B514" s="62" t="e">
        <f>'ERROR FINAL'!#REF!</f>
        <v>#REF!</v>
      </c>
      <c r="C514" s="63" t="e">
        <f>'ERROR FINAL'!#REF!</f>
        <v>#REF!</v>
      </c>
      <c r="D514" s="64" t="e">
        <f>'ERROR FINAL'!#REF!</f>
        <v>#REF!</v>
      </c>
      <c r="E514" s="65" t="e">
        <f>'ERROR FINAL'!#REF!</f>
        <v>#REF!</v>
      </c>
      <c r="F514" s="66" t="e">
        <f>'ERROR FINAL'!#REF!</f>
        <v>#REF!</v>
      </c>
      <c r="G514" s="66" t="e">
        <f>'ERROR FINAL'!#REF!</f>
        <v>#REF!</v>
      </c>
      <c r="H514" s="67" t="e">
        <f>IF('ERROR FINAL'!#REF!="CONFORME","CONFORME","NO CONFORME")</f>
        <v>#REF!</v>
      </c>
      <c r="I514" s="68" t="e">
        <f t="shared" si="7"/>
        <v>#REF!</v>
      </c>
    </row>
    <row r="515" spans="1:9" x14ac:dyDescent="0.25">
      <c r="A515" s="61" t="e">
        <f>'ERROR FINAL'!#REF!</f>
        <v>#REF!</v>
      </c>
      <c r="B515" s="62" t="e">
        <f>'ERROR FINAL'!#REF!</f>
        <v>#REF!</v>
      </c>
      <c r="C515" s="63" t="e">
        <f>'ERROR FINAL'!#REF!</f>
        <v>#REF!</v>
      </c>
      <c r="D515" s="64" t="e">
        <f>'ERROR FINAL'!#REF!</f>
        <v>#REF!</v>
      </c>
      <c r="E515" s="65" t="e">
        <f>'ERROR FINAL'!#REF!</f>
        <v>#REF!</v>
      </c>
      <c r="F515" s="66" t="e">
        <f>'ERROR FINAL'!#REF!</f>
        <v>#REF!</v>
      </c>
      <c r="G515" s="66" t="e">
        <f>'ERROR FINAL'!#REF!</f>
        <v>#REF!</v>
      </c>
      <c r="H515" s="67" t="e">
        <f>IF('ERROR FINAL'!#REF!="CONFORME","CONFORME","NO CONFORME")</f>
        <v>#REF!</v>
      </c>
      <c r="I515" s="68" t="e">
        <f t="shared" si="7"/>
        <v>#REF!</v>
      </c>
    </row>
    <row r="516" spans="1:9" x14ac:dyDescent="0.25">
      <c r="A516" s="61" t="e">
        <f>'ERROR FINAL'!#REF!</f>
        <v>#REF!</v>
      </c>
      <c r="B516" s="62" t="e">
        <f>'ERROR FINAL'!#REF!</f>
        <v>#REF!</v>
      </c>
      <c r="C516" s="63" t="e">
        <f>'ERROR FINAL'!#REF!</f>
        <v>#REF!</v>
      </c>
      <c r="D516" s="64" t="e">
        <f>'ERROR FINAL'!#REF!</f>
        <v>#REF!</v>
      </c>
      <c r="E516" s="65" t="e">
        <f>'ERROR FINAL'!#REF!</f>
        <v>#REF!</v>
      </c>
      <c r="F516" s="66" t="e">
        <f>'ERROR FINAL'!#REF!</f>
        <v>#REF!</v>
      </c>
      <c r="G516" s="66" t="e">
        <f>'ERROR FINAL'!#REF!</f>
        <v>#REF!</v>
      </c>
      <c r="H516" s="67" t="e">
        <f>IF('ERROR FINAL'!#REF!="CONFORME","CONFORME","NO CONFORME")</f>
        <v>#REF!</v>
      </c>
      <c r="I516" s="68" t="e">
        <f t="shared" si="7"/>
        <v>#REF!</v>
      </c>
    </row>
    <row r="517" spans="1:9" x14ac:dyDescent="0.25">
      <c r="A517" s="61" t="e">
        <f>'ERROR FINAL'!#REF!</f>
        <v>#REF!</v>
      </c>
      <c r="B517" s="62" t="e">
        <f>'ERROR FINAL'!#REF!</f>
        <v>#REF!</v>
      </c>
      <c r="C517" s="63" t="e">
        <f>'ERROR FINAL'!#REF!</f>
        <v>#REF!</v>
      </c>
      <c r="D517" s="64" t="e">
        <f>'ERROR FINAL'!#REF!</f>
        <v>#REF!</v>
      </c>
      <c r="E517" s="65" t="e">
        <f>'ERROR FINAL'!#REF!</f>
        <v>#REF!</v>
      </c>
      <c r="F517" s="66" t="e">
        <f>'ERROR FINAL'!#REF!</f>
        <v>#REF!</v>
      </c>
      <c r="G517" s="66" t="e">
        <f>'ERROR FINAL'!#REF!</f>
        <v>#REF!</v>
      </c>
      <c r="H517" s="67" t="e">
        <f>IF('ERROR FINAL'!#REF!="CONFORME","CONFORME","NO CONFORME")</f>
        <v>#REF!</v>
      </c>
      <c r="I517" s="68" t="e">
        <f t="shared" si="7"/>
        <v>#REF!</v>
      </c>
    </row>
    <row r="518" spans="1:9" x14ac:dyDescent="0.25">
      <c r="A518" s="61" t="e">
        <f>'ERROR FINAL'!#REF!</f>
        <v>#REF!</v>
      </c>
      <c r="B518" s="62" t="e">
        <f>'ERROR FINAL'!#REF!</f>
        <v>#REF!</v>
      </c>
      <c r="C518" s="63" t="e">
        <f>'ERROR FINAL'!#REF!</f>
        <v>#REF!</v>
      </c>
      <c r="D518" s="64" t="e">
        <f>'ERROR FINAL'!#REF!</f>
        <v>#REF!</v>
      </c>
      <c r="E518" s="65" t="e">
        <f>'ERROR FINAL'!#REF!</f>
        <v>#REF!</v>
      </c>
      <c r="F518" s="66" t="e">
        <f>'ERROR FINAL'!#REF!</f>
        <v>#REF!</v>
      </c>
      <c r="G518" s="66" t="e">
        <f>'ERROR FINAL'!#REF!</f>
        <v>#REF!</v>
      </c>
      <c r="H518" s="67" t="e">
        <f>IF('ERROR FINAL'!#REF!="CONFORME","CONFORME","NO CONFORME")</f>
        <v>#REF!</v>
      </c>
      <c r="I518" s="68" t="e">
        <f t="shared" si="7"/>
        <v>#REF!</v>
      </c>
    </row>
    <row r="519" spans="1:9" x14ac:dyDescent="0.25">
      <c r="A519" s="61" t="e">
        <f>'ERROR FINAL'!#REF!</f>
        <v>#REF!</v>
      </c>
      <c r="B519" s="62" t="e">
        <f>'ERROR FINAL'!#REF!</f>
        <v>#REF!</v>
      </c>
      <c r="C519" s="63" t="e">
        <f>'ERROR FINAL'!#REF!</f>
        <v>#REF!</v>
      </c>
      <c r="D519" s="64" t="e">
        <f>'ERROR FINAL'!#REF!</f>
        <v>#REF!</v>
      </c>
      <c r="E519" s="65" t="e">
        <f>'ERROR FINAL'!#REF!</f>
        <v>#REF!</v>
      </c>
      <c r="F519" s="66" t="e">
        <f>'ERROR FINAL'!#REF!</f>
        <v>#REF!</v>
      </c>
      <c r="G519" s="66" t="e">
        <f>'ERROR FINAL'!#REF!</f>
        <v>#REF!</v>
      </c>
      <c r="H519" s="67" t="e">
        <f>IF('ERROR FINAL'!#REF!="CONFORME","CONFORME","NO CONFORME")</f>
        <v>#REF!</v>
      </c>
      <c r="I519" s="68" t="e">
        <f t="shared" ref="I519:I582" si="8">IF(D519=0,"Medición",IF(D519=1,"Daño físico",IF(D519=2,"Fuga",IF(D519=3,"Picado",IF(D519=4,"Desfasado",IF(D519=5,"Paralizado","¿?"))))))</f>
        <v>#REF!</v>
      </c>
    </row>
    <row r="520" spans="1:9" x14ac:dyDescent="0.25">
      <c r="A520" s="61" t="e">
        <f>'ERROR FINAL'!#REF!</f>
        <v>#REF!</v>
      </c>
      <c r="B520" s="62" t="e">
        <f>'ERROR FINAL'!#REF!</f>
        <v>#REF!</v>
      </c>
      <c r="C520" s="63" t="e">
        <f>'ERROR FINAL'!#REF!</f>
        <v>#REF!</v>
      </c>
      <c r="D520" s="64" t="e">
        <f>'ERROR FINAL'!#REF!</f>
        <v>#REF!</v>
      </c>
      <c r="E520" s="65" t="e">
        <f>'ERROR FINAL'!#REF!</f>
        <v>#REF!</v>
      </c>
      <c r="F520" s="66" t="e">
        <f>'ERROR FINAL'!#REF!</f>
        <v>#REF!</v>
      </c>
      <c r="G520" s="66" t="e">
        <f>'ERROR FINAL'!#REF!</f>
        <v>#REF!</v>
      </c>
      <c r="H520" s="67" t="e">
        <f>IF('ERROR FINAL'!#REF!="CONFORME","CONFORME","NO CONFORME")</f>
        <v>#REF!</v>
      </c>
      <c r="I520" s="68" t="e">
        <f t="shared" si="8"/>
        <v>#REF!</v>
      </c>
    </row>
    <row r="521" spans="1:9" x14ac:dyDescent="0.25">
      <c r="A521" s="61" t="e">
        <f>'ERROR FINAL'!#REF!</f>
        <v>#REF!</v>
      </c>
      <c r="B521" s="62" t="e">
        <f>'ERROR FINAL'!#REF!</f>
        <v>#REF!</v>
      </c>
      <c r="C521" s="63" t="e">
        <f>'ERROR FINAL'!#REF!</f>
        <v>#REF!</v>
      </c>
      <c r="D521" s="64" t="e">
        <f>'ERROR FINAL'!#REF!</f>
        <v>#REF!</v>
      </c>
      <c r="E521" s="65" t="e">
        <f>'ERROR FINAL'!#REF!</f>
        <v>#REF!</v>
      </c>
      <c r="F521" s="66" t="e">
        <f>'ERROR FINAL'!#REF!</f>
        <v>#REF!</v>
      </c>
      <c r="G521" s="66" t="e">
        <f>'ERROR FINAL'!#REF!</f>
        <v>#REF!</v>
      </c>
      <c r="H521" s="67" t="e">
        <f>IF('ERROR FINAL'!#REF!="CONFORME","CONFORME","NO CONFORME")</f>
        <v>#REF!</v>
      </c>
      <c r="I521" s="68" t="e">
        <f t="shared" si="8"/>
        <v>#REF!</v>
      </c>
    </row>
    <row r="522" spans="1:9" x14ac:dyDescent="0.25">
      <c r="A522" s="61" t="e">
        <f>'ERROR FINAL'!#REF!</f>
        <v>#REF!</v>
      </c>
      <c r="B522" s="62" t="e">
        <f>'ERROR FINAL'!#REF!</f>
        <v>#REF!</v>
      </c>
      <c r="C522" s="63" t="e">
        <f>'ERROR FINAL'!#REF!</f>
        <v>#REF!</v>
      </c>
      <c r="D522" s="64" t="e">
        <f>'ERROR FINAL'!#REF!</f>
        <v>#REF!</v>
      </c>
      <c r="E522" s="65" t="e">
        <f>'ERROR FINAL'!#REF!</f>
        <v>#REF!</v>
      </c>
      <c r="F522" s="66" t="e">
        <f>'ERROR FINAL'!#REF!</f>
        <v>#REF!</v>
      </c>
      <c r="G522" s="66" t="e">
        <f>'ERROR FINAL'!#REF!</f>
        <v>#REF!</v>
      </c>
      <c r="H522" s="67" t="e">
        <f>IF('ERROR FINAL'!#REF!="CONFORME","CONFORME","NO CONFORME")</f>
        <v>#REF!</v>
      </c>
      <c r="I522" s="68" t="e">
        <f t="shared" si="8"/>
        <v>#REF!</v>
      </c>
    </row>
    <row r="523" spans="1:9" x14ac:dyDescent="0.25">
      <c r="A523" s="61" t="e">
        <f>'ERROR FINAL'!#REF!</f>
        <v>#REF!</v>
      </c>
      <c r="B523" s="62" t="e">
        <f>'ERROR FINAL'!#REF!</f>
        <v>#REF!</v>
      </c>
      <c r="C523" s="63" t="e">
        <f>'ERROR FINAL'!#REF!</f>
        <v>#REF!</v>
      </c>
      <c r="D523" s="64" t="e">
        <f>'ERROR FINAL'!#REF!</f>
        <v>#REF!</v>
      </c>
      <c r="E523" s="65" t="e">
        <f>'ERROR FINAL'!#REF!</f>
        <v>#REF!</v>
      </c>
      <c r="F523" s="66" t="e">
        <f>'ERROR FINAL'!#REF!</f>
        <v>#REF!</v>
      </c>
      <c r="G523" s="66" t="e">
        <f>'ERROR FINAL'!#REF!</f>
        <v>#REF!</v>
      </c>
      <c r="H523" s="67" t="e">
        <f>IF('ERROR FINAL'!#REF!="CONFORME","CONFORME","NO CONFORME")</f>
        <v>#REF!</v>
      </c>
      <c r="I523" s="68" t="e">
        <f t="shared" si="8"/>
        <v>#REF!</v>
      </c>
    </row>
    <row r="524" spans="1:9" x14ac:dyDescent="0.25">
      <c r="A524" s="61" t="e">
        <f>'ERROR FINAL'!#REF!</f>
        <v>#REF!</v>
      </c>
      <c r="B524" s="62" t="e">
        <f>'ERROR FINAL'!#REF!</f>
        <v>#REF!</v>
      </c>
      <c r="C524" s="63" t="e">
        <f>'ERROR FINAL'!#REF!</f>
        <v>#REF!</v>
      </c>
      <c r="D524" s="64" t="e">
        <f>'ERROR FINAL'!#REF!</f>
        <v>#REF!</v>
      </c>
      <c r="E524" s="65" t="e">
        <f>'ERROR FINAL'!#REF!</f>
        <v>#REF!</v>
      </c>
      <c r="F524" s="66" t="e">
        <f>'ERROR FINAL'!#REF!</f>
        <v>#REF!</v>
      </c>
      <c r="G524" s="66" t="e">
        <f>'ERROR FINAL'!#REF!</f>
        <v>#REF!</v>
      </c>
      <c r="H524" s="67" t="e">
        <f>IF('ERROR FINAL'!#REF!="CONFORME","CONFORME","NO CONFORME")</f>
        <v>#REF!</v>
      </c>
      <c r="I524" s="68" t="e">
        <f t="shared" si="8"/>
        <v>#REF!</v>
      </c>
    </row>
    <row r="525" spans="1:9" x14ac:dyDescent="0.25">
      <c r="A525" s="61" t="e">
        <f>'ERROR FINAL'!#REF!</f>
        <v>#REF!</v>
      </c>
      <c r="B525" s="62" t="e">
        <f>'ERROR FINAL'!#REF!</f>
        <v>#REF!</v>
      </c>
      <c r="C525" s="63" t="e">
        <f>'ERROR FINAL'!#REF!</f>
        <v>#REF!</v>
      </c>
      <c r="D525" s="64" t="e">
        <f>'ERROR FINAL'!#REF!</f>
        <v>#REF!</v>
      </c>
      <c r="E525" s="65" t="e">
        <f>'ERROR FINAL'!#REF!</f>
        <v>#REF!</v>
      </c>
      <c r="F525" s="66" t="e">
        <f>'ERROR FINAL'!#REF!</f>
        <v>#REF!</v>
      </c>
      <c r="G525" s="66" t="e">
        <f>'ERROR FINAL'!#REF!</f>
        <v>#REF!</v>
      </c>
      <c r="H525" s="67" t="e">
        <f>IF('ERROR FINAL'!#REF!="CONFORME","CONFORME","NO CONFORME")</f>
        <v>#REF!</v>
      </c>
      <c r="I525" s="68" t="e">
        <f t="shared" si="8"/>
        <v>#REF!</v>
      </c>
    </row>
    <row r="526" spans="1:9" x14ac:dyDescent="0.25">
      <c r="A526" s="61" t="e">
        <f>'ERROR FINAL'!#REF!</f>
        <v>#REF!</v>
      </c>
      <c r="B526" s="62" t="e">
        <f>'ERROR FINAL'!#REF!</f>
        <v>#REF!</v>
      </c>
      <c r="C526" s="63" t="e">
        <f>'ERROR FINAL'!#REF!</f>
        <v>#REF!</v>
      </c>
      <c r="D526" s="64" t="e">
        <f>'ERROR FINAL'!#REF!</f>
        <v>#REF!</v>
      </c>
      <c r="E526" s="65" t="e">
        <f>'ERROR FINAL'!#REF!</f>
        <v>#REF!</v>
      </c>
      <c r="F526" s="66" t="e">
        <f>'ERROR FINAL'!#REF!</f>
        <v>#REF!</v>
      </c>
      <c r="G526" s="66" t="e">
        <f>'ERROR FINAL'!#REF!</f>
        <v>#REF!</v>
      </c>
      <c r="H526" s="67" t="e">
        <f>IF('ERROR FINAL'!#REF!="CONFORME","CONFORME","NO CONFORME")</f>
        <v>#REF!</v>
      </c>
      <c r="I526" s="68" t="e">
        <f t="shared" si="8"/>
        <v>#REF!</v>
      </c>
    </row>
    <row r="527" spans="1:9" x14ac:dyDescent="0.25">
      <c r="A527" s="61" t="e">
        <f>'ERROR FINAL'!#REF!</f>
        <v>#REF!</v>
      </c>
      <c r="B527" s="62" t="e">
        <f>'ERROR FINAL'!#REF!</f>
        <v>#REF!</v>
      </c>
      <c r="C527" s="63" t="e">
        <f>'ERROR FINAL'!#REF!</f>
        <v>#REF!</v>
      </c>
      <c r="D527" s="64" t="e">
        <f>'ERROR FINAL'!#REF!</f>
        <v>#REF!</v>
      </c>
      <c r="E527" s="65" t="e">
        <f>'ERROR FINAL'!#REF!</f>
        <v>#REF!</v>
      </c>
      <c r="F527" s="66" t="e">
        <f>'ERROR FINAL'!#REF!</f>
        <v>#REF!</v>
      </c>
      <c r="G527" s="66" t="e">
        <f>'ERROR FINAL'!#REF!</f>
        <v>#REF!</v>
      </c>
      <c r="H527" s="67" t="e">
        <f>IF('ERROR FINAL'!#REF!="CONFORME","CONFORME","NO CONFORME")</f>
        <v>#REF!</v>
      </c>
      <c r="I527" s="68" t="e">
        <f t="shared" si="8"/>
        <v>#REF!</v>
      </c>
    </row>
    <row r="528" spans="1:9" x14ac:dyDescent="0.25">
      <c r="A528" s="61" t="e">
        <f>'ERROR FINAL'!#REF!</f>
        <v>#REF!</v>
      </c>
      <c r="B528" s="62" t="e">
        <f>'ERROR FINAL'!#REF!</f>
        <v>#REF!</v>
      </c>
      <c r="C528" s="63" t="e">
        <f>'ERROR FINAL'!#REF!</f>
        <v>#REF!</v>
      </c>
      <c r="D528" s="64" t="e">
        <f>'ERROR FINAL'!#REF!</f>
        <v>#REF!</v>
      </c>
      <c r="E528" s="65" t="e">
        <f>'ERROR FINAL'!#REF!</f>
        <v>#REF!</v>
      </c>
      <c r="F528" s="66" t="e">
        <f>'ERROR FINAL'!#REF!</f>
        <v>#REF!</v>
      </c>
      <c r="G528" s="66" t="e">
        <f>'ERROR FINAL'!#REF!</f>
        <v>#REF!</v>
      </c>
      <c r="H528" s="67" t="e">
        <f>IF('ERROR FINAL'!#REF!="CONFORME","CONFORME","NO CONFORME")</f>
        <v>#REF!</v>
      </c>
      <c r="I528" s="68" t="e">
        <f t="shared" si="8"/>
        <v>#REF!</v>
      </c>
    </row>
    <row r="529" spans="1:9" x14ac:dyDescent="0.25">
      <c r="A529" s="61" t="e">
        <f>'ERROR FINAL'!#REF!</f>
        <v>#REF!</v>
      </c>
      <c r="B529" s="62" t="e">
        <f>'ERROR FINAL'!#REF!</f>
        <v>#REF!</v>
      </c>
      <c r="C529" s="63" t="e">
        <f>'ERROR FINAL'!#REF!</f>
        <v>#REF!</v>
      </c>
      <c r="D529" s="64" t="e">
        <f>'ERROR FINAL'!#REF!</f>
        <v>#REF!</v>
      </c>
      <c r="E529" s="65" t="e">
        <f>'ERROR FINAL'!#REF!</f>
        <v>#REF!</v>
      </c>
      <c r="F529" s="66" t="e">
        <f>'ERROR FINAL'!#REF!</f>
        <v>#REF!</v>
      </c>
      <c r="G529" s="66" t="e">
        <f>'ERROR FINAL'!#REF!</f>
        <v>#REF!</v>
      </c>
      <c r="H529" s="67" t="e">
        <f>IF('ERROR FINAL'!#REF!="CONFORME","CONFORME","NO CONFORME")</f>
        <v>#REF!</v>
      </c>
      <c r="I529" s="68" t="e">
        <f t="shared" si="8"/>
        <v>#REF!</v>
      </c>
    </row>
    <row r="530" spans="1:9" x14ac:dyDescent="0.25">
      <c r="A530" s="61" t="e">
        <f>'ERROR FINAL'!#REF!</f>
        <v>#REF!</v>
      </c>
      <c r="B530" s="62" t="e">
        <f>'ERROR FINAL'!#REF!</f>
        <v>#REF!</v>
      </c>
      <c r="C530" s="63" t="e">
        <f>'ERROR FINAL'!#REF!</f>
        <v>#REF!</v>
      </c>
      <c r="D530" s="64" t="e">
        <f>'ERROR FINAL'!#REF!</f>
        <v>#REF!</v>
      </c>
      <c r="E530" s="65" t="e">
        <f>'ERROR FINAL'!#REF!</f>
        <v>#REF!</v>
      </c>
      <c r="F530" s="66" t="e">
        <f>'ERROR FINAL'!#REF!</f>
        <v>#REF!</v>
      </c>
      <c r="G530" s="66" t="e">
        <f>'ERROR FINAL'!#REF!</f>
        <v>#REF!</v>
      </c>
      <c r="H530" s="67" t="e">
        <f>IF('ERROR FINAL'!#REF!="CONFORME","CONFORME","NO CONFORME")</f>
        <v>#REF!</v>
      </c>
      <c r="I530" s="68" t="e">
        <f t="shared" si="8"/>
        <v>#REF!</v>
      </c>
    </row>
    <row r="531" spans="1:9" x14ac:dyDescent="0.25">
      <c r="A531" s="61" t="e">
        <f>'ERROR FINAL'!#REF!</f>
        <v>#REF!</v>
      </c>
      <c r="B531" s="62" t="e">
        <f>'ERROR FINAL'!#REF!</f>
        <v>#REF!</v>
      </c>
      <c r="C531" s="63" t="e">
        <f>'ERROR FINAL'!#REF!</f>
        <v>#REF!</v>
      </c>
      <c r="D531" s="64" t="e">
        <f>'ERROR FINAL'!#REF!</f>
        <v>#REF!</v>
      </c>
      <c r="E531" s="65" t="e">
        <f>'ERROR FINAL'!#REF!</f>
        <v>#REF!</v>
      </c>
      <c r="F531" s="66" t="e">
        <f>'ERROR FINAL'!#REF!</f>
        <v>#REF!</v>
      </c>
      <c r="G531" s="66" t="e">
        <f>'ERROR FINAL'!#REF!</f>
        <v>#REF!</v>
      </c>
      <c r="H531" s="67" t="e">
        <f>IF('ERROR FINAL'!#REF!="CONFORME","CONFORME","NO CONFORME")</f>
        <v>#REF!</v>
      </c>
      <c r="I531" s="68" t="e">
        <f t="shared" si="8"/>
        <v>#REF!</v>
      </c>
    </row>
    <row r="532" spans="1:9" x14ac:dyDescent="0.25">
      <c r="A532" s="61" t="e">
        <f>'ERROR FINAL'!#REF!</f>
        <v>#REF!</v>
      </c>
      <c r="B532" s="62" t="e">
        <f>'ERROR FINAL'!#REF!</f>
        <v>#REF!</v>
      </c>
      <c r="C532" s="63" t="e">
        <f>'ERROR FINAL'!#REF!</f>
        <v>#REF!</v>
      </c>
      <c r="D532" s="64" t="e">
        <f>'ERROR FINAL'!#REF!</f>
        <v>#REF!</v>
      </c>
      <c r="E532" s="65" t="e">
        <f>'ERROR FINAL'!#REF!</f>
        <v>#REF!</v>
      </c>
      <c r="F532" s="66" t="e">
        <f>'ERROR FINAL'!#REF!</f>
        <v>#REF!</v>
      </c>
      <c r="G532" s="66" t="e">
        <f>'ERROR FINAL'!#REF!</f>
        <v>#REF!</v>
      </c>
      <c r="H532" s="67" t="e">
        <f>IF('ERROR FINAL'!#REF!="CONFORME","CONFORME","NO CONFORME")</f>
        <v>#REF!</v>
      </c>
      <c r="I532" s="68" t="e">
        <f t="shared" si="8"/>
        <v>#REF!</v>
      </c>
    </row>
    <row r="533" spans="1:9" x14ac:dyDescent="0.25">
      <c r="A533" s="61" t="e">
        <f>'ERROR FINAL'!#REF!</f>
        <v>#REF!</v>
      </c>
      <c r="B533" s="62" t="e">
        <f>'ERROR FINAL'!#REF!</f>
        <v>#REF!</v>
      </c>
      <c r="C533" s="63" t="e">
        <f>'ERROR FINAL'!#REF!</f>
        <v>#REF!</v>
      </c>
      <c r="D533" s="64" t="e">
        <f>'ERROR FINAL'!#REF!</f>
        <v>#REF!</v>
      </c>
      <c r="E533" s="65" t="e">
        <f>'ERROR FINAL'!#REF!</f>
        <v>#REF!</v>
      </c>
      <c r="F533" s="66" t="e">
        <f>'ERROR FINAL'!#REF!</f>
        <v>#REF!</v>
      </c>
      <c r="G533" s="66" t="e">
        <f>'ERROR FINAL'!#REF!</f>
        <v>#REF!</v>
      </c>
      <c r="H533" s="67" t="e">
        <f>IF('ERROR FINAL'!#REF!="CONFORME","CONFORME","NO CONFORME")</f>
        <v>#REF!</v>
      </c>
      <c r="I533" s="68" t="e">
        <f t="shared" si="8"/>
        <v>#REF!</v>
      </c>
    </row>
    <row r="534" spans="1:9" x14ac:dyDescent="0.25">
      <c r="A534" s="61" t="e">
        <f>'ERROR FINAL'!#REF!</f>
        <v>#REF!</v>
      </c>
      <c r="B534" s="62" t="e">
        <f>'ERROR FINAL'!#REF!</f>
        <v>#REF!</v>
      </c>
      <c r="C534" s="63" t="e">
        <f>'ERROR FINAL'!#REF!</f>
        <v>#REF!</v>
      </c>
      <c r="D534" s="64" t="e">
        <f>'ERROR FINAL'!#REF!</f>
        <v>#REF!</v>
      </c>
      <c r="E534" s="65" t="e">
        <f>'ERROR FINAL'!#REF!</f>
        <v>#REF!</v>
      </c>
      <c r="F534" s="66" t="e">
        <f>'ERROR FINAL'!#REF!</f>
        <v>#REF!</v>
      </c>
      <c r="G534" s="66" t="e">
        <f>'ERROR FINAL'!#REF!</f>
        <v>#REF!</v>
      </c>
      <c r="H534" s="67" t="e">
        <f>IF('ERROR FINAL'!#REF!="CONFORME","CONFORME","NO CONFORME")</f>
        <v>#REF!</v>
      </c>
      <c r="I534" s="68" t="e">
        <f t="shared" si="8"/>
        <v>#REF!</v>
      </c>
    </row>
    <row r="535" spans="1:9" x14ac:dyDescent="0.25">
      <c r="A535" s="61" t="e">
        <f>'ERROR FINAL'!#REF!</f>
        <v>#REF!</v>
      </c>
      <c r="B535" s="62" t="e">
        <f>'ERROR FINAL'!#REF!</f>
        <v>#REF!</v>
      </c>
      <c r="C535" s="63" t="e">
        <f>'ERROR FINAL'!#REF!</f>
        <v>#REF!</v>
      </c>
      <c r="D535" s="64" t="e">
        <f>'ERROR FINAL'!#REF!</f>
        <v>#REF!</v>
      </c>
      <c r="E535" s="65" t="e">
        <f>'ERROR FINAL'!#REF!</f>
        <v>#REF!</v>
      </c>
      <c r="F535" s="66" t="e">
        <f>'ERROR FINAL'!#REF!</f>
        <v>#REF!</v>
      </c>
      <c r="G535" s="66" t="e">
        <f>'ERROR FINAL'!#REF!</f>
        <v>#REF!</v>
      </c>
      <c r="H535" s="67" t="e">
        <f>IF('ERROR FINAL'!#REF!="CONFORME","CONFORME","NO CONFORME")</f>
        <v>#REF!</v>
      </c>
      <c r="I535" s="68" t="e">
        <f t="shared" si="8"/>
        <v>#REF!</v>
      </c>
    </row>
    <row r="536" spans="1:9" x14ac:dyDescent="0.25">
      <c r="A536" s="61" t="e">
        <f>'ERROR FINAL'!#REF!</f>
        <v>#REF!</v>
      </c>
      <c r="B536" s="62" t="e">
        <f>'ERROR FINAL'!#REF!</f>
        <v>#REF!</v>
      </c>
      <c r="C536" s="63" t="e">
        <f>'ERROR FINAL'!#REF!</f>
        <v>#REF!</v>
      </c>
      <c r="D536" s="64" t="e">
        <f>'ERROR FINAL'!#REF!</f>
        <v>#REF!</v>
      </c>
      <c r="E536" s="65" t="e">
        <f>'ERROR FINAL'!#REF!</f>
        <v>#REF!</v>
      </c>
      <c r="F536" s="66" t="e">
        <f>'ERROR FINAL'!#REF!</f>
        <v>#REF!</v>
      </c>
      <c r="G536" s="66" t="e">
        <f>'ERROR FINAL'!#REF!</f>
        <v>#REF!</v>
      </c>
      <c r="H536" s="67" t="e">
        <f>IF('ERROR FINAL'!#REF!="CONFORME","CONFORME","NO CONFORME")</f>
        <v>#REF!</v>
      </c>
      <c r="I536" s="68" t="e">
        <f t="shared" si="8"/>
        <v>#REF!</v>
      </c>
    </row>
    <row r="537" spans="1:9" x14ac:dyDescent="0.25">
      <c r="A537" s="61" t="e">
        <f>'ERROR FINAL'!#REF!</f>
        <v>#REF!</v>
      </c>
      <c r="B537" s="62" t="e">
        <f>'ERROR FINAL'!#REF!</f>
        <v>#REF!</v>
      </c>
      <c r="C537" s="63" t="e">
        <f>'ERROR FINAL'!#REF!</f>
        <v>#REF!</v>
      </c>
      <c r="D537" s="64" t="e">
        <f>'ERROR FINAL'!#REF!</f>
        <v>#REF!</v>
      </c>
      <c r="E537" s="65" t="e">
        <f>'ERROR FINAL'!#REF!</f>
        <v>#REF!</v>
      </c>
      <c r="F537" s="66" t="e">
        <f>'ERROR FINAL'!#REF!</f>
        <v>#REF!</v>
      </c>
      <c r="G537" s="66" t="e">
        <f>'ERROR FINAL'!#REF!</f>
        <v>#REF!</v>
      </c>
      <c r="H537" s="67" t="e">
        <f>IF('ERROR FINAL'!#REF!="CONFORME","CONFORME","NO CONFORME")</f>
        <v>#REF!</v>
      </c>
      <c r="I537" s="68" t="e">
        <f t="shared" si="8"/>
        <v>#REF!</v>
      </c>
    </row>
    <row r="538" spans="1:9" x14ac:dyDescent="0.25">
      <c r="A538" s="61" t="e">
        <f>'ERROR FINAL'!#REF!</f>
        <v>#REF!</v>
      </c>
      <c r="B538" s="62" t="e">
        <f>'ERROR FINAL'!#REF!</f>
        <v>#REF!</v>
      </c>
      <c r="C538" s="63" t="e">
        <f>'ERROR FINAL'!#REF!</f>
        <v>#REF!</v>
      </c>
      <c r="D538" s="64" t="e">
        <f>'ERROR FINAL'!#REF!</f>
        <v>#REF!</v>
      </c>
      <c r="E538" s="65" t="e">
        <f>'ERROR FINAL'!#REF!</f>
        <v>#REF!</v>
      </c>
      <c r="F538" s="66" t="e">
        <f>'ERROR FINAL'!#REF!</f>
        <v>#REF!</v>
      </c>
      <c r="G538" s="66" t="e">
        <f>'ERROR FINAL'!#REF!</f>
        <v>#REF!</v>
      </c>
      <c r="H538" s="67" t="e">
        <f>IF('ERROR FINAL'!#REF!="CONFORME","CONFORME","NO CONFORME")</f>
        <v>#REF!</v>
      </c>
      <c r="I538" s="68" t="e">
        <f t="shared" si="8"/>
        <v>#REF!</v>
      </c>
    </row>
    <row r="539" spans="1:9" x14ac:dyDescent="0.25">
      <c r="A539" s="61" t="e">
        <f>'ERROR FINAL'!#REF!</f>
        <v>#REF!</v>
      </c>
      <c r="B539" s="62" t="e">
        <f>'ERROR FINAL'!#REF!</f>
        <v>#REF!</v>
      </c>
      <c r="C539" s="63" t="e">
        <f>'ERROR FINAL'!#REF!</f>
        <v>#REF!</v>
      </c>
      <c r="D539" s="64" t="e">
        <f>'ERROR FINAL'!#REF!</f>
        <v>#REF!</v>
      </c>
      <c r="E539" s="65" t="e">
        <f>'ERROR FINAL'!#REF!</f>
        <v>#REF!</v>
      </c>
      <c r="F539" s="66" t="e">
        <f>'ERROR FINAL'!#REF!</f>
        <v>#REF!</v>
      </c>
      <c r="G539" s="66" t="e">
        <f>'ERROR FINAL'!#REF!</f>
        <v>#REF!</v>
      </c>
      <c r="H539" s="67" t="e">
        <f>IF('ERROR FINAL'!#REF!="CONFORME","CONFORME","NO CONFORME")</f>
        <v>#REF!</v>
      </c>
      <c r="I539" s="68" t="e">
        <f t="shared" si="8"/>
        <v>#REF!</v>
      </c>
    </row>
    <row r="540" spans="1:9" x14ac:dyDescent="0.25">
      <c r="A540" s="61" t="e">
        <f>'ERROR FINAL'!#REF!</f>
        <v>#REF!</v>
      </c>
      <c r="B540" s="62" t="e">
        <f>'ERROR FINAL'!#REF!</f>
        <v>#REF!</v>
      </c>
      <c r="C540" s="63" t="e">
        <f>'ERROR FINAL'!#REF!</f>
        <v>#REF!</v>
      </c>
      <c r="D540" s="64" t="e">
        <f>'ERROR FINAL'!#REF!</f>
        <v>#REF!</v>
      </c>
      <c r="E540" s="65" t="e">
        <f>'ERROR FINAL'!#REF!</f>
        <v>#REF!</v>
      </c>
      <c r="F540" s="66" t="e">
        <f>'ERROR FINAL'!#REF!</f>
        <v>#REF!</v>
      </c>
      <c r="G540" s="66" t="e">
        <f>'ERROR FINAL'!#REF!</f>
        <v>#REF!</v>
      </c>
      <c r="H540" s="67" t="e">
        <f>IF('ERROR FINAL'!#REF!="CONFORME","CONFORME","NO CONFORME")</f>
        <v>#REF!</v>
      </c>
      <c r="I540" s="68" t="e">
        <f t="shared" si="8"/>
        <v>#REF!</v>
      </c>
    </row>
    <row r="541" spans="1:9" x14ac:dyDescent="0.25">
      <c r="A541" s="61" t="e">
        <f>'ERROR FINAL'!#REF!</f>
        <v>#REF!</v>
      </c>
      <c r="B541" s="62" t="e">
        <f>'ERROR FINAL'!#REF!</f>
        <v>#REF!</v>
      </c>
      <c r="C541" s="63" t="e">
        <f>'ERROR FINAL'!#REF!</f>
        <v>#REF!</v>
      </c>
      <c r="D541" s="64" t="e">
        <f>'ERROR FINAL'!#REF!</f>
        <v>#REF!</v>
      </c>
      <c r="E541" s="65" t="e">
        <f>'ERROR FINAL'!#REF!</f>
        <v>#REF!</v>
      </c>
      <c r="F541" s="66" t="e">
        <f>'ERROR FINAL'!#REF!</f>
        <v>#REF!</v>
      </c>
      <c r="G541" s="66" t="e">
        <f>'ERROR FINAL'!#REF!</f>
        <v>#REF!</v>
      </c>
      <c r="H541" s="67" t="e">
        <f>IF('ERROR FINAL'!#REF!="CONFORME","CONFORME","NO CONFORME")</f>
        <v>#REF!</v>
      </c>
      <c r="I541" s="68" t="e">
        <f t="shared" si="8"/>
        <v>#REF!</v>
      </c>
    </row>
    <row r="542" spans="1:9" x14ac:dyDescent="0.25">
      <c r="A542" s="61" t="e">
        <f>'ERROR FINAL'!#REF!</f>
        <v>#REF!</v>
      </c>
      <c r="B542" s="62" t="e">
        <f>'ERROR FINAL'!#REF!</f>
        <v>#REF!</v>
      </c>
      <c r="C542" s="63" t="e">
        <f>'ERROR FINAL'!#REF!</f>
        <v>#REF!</v>
      </c>
      <c r="D542" s="64" t="e">
        <f>'ERROR FINAL'!#REF!</f>
        <v>#REF!</v>
      </c>
      <c r="E542" s="65" t="e">
        <f>'ERROR FINAL'!#REF!</f>
        <v>#REF!</v>
      </c>
      <c r="F542" s="66" t="e">
        <f>'ERROR FINAL'!#REF!</f>
        <v>#REF!</v>
      </c>
      <c r="G542" s="66" t="e">
        <f>'ERROR FINAL'!#REF!</f>
        <v>#REF!</v>
      </c>
      <c r="H542" s="67" t="e">
        <f>IF('ERROR FINAL'!#REF!="CONFORME","CONFORME","NO CONFORME")</f>
        <v>#REF!</v>
      </c>
      <c r="I542" s="68" t="e">
        <f t="shared" si="8"/>
        <v>#REF!</v>
      </c>
    </row>
    <row r="543" spans="1:9" x14ac:dyDescent="0.25">
      <c r="A543" s="61" t="e">
        <f>'ERROR FINAL'!#REF!</f>
        <v>#REF!</v>
      </c>
      <c r="B543" s="62" t="e">
        <f>'ERROR FINAL'!#REF!</f>
        <v>#REF!</v>
      </c>
      <c r="C543" s="63" t="e">
        <f>'ERROR FINAL'!#REF!</f>
        <v>#REF!</v>
      </c>
      <c r="D543" s="64" t="e">
        <f>'ERROR FINAL'!#REF!</f>
        <v>#REF!</v>
      </c>
      <c r="E543" s="65" t="e">
        <f>'ERROR FINAL'!#REF!</f>
        <v>#REF!</v>
      </c>
      <c r="F543" s="66" t="e">
        <f>'ERROR FINAL'!#REF!</f>
        <v>#REF!</v>
      </c>
      <c r="G543" s="66" t="e">
        <f>'ERROR FINAL'!#REF!</f>
        <v>#REF!</v>
      </c>
      <c r="H543" s="67" t="e">
        <f>IF('ERROR FINAL'!#REF!="CONFORME","CONFORME","NO CONFORME")</f>
        <v>#REF!</v>
      </c>
      <c r="I543" s="68" t="e">
        <f t="shared" si="8"/>
        <v>#REF!</v>
      </c>
    </row>
    <row r="544" spans="1:9" x14ac:dyDescent="0.25">
      <c r="A544" s="61" t="e">
        <f>'ERROR FINAL'!#REF!</f>
        <v>#REF!</v>
      </c>
      <c r="B544" s="62" t="e">
        <f>'ERROR FINAL'!#REF!</f>
        <v>#REF!</v>
      </c>
      <c r="C544" s="63" t="e">
        <f>'ERROR FINAL'!#REF!</f>
        <v>#REF!</v>
      </c>
      <c r="D544" s="64" t="e">
        <f>'ERROR FINAL'!#REF!</f>
        <v>#REF!</v>
      </c>
      <c r="E544" s="65" t="e">
        <f>'ERROR FINAL'!#REF!</f>
        <v>#REF!</v>
      </c>
      <c r="F544" s="66" t="e">
        <f>'ERROR FINAL'!#REF!</f>
        <v>#REF!</v>
      </c>
      <c r="G544" s="66" t="e">
        <f>'ERROR FINAL'!#REF!</f>
        <v>#REF!</v>
      </c>
      <c r="H544" s="67" t="e">
        <f>IF('ERROR FINAL'!#REF!="CONFORME","CONFORME","NO CONFORME")</f>
        <v>#REF!</v>
      </c>
      <c r="I544" s="68" t="e">
        <f t="shared" si="8"/>
        <v>#REF!</v>
      </c>
    </row>
    <row r="545" spans="1:9" x14ac:dyDescent="0.25">
      <c r="A545" s="61" t="e">
        <f>'ERROR FINAL'!#REF!</f>
        <v>#REF!</v>
      </c>
      <c r="B545" s="62" t="e">
        <f>'ERROR FINAL'!#REF!</f>
        <v>#REF!</v>
      </c>
      <c r="C545" s="63" t="e">
        <f>'ERROR FINAL'!#REF!</f>
        <v>#REF!</v>
      </c>
      <c r="D545" s="64" t="e">
        <f>'ERROR FINAL'!#REF!</f>
        <v>#REF!</v>
      </c>
      <c r="E545" s="65" t="e">
        <f>'ERROR FINAL'!#REF!</f>
        <v>#REF!</v>
      </c>
      <c r="F545" s="66" t="e">
        <f>'ERROR FINAL'!#REF!</f>
        <v>#REF!</v>
      </c>
      <c r="G545" s="66" t="e">
        <f>'ERROR FINAL'!#REF!</f>
        <v>#REF!</v>
      </c>
      <c r="H545" s="67" t="e">
        <f>IF('ERROR FINAL'!#REF!="CONFORME","CONFORME","NO CONFORME")</f>
        <v>#REF!</v>
      </c>
      <c r="I545" s="68" t="e">
        <f t="shared" si="8"/>
        <v>#REF!</v>
      </c>
    </row>
    <row r="546" spans="1:9" x14ac:dyDescent="0.25">
      <c r="A546" s="61" t="e">
        <f>'ERROR FINAL'!#REF!</f>
        <v>#REF!</v>
      </c>
      <c r="B546" s="62" t="e">
        <f>'ERROR FINAL'!#REF!</f>
        <v>#REF!</v>
      </c>
      <c r="C546" s="63" t="e">
        <f>'ERROR FINAL'!#REF!</f>
        <v>#REF!</v>
      </c>
      <c r="D546" s="64" t="e">
        <f>'ERROR FINAL'!#REF!</f>
        <v>#REF!</v>
      </c>
      <c r="E546" s="65" t="e">
        <f>'ERROR FINAL'!#REF!</f>
        <v>#REF!</v>
      </c>
      <c r="F546" s="66" t="e">
        <f>'ERROR FINAL'!#REF!</f>
        <v>#REF!</v>
      </c>
      <c r="G546" s="66" t="e">
        <f>'ERROR FINAL'!#REF!</f>
        <v>#REF!</v>
      </c>
      <c r="H546" s="67" t="e">
        <f>IF('ERROR FINAL'!#REF!="CONFORME","CONFORME","NO CONFORME")</f>
        <v>#REF!</v>
      </c>
      <c r="I546" s="68" t="e">
        <f t="shared" si="8"/>
        <v>#REF!</v>
      </c>
    </row>
    <row r="547" spans="1:9" x14ac:dyDescent="0.25">
      <c r="A547" s="61" t="e">
        <f>'ERROR FINAL'!#REF!</f>
        <v>#REF!</v>
      </c>
      <c r="B547" s="62" t="e">
        <f>'ERROR FINAL'!#REF!</f>
        <v>#REF!</v>
      </c>
      <c r="C547" s="63" t="e">
        <f>'ERROR FINAL'!#REF!</f>
        <v>#REF!</v>
      </c>
      <c r="D547" s="64" t="e">
        <f>'ERROR FINAL'!#REF!</f>
        <v>#REF!</v>
      </c>
      <c r="E547" s="65" t="e">
        <f>'ERROR FINAL'!#REF!</f>
        <v>#REF!</v>
      </c>
      <c r="F547" s="66" t="e">
        <f>'ERROR FINAL'!#REF!</f>
        <v>#REF!</v>
      </c>
      <c r="G547" s="66" t="e">
        <f>'ERROR FINAL'!#REF!</f>
        <v>#REF!</v>
      </c>
      <c r="H547" s="67" t="e">
        <f>IF('ERROR FINAL'!#REF!="CONFORME","CONFORME","NO CONFORME")</f>
        <v>#REF!</v>
      </c>
      <c r="I547" s="68" t="e">
        <f t="shared" si="8"/>
        <v>#REF!</v>
      </c>
    </row>
    <row r="548" spans="1:9" x14ac:dyDescent="0.25">
      <c r="A548" s="61" t="e">
        <f>'ERROR FINAL'!#REF!</f>
        <v>#REF!</v>
      </c>
      <c r="B548" s="62" t="e">
        <f>'ERROR FINAL'!#REF!</f>
        <v>#REF!</v>
      </c>
      <c r="C548" s="63" t="e">
        <f>'ERROR FINAL'!#REF!</f>
        <v>#REF!</v>
      </c>
      <c r="D548" s="64" t="e">
        <f>'ERROR FINAL'!#REF!</f>
        <v>#REF!</v>
      </c>
      <c r="E548" s="65" t="e">
        <f>'ERROR FINAL'!#REF!</f>
        <v>#REF!</v>
      </c>
      <c r="F548" s="66" t="e">
        <f>'ERROR FINAL'!#REF!</f>
        <v>#REF!</v>
      </c>
      <c r="G548" s="66" t="e">
        <f>'ERROR FINAL'!#REF!</f>
        <v>#REF!</v>
      </c>
      <c r="H548" s="67" t="e">
        <f>IF('ERROR FINAL'!#REF!="CONFORME","CONFORME","NO CONFORME")</f>
        <v>#REF!</v>
      </c>
      <c r="I548" s="68" t="e">
        <f t="shared" si="8"/>
        <v>#REF!</v>
      </c>
    </row>
    <row r="549" spans="1:9" x14ac:dyDescent="0.25">
      <c r="A549" s="61" t="e">
        <f>'ERROR FINAL'!#REF!</f>
        <v>#REF!</v>
      </c>
      <c r="B549" s="62" t="e">
        <f>'ERROR FINAL'!#REF!</f>
        <v>#REF!</v>
      </c>
      <c r="C549" s="63" t="e">
        <f>'ERROR FINAL'!#REF!</f>
        <v>#REF!</v>
      </c>
      <c r="D549" s="64" t="e">
        <f>'ERROR FINAL'!#REF!</f>
        <v>#REF!</v>
      </c>
      <c r="E549" s="65" t="e">
        <f>'ERROR FINAL'!#REF!</f>
        <v>#REF!</v>
      </c>
      <c r="F549" s="66" t="e">
        <f>'ERROR FINAL'!#REF!</f>
        <v>#REF!</v>
      </c>
      <c r="G549" s="66" t="e">
        <f>'ERROR FINAL'!#REF!</f>
        <v>#REF!</v>
      </c>
      <c r="H549" s="67" t="e">
        <f>IF('ERROR FINAL'!#REF!="CONFORME","CONFORME","NO CONFORME")</f>
        <v>#REF!</v>
      </c>
      <c r="I549" s="68" t="e">
        <f t="shared" si="8"/>
        <v>#REF!</v>
      </c>
    </row>
    <row r="550" spans="1:9" x14ac:dyDescent="0.25">
      <c r="A550" s="61" t="e">
        <f>'ERROR FINAL'!#REF!</f>
        <v>#REF!</v>
      </c>
      <c r="B550" s="62" t="e">
        <f>'ERROR FINAL'!#REF!</f>
        <v>#REF!</v>
      </c>
      <c r="C550" s="63" t="e">
        <f>'ERROR FINAL'!#REF!</f>
        <v>#REF!</v>
      </c>
      <c r="D550" s="64" t="e">
        <f>'ERROR FINAL'!#REF!</f>
        <v>#REF!</v>
      </c>
      <c r="E550" s="65" t="e">
        <f>'ERROR FINAL'!#REF!</f>
        <v>#REF!</v>
      </c>
      <c r="F550" s="66" t="e">
        <f>'ERROR FINAL'!#REF!</f>
        <v>#REF!</v>
      </c>
      <c r="G550" s="66" t="e">
        <f>'ERROR FINAL'!#REF!</f>
        <v>#REF!</v>
      </c>
      <c r="H550" s="67" t="e">
        <f>IF('ERROR FINAL'!#REF!="CONFORME","CONFORME","NO CONFORME")</f>
        <v>#REF!</v>
      </c>
      <c r="I550" s="68" t="e">
        <f t="shared" si="8"/>
        <v>#REF!</v>
      </c>
    </row>
    <row r="551" spans="1:9" x14ac:dyDescent="0.25">
      <c r="A551" s="61" t="e">
        <f>'ERROR FINAL'!#REF!</f>
        <v>#REF!</v>
      </c>
      <c r="B551" s="62" t="e">
        <f>'ERROR FINAL'!#REF!</f>
        <v>#REF!</v>
      </c>
      <c r="C551" s="63" t="e">
        <f>'ERROR FINAL'!#REF!</f>
        <v>#REF!</v>
      </c>
      <c r="D551" s="64" t="e">
        <f>'ERROR FINAL'!#REF!</f>
        <v>#REF!</v>
      </c>
      <c r="E551" s="65" t="e">
        <f>'ERROR FINAL'!#REF!</f>
        <v>#REF!</v>
      </c>
      <c r="F551" s="66" t="e">
        <f>'ERROR FINAL'!#REF!</f>
        <v>#REF!</v>
      </c>
      <c r="G551" s="66" t="e">
        <f>'ERROR FINAL'!#REF!</f>
        <v>#REF!</v>
      </c>
      <c r="H551" s="67" t="e">
        <f>IF('ERROR FINAL'!#REF!="CONFORME","CONFORME","NO CONFORME")</f>
        <v>#REF!</v>
      </c>
      <c r="I551" s="68" t="e">
        <f t="shared" si="8"/>
        <v>#REF!</v>
      </c>
    </row>
    <row r="552" spans="1:9" x14ac:dyDescent="0.25">
      <c r="A552" s="61" t="e">
        <f>'ERROR FINAL'!#REF!</f>
        <v>#REF!</v>
      </c>
      <c r="B552" s="62" t="e">
        <f>'ERROR FINAL'!#REF!</f>
        <v>#REF!</v>
      </c>
      <c r="C552" s="63" t="e">
        <f>'ERROR FINAL'!#REF!</f>
        <v>#REF!</v>
      </c>
      <c r="D552" s="64" t="e">
        <f>'ERROR FINAL'!#REF!</f>
        <v>#REF!</v>
      </c>
      <c r="E552" s="65" t="e">
        <f>'ERROR FINAL'!#REF!</f>
        <v>#REF!</v>
      </c>
      <c r="F552" s="66" t="e">
        <f>'ERROR FINAL'!#REF!</f>
        <v>#REF!</v>
      </c>
      <c r="G552" s="66" t="e">
        <f>'ERROR FINAL'!#REF!</f>
        <v>#REF!</v>
      </c>
      <c r="H552" s="67" t="e">
        <f>IF('ERROR FINAL'!#REF!="CONFORME","CONFORME","NO CONFORME")</f>
        <v>#REF!</v>
      </c>
      <c r="I552" s="68" t="e">
        <f t="shared" si="8"/>
        <v>#REF!</v>
      </c>
    </row>
    <row r="553" spans="1:9" x14ac:dyDescent="0.25">
      <c r="A553" s="61" t="e">
        <f>'ERROR FINAL'!#REF!</f>
        <v>#REF!</v>
      </c>
      <c r="B553" s="62" t="e">
        <f>'ERROR FINAL'!#REF!</f>
        <v>#REF!</v>
      </c>
      <c r="C553" s="63" t="e">
        <f>'ERROR FINAL'!#REF!</f>
        <v>#REF!</v>
      </c>
      <c r="D553" s="64" t="e">
        <f>'ERROR FINAL'!#REF!</f>
        <v>#REF!</v>
      </c>
      <c r="E553" s="65" t="e">
        <f>'ERROR FINAL'!#REF!</f>
        <v>#REF!</v>
      </c>
      <c r="F553" s="66" t="e">
        <f>'ERROR FINAL'!#REF!</f>
        <v>#REF!</v>
      </c>
      <c r="G553" s="66" t="e">
        <f>'ERROR FINAL'!#REF!</f>
        <v>#REF!</v>
      </c>
      <c r="H553" s="67" t="e">
        <f>IF('ERROR FINAL'!#REF!="CONFORME","CONFORME","NO CONFORME")</f>
        <v>#REF!</v>
      </c>
      <c r="I553" s="68" t="e">
        <f t="shared" si="8"/>
        <v>#REF!</v>
      </c>
    </row>
    <row r="554" spans="1:9" x14ac:dyDescent="0.25">
      <c r="A554" s="61" t="e">
        <f>'ERROR FINAL'!#REF!</f>
        <v>#REF!</v>
      </c>
      <c r="B554" s="62" t="e">
        <f>'ERROR FINAL'!#REF!</f>
        <v>#REF!</v>
      </c>
      <c r="C554" s="63" t="e">
        <f>'ERROR FINAL'!#REF!</f>
        <v>#REF!</v>
      </c>
      <c r="D554" s="64" t="e">
        <f>'ERROR FINAL'!#REF!</f>
        <v>#REF!</v>
      </c>
      <c r="E554" s="65" t="e">
        <f>'ERROR FINAL'!#REF!</f>
        <v>#REF!</v>
      </c>
      <c r="F554" s="66" t="e">
        <f>'ERROR FINAL'!#REF!</f>
        <v>#REF!</v>
      </c>
      <c r="G554" s="66" t="e">
        <f>'ERROR FINAL'!#REF!</f>
        <v>#REF!</v>
      </c>
      <c r="H554" s="67" t="e">
        <f>IF('ERROR FINAL'!#REF!="CONFORME","CONFORME","NO CONFORME")</f>
        <v>#REF!</v>
      </c>
      <c r="I554" s="68" t="e">
        <f t="shared" si="8"/>
        <v>#REF!</v>
      </c>
    </row>
    <row r="555" spans="1:9" x14ac:dyDescent="0.25">
      <c r="A555" s="61" t="e">
        <f>'ERROR FINAL'!#REF!</f>
        <v>#REF!</v>
      </c>
      <c r="B555" s="62" t="e">
        <f>'ERROR FINAL'!#REF!</f>
        <v>#REF!</v>
      </c>
      <c r="C555" s="63" t="e">
        <f>'ERROR FINAL'!#REF!</f>
        <v>#REF!</v>
      </c>
      <c r="D555" s="64" t="e">
        <f>'ERROR FINAL'!#REF!</f>
        <v>#REF!</v>
      </c>
      <c r="E555" s="65" t="e">
        <f>'ERROR FINAL'!#REF!</f>
        <v>#REF!</v>
      </c>
      <c r="F555" s="66" t="e">
        <f>'ERROR FINAL'!#REF!</f>
        <v>#REF!</v>
      </c>
      <c r="G555" s="66" t="e">
        <f>'ERROR FINAL'!#REF!</f>
        <v>#REF!</v>
      </c>
      <c r="H555" s="67" t="e">
        <f>IF('ERROR FINAL'!#REF!="CONFORME","CONFORME","NO CONFORME")</f>
        <v>#REF!</v>
      </c>
      <c r="I555" s="68" t="e">
        <f t="shared" si="8"/>
        <v>#REF!</v>
      </c>
    </row>
    <row r="556" spans="1:9" x14ac:dyDescent="0.25">
      <c r="A556" s="61" t="e">
        <f>'ERROR FINAL'!#REF!</f>
        <v>#REF!</v>
      </c>
      <c r="B556" s="62" t="e">
        <f>'ERROR FINAL'!#REF!</f>
        <v>#REF!</v>
      </c>
      <c r="C556" s="63" t="e">
        <f>'ERROR FINAL'!#REF!</f>
        <v>#REF!</v>
      </c>
      <c r="D556" s="64" t="e">
        <f>'ERROR FINAL'!#REF!</f>
        <v>#REF!</v>
      </c>
      <c r="E556" s="65" t="e">
        <f>'ERROR FINAL'!#REF!</f>
        <v>#REF!</v>
      </c>
      <c r="F556" s="66" t="e">
        <f>'ERROR FINAL'!#REF!</f>
        <v>#REF!</v>
      </c>
      <c r="G556" s="66" t="e">
        <f>'ERROR FINAL'!#REF!</f>
        <v>#REF!</v>
      </c>
      <c r="H556" s="67" t="e">
        <f>IF('ERROR FINAL'!#REF!="CONFORME","CONFORME","NO CONFORME")</f>
        <v>#REF!</v>
      </c>
      <c r="I556" s="68" t="e">
        <f t="shared" si="8"/>
        <v>#REF!</v>
      </c>
    </row>
    <row r="557" spans="1:9" x14ac:dyDescent="0.25">
      <c r="A557" s="61" t="e">
        <f>'ERROR FINAL'!#REF!</f>
        <v>#REF!</v>
      </c>
      <c r="B557" s="62" t="e">
        <f>'ERROR FINAL'!#REF!</f>
        <v>#REF!</v>
      </c>
      <c r="C557" s="63" t="e">
        <f>'ERROR FINAL'!#REF!</f>
        <v>#REF!</v>
      </c>
      <c r="D557" s="64" t="e">
        <f>'ERROR FINAL'!#REF!</f>
        <v>#REF!</v>
      </c>
      <c r="E557" s="65" t="e">
        <f>'ERROR FINAL'!#REF!</f>
        <v>#REF!</v>
      </c>
      <c r="F557" s="66" t="e">
        <f>'ERROR FINAL'!#REF!</f>
        <v>#REF!</v>
      </c>
      <c r="G557" s="66" t="e">
        <f>'ERROR FINAL'!#REF!</f>
        <v>#REF!</v>
      </c>
      <c r="H557" s="67" t="e">
        <f>IF('ERROR FINAL'!#REF!="CONFORME","CONFORME","NO CONFORME")</f>
        <v>#REF!</v>
      </c>
      <c r="I557" s="68" t="e">
        <f t="shared" si="8"/>
        <v>#REF!</v>
      </c>
    </row>
    <row r="558" spans="1:9" x14ac:dyDescent="0.25">
      <c r="A558" s="61" t="e">
        <f>'ERROR FINAL'!#REF!</f>
        <v>#REF!</v>
      </c>
      <c r="B558" s="62" t="e">
        <f>'ERROR FINAL'!#REF!</f>
        <v>#REF!</v>
      </c>
      <c r="C558" s="63" t="e">
        <f>'ERROR FINAL'!#REF!</f>
        <v>#REF!</v>
      </c>
      <c r="D558" s="64" t="e">
        <f>'ERROR FINAL'!#REF!</f>
        <v>#REF!</v>
      </c>
      <c r="E558" s="65" t="e">
        <f>'ERROR FINAL'!#REF!</f>
        <v>#REF!</v>
      </c>
      <c r="F558" s="66" t="e">
        <f>'ERROR FINAL'!#REF!</f>
        <v>#REF!</v>
      </c>
      <c r="G558" s="66" t="e">
        <f>'ERROR FINAL'!#REF!</f>
        <v>#REF!</v>
      </c>
      <c r="H558" s="67" t="e">
        <f>IF('ERROR FINAL'!#REF!="CONFORME","CONFORME","NO CONFORME")</f>
        <v>#REF!</v>
      </c>
      <c r="I558" s="68" t="e">
        <f t="shared" si="8"/>
        <v>#REF!</v>
      </c>
    </row>
    <row r="559" spans="1:9" x14ac:dyDescent="0.25">
      <c r="A559" s="61" t="e">
        <f>'ERROR FINAL'!#REF!</f>
        <v>#REF!</v>
      </c>
      <c r="B559" s="62" t="e">
        <f>'ERROR FINAL'!#REF!</f>
        <v>#REF!</v>
      </c>
      <c r="C559" s="63" t="e">
        <f>'ERROR FINAL'!#REF!</f>
        <v>#REF!</v>
      </c>
      <c r="D559" s="64" t="e">
        <f>'ERROR FINAL'!#REF!</f>
        <v>#REF!</v>
      </c>
      <c r="E559" s="65" t="e">
        <f>'ERROR FINAL'!#REF!</f>
        <v>#REF!</v>
      </c>
      <c r="F559" s="66" t="e">
        <f>'ERROR FINAL'!#REF!</f>
        <v>#REF!</v>
      </c>
      <c r="G559" s="66" t="e">
        <f>'ERROR FINAL'!#REF!</f>
        <v>#REF!</v>
      </c>
      <c r="H559" s="67" t="e">
        <f>IF('ERROR FINAL'!#REF!="CONFORME","CONFORME","NO CONFORME")</f>
        <v>#REF!</v>
      </c>
      <c r="I559" s="68" t="e">
        <f t="shared" si="8"/>
        <v>#REF!</v>
      </c>
    </row>
    <row r="560" spans="1:9" x14ac:dyDescent="0.25">
      <c r="A560" s="61" t="e">
        <f>'ERROR FINAL'!#REF!</f>
        <v>#REF!</v>
      </c>
      <c r="B560" s="62" t="e">
        <f>'ERROR FINAL'!#REF!</f>
        <v>#REF!</v>
      </c>
      <c r="C560" s="63" t="e">
        <f>'ERROR FINAL'!#REF!</f>
        <v>#REF!</v>
      </c>
      <c r="D560" s="64" t="e">
        <f>'ERROR FINAL'!#REF!</f>
        <v>#REF!</v>
      </c>
      <c r="E560" s="65" t="e">
        <f>'ERROR FINAL'!#REF!</f>
        <v>#REF!</v>
      </c>
      <c r="F560" s="66" t="e">
        <f>'ERROR FINAL'!#REF!</f>
        <v>#REF!</v>
      </c>
      <c r="G560" s="66" t="e">
        <f>'ERROR FINAL'!#REF!</f>
        <v>#REF!</v>
      </c>
      <c r="H560" s="67" t="e">
        <f>IF('ERROR FINAL'!#REF!="CONFORME","CONFORME","NO CONFORME")</f>
        <v>#REF!</v>
      </c>
      <c r="I560" s="68" t="e">
        <f t="shared" si="8"/>
        <v>#REF!</v>
      </c>
    </row>
    <row r="561" spans="1:9" x14ac:dyDescent="0.25">
      <c r="A561" s="61" t="e">
        <f>'ERROR FINAL'!#REF!</f>
        <v>#REF!</v>
      </c>
      <c r="B561" s="62" t="e">
        <f>'ERROR FINAL'!#REF!</f>
        <v>#REF!</v>
      </c>
      <c r="C561" s="63" t="e">
        <f>'ERROR FINAL'!#REF!</f>
        <v>#REF!</v>
      </c>
      <c r="D561" s="64" t="e">
        <f>'ERROR FINAL'!#REF!</f>
        <v>#REF!</v>
      </c>
      <c r="E561" s="65" t="e">
        <f>'ERROR FINAL'!#REF!</f>
        <v>#REF!</v>
      </c>
      <c r="F561" s="66" t="e">
        <f>'ERROR FINAL'!#REF!</f>
        <v>#REF!</v>
      </c>
      <c r="G561" s="66" t="e">
        <f>'ERROR FINAL'!#REF!</f>
        <v>#REF!</v>
      </c>
      <c r="H561" s="67" t="e">
        <f>IF('ERROR FINAL'!#REF!="CONFORME","CONFORME","NO CONFORME")</f>
        <v>#REF!</v>
      </c>
      <c r="I561" s="68" t="e">
        <f t="shared" si="8"/>
        <v>#REF!</v>
      </c>
    </row>
    <row r="562" spans="1:9" x14ac:dyDescent="0.25">
      <c r="A562" s="61" t="e">
        <f>'ERROR FINAL'!#REF!</f>
        <v>#REF!</v>
      </c>
      <c r="B562" s="62" t="e">
        <f>'ERROR FINAL'!#REF!</f>
        <v>#REF!</v>
      </c>
      <c r="C562" s="63" t="e">
        <f>'ERROR FINAL'!#REF!</f>
        <v>#REF!</v>
      </c>
      <c r="D562" s="64" t="e">
        <f>'ERROR FINAL'!#REF!</f>
        <v>#REF!</v>
      </c>
      <c r="E562" s="65" t="e">
        <f>'ERROR FINAL'!#REF!</f>
        <v>#REF!</v>
      </c>
      <c r="F562" s="66" t="e">
        <f>'ERROR FINAL'!#REF!</f>
        <v>#REF!</v>
      </c>
      <c r="G562" s="66" t="e">
        <f>'ERROR FINAL'!#REF!</f>
        <v>#REF!</v>
      </c>
      <c r="H562" s="67" t="e">
        <f>IF('ERROR FINAL'!#REF!="CONFORME","CONFORME","NO CONFORME")</f>
        <v>#REF!</v>
      </c>
      <c r="I562" s="68" t="e">
        <f t="shared" si="8"/>
        <v>#REF!</v>
      </c>
    </row>
    <row r="563" spans="1:9" x14ac:dyDescent="0.25">
      <c r="A563" s="61" t="e">
        <f>'ERROR FINAL'!#REF!</f>
        <v>#REF!</v>
      </c>
      <c r="B563" s="62" t="e">
        <f>'ERROR FINAL'!#REF!</f>
        <v>#REF!</v>
      </c>
      <c r="C563" s="63" t="e">
        <f>'ERROR FINAL'!#REF!</f>
        <v>#REF!</v>
      </c>
      <c r="D563" s="64" t="e">
        <f>'ERROR FINAL'!#REF!</f>
        <v>#REF!</v>
      </c>
      <c r="E563" s="65" t="e">
        <f>'ERROR FINAL'!#REF!</f>
        <v>#REF!</v>
      </c>
      <c r="F563" s="66" t="e">
        <f>'ERROR FINAL'!#REF!</f>
        <v>#REF!</v>
      </c>
      <c r="G563" s="66" t="e">
        <f>'ERROR FINAL'!#REF!</f>
        <v>#REF!</v>
      </c>
      <c r="H563" s="67" t="e">
        <f>IF('ERROR FINAL'!#REF!="CONFORME","CONFORME","NO CONFORME")</f>
        <v>#REF!</v>
      </c>
      <c r="I563" s="68" t="e">
        <f t="shared" si="8"/>
        <v>#REF!</v>
      </c>
    </row>
    <row r="564" spans="1:9" x14ac:dyDescent="0.25">
      <c r="A564" s="61" t="e">
        <f>'ERROR FINAL'!#REF!</f>
        <v>#REF!</v>
      </c>
      <c r="B564" s="62" t="e">
        <f>'ERROR FINAL'!#REF!</f>
        <v>#REF!</v>
      </c>
      <c r="C564" s="63" t="e">
        <f>'ERROR FINAL'!#REF!</f>
        <v>#REF!</v>
      </c>
      <c r="D564" s="64" t="e">
        <f>'ERROR FINAL'!#REF!</f>
        <v>#REF!</v>
      </c>
      <c r="E564" s="65" t="e">
        <f>'ERROR FINAL'!#REF!</f>
        <v>#REF!</v>
      </c>
      <c r="F564" s="66" t="e">
        <f>'ERROR FINAL'!#REF!</f>
        <v>#REF!</v>
      </c>
      <c r="G564" s="66" t="e">
        <f>'ERROR FINAL'!#REF!</f>
        <v>#REF!</v>
      </c>
      <c r="H564" s="67" t="e">
        <f>IF('ERROR FINAL'!#REF!="CONFORME","CONFORME","NO CONFORME")</f>
        <v>#REF!</v>
      </c>
      <c r="I564" s="68" t="e">
        <f t="shared" si="8"/>
        <v>#REF!</v>
      </c>
    </row>
    <row r="565" spans="1:9" x14ac:dyDescent="0.25">
      <c r="A565" s="61" t="e">
        <f>'ERROR FINAL'!#REF!</f>
        <v>#REF!</v>
      </c>
      <c r="B565" s="62" t="e">
        <f>'ERROR FINAL'!#REF!</f>
        <v>#REF!</v>
      </c>
      <c r="C565" s="63" t="e">
        <f>'ERROR FINAL'!#REF!</f>
        <v>#REF!</v>
      </c>
      <c r="D565" s="64" t="e">
        <f>'ERROR FINAL'!#REF!</f>
        <v>#REF!</v>
      </c>
      <c r="E565" s="65" t="e">
        <f>'ERROR FINAL'!#REF!</f>
        <v>#REF!</v>
      </c>
      <c r="F565" s="66" t="e">
        <f>'ERROR FINAL'!#REF!</f>
        <v>#REF!</v>
      </c>
      <c r="G565" s="66" t="e">
        <f>'ERROR FINAL'!#REF!</f>
        <v>#REF!</v>
      </c>
      <c r="H565" s="67" t="e">
        <f>IF('ERROR FINAL'!#REF!="CONFORME","CONFORME","NO CONFORME")</f>
        <v>#REF!</v>
      </c>
      <c r="I565" s="68" t="e">
        <f t="shared" si="8"/>
        <v>#REF!</v>
      </c>
    </row>
    <row r="566" spans="1:9" x14ac:dyDescent="0.25">
      <c r="A566" s="61" t="e">
        <f>'ERROR FINAL'!#REF!</f>
        <v>#REF!</v>
      </c>
      <c r="B566" s="62" t="e">
        <f>'ERROR FINAL'!#REF!</f>
        <v>#REF!</v>
      </c>
      <c r="C566" s="63" t="e">
        <f>'ERROR FINAL'!#REF!</f>
        <v>#REF!</v>
      </c>
      <c r="D566" s="64" t="e">
        <f>'ERROR FINAL'!#REF!</f>
        <v>#REF!</v>
      </c>
      <c r="E566" s="65" t="e">
        <f>'ERROR FINAL'!#REF!</f>
        <v>#REF!</v>
      </c>
      <c r="F566" s="66" t="e">
        <f>'ERROR FINAL'!#REF!</f>
        <v>#REF!</v>
      </c>
      <c r="G566" s="66" t="e">
        <f>'ERROR FINAL'!#REF!</f>
        <v>#REF!</v>
      </c>
      <c r="H566" s="67" t="e">
        <f>IF('ERROR FINAL'!#REF!="CONFORME","CONFORME","NO CONFORME")</f>
        <v>#REF!</v>
      </c>
      <c r="I566" s="68" t="e">
        <f t="shared" si="8"/>
        <v>#REF!</v>
      </c>
    </row>
    <row r="567" spans="1:9" x14ac:dyDescent="0.25">
      <c r="A567" s="61" t="e">
        <f>'ERROR FINAL'!#REF!</f>
        <v>#REF!</v>
      </c>
      <c r="B567" s="62" t="e">
        <f>'ERROR FINAL'!#REF!</f>
        <v>#REF!</v>
      </c>
      <c r="C567" s="63" t="e">
        <f>'ERROR FINAL'!#REF!</f>
        <v>#REF!</v>
      </c>
      <c r="D567" s="64" t="e">
        <f>'ERROR FINAL'!#REF!</f>
        <v>#REF!</v>
      </c>
      <c r="E567" s="65" t="e">
        <f>'ERROR FINAL'!#REF!</f>
        <v>#REF!</v>
      </c>
      <c r="F567" s="66" t="e">
        <f>'ERROR FINAL'!#REF!</f>
        <v>#REF!</v>
      </c>
      <c r="G567" s="66" t="e">
        <f>'ERROR FINAL'!#REF!</f>
        <v>#REF!</v>
      </c>
      <c r="H567" s="67" t="e">
        <f>IF('ERROR FINAL'!#REF!="CONFORME","CONFORME","NO CONFORME")</f>
        <v>#REF!</v>
      </c>
      <c r="I567" s="68" t="e">
        <f t="shared" si="8"/>
        <v>#REF!</v>
      </c>
    </row>
    <row r="568" spans="1:9" x14ac:dyDescent="0.25">
      <c r="A568" s="61" t="e">
        <f>'ERROR FINAL'!#REF!</f>
        <v>#REF!</v>
      </c>
      <c r="B568" s="62" t="e">
        <f>'ERROR FINAL'!#REF!</f>
        <v>#REF!</v>
      </c>
      <c r="C568" s="63" t="e">
        <f>'ERROR FINAL'!#REF!</f>
        <v>#REF!</v>
      </c>
      <c r="D568" s="64" t="e">
        <f>'ERROR FINAL'!#REF!</f>
        <v>#REF!</v>
      </c>
      <c r="E568" s="65" t="e">
        <f>'ERROR FINAL'!#REF!</f>
        <v>#REF!</v>
      </c>
      <c r="F568" s="66" t="e">
        <f>'ERROR FINAL'!#REF!</f>
        <v>#REF!</v>
      </c>
      <c r="G568" s="66" t="e">
        <f>'ERROR FINAL'!#REF!</f>
        <v>#REF!</v>
      </c>
      <c r="H568" s="67" t="e">
        <f>IF('ERROR FINAL'!#REF!="CONFORME","CONFORME","NO CONFORME")</f>
        <v>#REF!</v>
      </c>
      <c r="I568" s="68" t="e">
        <f t="shared" si="8"/>
        <v>#REF!</v>
      </c>
    </row>
    <row r="569" spans="1:9" x14ac:dyDescent="0.25">
      <c r="A569" s="61" t="e">
        <f>'ERROR FINAL'!#REF!</f>
        <v>#REF!</v>
      </c>
      <c r="B569" s="62" t="e">
        <f>'ERROR FINAL'!#REF!</f>
        <v>#REF!</v>
      </c>
      <c r="C569" s="63" t="e">
        <f>'ERROR FINAL'!#REF!</f>
        <v>#REF!</v>
      </c>
      <c r="D569" s="64" t="e">
        <f>'ERROR FINAL'!#REF!</f>
        <v>#REF!</v>
      </c>
      <c r="E569" s="65" t="e">
        <f>'ERROR FINAL'!#REF!</f>
        <v>#REF!</v>
      </c>
      <c r="F569" s="66" t="e">
        <f>'ERROR FINAL'!#REF!</f>
        <v>#REF!</v>
      </c>
      <c r="G569" s="66" t="e">
        <f>'ERROR FINAL'!#REF!</f>
        <v>#REF!</v>
      </c>
      <c r="H569" s="67" t="e">
        <f>IF('ERROR FINAL'!#REF!="CONFORME","CONFORME","NO CONFORME")</f>
        <v>#REF!</v>
      </c>
      <c r="I569" s="68" t="e">
        <f t="shared" si="8"/>
        <v>#REF!</v>
      </c>
    </row>
    <row r="570" spans="1:9" x14ac:dyDescent="0.25">
      <c r="A570" s="61" t="e">
        <f>'ERROR FINAL'!#REF!</f>
        <v>#REF!</v>
      </c>
      <c r="B570" s="62" t="e">
        <f>'ERROR FINAL'!#REF!</f>
        <v>#REF!</v>
      </c>
      <c r="C570" s="63" t="e">
        <f>'ERROR FINAL'!#REF!</f>
        <v>#REF!</v>
      </c>
      <c r="D570" s="64" t="e">
        <f>'ERROR FINAL'!#REF!</f>
        <v>#REF!</v>
      </c>
      <c r="E570" s="65" t="e">
        <f>'ERROR FINAL'!#REF!</f>
        <v>#REF!</v>
      </c>
      <c r="F570" s="66" t="e">
        <f>'ERROR FINAL'!#REF!</f>
        <v>#REF!</v>
      </c>
      <c r="G570" s="66" t="e">
        <f>'ERROR FINAL'!#REF!</f>
        <v>#REF!</v>
      </c>
      <c r="H570" s="67" t="e">
        <f>IF('ERROR FINAL'!#REF!="CONFORME","CONFORME","NO CONFORME")</f>
        <v>#REF!</v>
      </c>
      <c r="I570" s="68" t="e">
        <f t="shared" si="8"/>
        <v>#REF!</v>
      </c>
    </row>
    <row r="571" spans="1:9" x14ac:dyDescent="0.25">
      <c r="A571" s="61" t="e">
        <f>'ERROR FINAL'!#REF!</f>
        <v>#REF!</v>
      </c>
      <c r="B571" s="62" t="e">
        <f>'ERROR FINAL'!#REF!</f>
        <v>#REF!</v>
      </c>
      <c r="C571" s="63" t="e">
        <f>'ERROR FINAL'!#REF!</f>
        <v>#REF!</v>
      </c>
      <c r="D571" s="64" t="e">
        <f>'ERROR FINAL'!#REF!</f>
        <v>#REF!</v>
      </c>
      <c r="E571" s="65" t="e">
        <f>'ERROR FINAL'!#REF!</f>
        <v>#REF!</v>
      </c>
      <c r="F571" s="66" t="e">
        <f>'ERROR FINAL'!#REF!</f>
        <v>#REF!</v>
      </c>
      <c r="G571" s="66" t="e">
        <f>'ERROR FINAL'!#REF!</f>
        <v>#REF!</v>
      </c>
      <c r="H571" s="67" t="e">
        <f>IF('ERROR FINAL'!#REF!="CONFORME","CONFORME","NO CONFORME")</f>
        <v>#REF!</v>
      </c>
      <c r="I571" s="68" t="e">
        <f t="shared" si="8"/>
        <v>#REF!</v>
      </c>
    </row>
    <row r="572" spans="1:9" x14ac:dyDescent="0.25">
      <c r="A572" s="61" t="e">
        <f>'ERROR FINAL'!#REF!</f>
        <v>#REF!</v>
      </c>
      <c r="B572" s="62" t="e">
        <f>'ERROR FINAL'!#REF!</f>
        <v>#REF!</v>
      </c>
      <c r="C572" s="63" t="e">
        <f>'ERROR FINAL'!#REF!</f>
        <v>#REF!</v>
      </c>
      <c r="D572" s="64" t="e">
        <f>'ERROR FINAL'!#REF!</f>
        <v>#REF!</v>
      </c>
      <c r="E572" s="65" t="e">
        <f>'ERROR FINAL'!#REF!</f>
        <v>#REF!</v>
      </c>
      <c r="F572" s="66" t="e">
        <f>'ERROR FINAL'!#REF!</f>
        <v>#REF!</v>
      </c>
      <c r="G572" s="66" t="e">
        <f>'ERROR FINAL'!#REF!</f>
        <v>#REF!</v>
      </c>
      <c r="H572" s="67" t="e">
        <f>IF('ERROR FINAL'!#REF!="CONFORME","CONFORME","NO CONFORME")</f>
        <v>#REF!</v>
      </c>
      <c r="I572" s="68" t="e">
        <f t="shared" si="8"/>
        <v>#REF!</v>
      </c>
    </row>
    <row r="573" spans="1:9" x14ac:dyDescent="0.25">
      <c r="A573" s="61" t="e">
        <f>'ERROR FINAL'!#REF!</f>
        <v>#REF!</v>
      </c>
      <c r="B573" s="62" t="e">
        <f>'ERROR FINAL'!#REF!</f>
        <v>#REF!</v>
      </c>
      <c r="C573" s="63" t="e">
        <f>'ERROR FINAL'!#REF!</f>
        <v>#REF!</v>
      </c>
      <c r="D573" s="64" t="e">
        <f>'ERROR FINAL'!#REF!</f>
        <v>#REF!</v>
      </c>
      <c r="E573" s="65" t="e">
        <f>'ERROR FINAL'!#REF!</f>
        <v>#REF!</v>
      </c>
      <c r="F573" s="66" t="e">
        <f>'ERROR FINAL'!#REF!</f>
        <v>#REF!</v>
      </c>
      <c r="G573" s="66" t="e">
        <f>'ERROR FINAL'!#REF!</f>
        <v>#REF!</v>
      </c>
      <c r="H573" s="67" t="e">
        <f>IF('ERROR FINAL'!#REF!="CONFORME","CONFORME","NO CONFORME")</f>
        <v>#REF!</v>
      </c>
      <c r="I573" s="68" t="e">
        <f t="shared" si="8"/>
        <v>#REF!</v>
      </c>
    </row>
    <row r="574" spans="1:9" x14ac:dyDescent="0.25">
      <c r="A574" s="61" t="e">
        <f>'ERROR FINAL'!#REF!</f>
        <v>#REF!</v>
      </c>
      <c r="B574" s="62" t="e">
        <f>'ERROR FINAL'!#REF!</f>
        <v>#REF!</v>
      </c>
      <c r="C574" s="63" t="e">
        <f>'ERROR FINAL'!#REF!</f>
        <v>#REF!</v>
      </c>
      <c r="D574" s="64" t="e">
        <f>'ERROR FINAL'!#REF!</f>
        <v>#REF!</v>
      </c>
      <c r="E574" s="65" t="e">
        <f>'ERROR FINAL'!#REF!</f>
        <v>#REF!</v>
      </c>
      <c r="F574" s="66" t="e">
        <f>'ERROR FINAL'!#REF!</f>
        <v>#REF!</v>
      </c>
      <c r="G574" s="66" t="e">
        <f>'ERROR FINAL'!#REF!</f>
        <v>#REF!</v>
      </c>
      <c r="H574" s="67" t="e">
        <f>IF('ERROR FINAL'!#REF!="CONFORME","CONFORME","NO CONFORME")</f>
        <v>#REF!</v>
      </c>
      <c r="I574" s="68" t="e">
        <f t="shared" si="8"/>
        <v>#REF!</v>
      </c>
    </row>
    <row r="575" spans="1:9" x14ac:dyDescent="0.25">
      <c r="A575" s="61" t="e">
        <f>'ERROR FINAL'!#REF!</f>
        <v>#REF!</v>
      </c>
      <c r="B575" s="62" t="e">
        <f>'ERROR FINAL'!#REF!</f>
        <v>#REF!</v>
      </c>
      <c r="C575" s="63" t="e">
        <f>'ERROR FINAL'!#REF!</f>
        <v>#REF!</v>
      </c>
      <c r="D575" s="64" t="e">
        <f>'ERROR FINAL'!#REF!</f>
        <v>#REF!</v>
      </c>
      <c r="E575" s="65" t="e">
        <f>'ERROR FINAL'!#REF!</f>
        <v>#REF!</v>
      </c>
      <c r="F575" s="66" t="e">
        <f>'ERROR FINAL'!#REF!</f>
        <v>#REF!</v>
      </c>
      <c r="G575" s="66" t="e">
        <f>'ERROR FINAL'!#REF!</f>
        <v>#REF!</v>
      </c>
      <c r="H575" s="67" t="e">
        <f>IF('ERROR FINAL'!#REF!="CONFORME","CONFORME","NO CONFORME")</f>
        <v>#REF!</v>
      </c>
      <c r="I575" s="68" t="e">
        <f t="shared" si="8"/>
        <v>#REF!</v>
      </c>
    </row>
    <row r="576" spans="1:9" x14ac:dyDescent="0.25">
      <c r="A576" s="61" t="e">
        <f>'ERROR FINAL'!#REF!</f>
        <v>#REF!</v>
      </c>
      <c r="B576" s="62" t="e">
        <f>'ERROR FINAL'!#REF!</f>
        <v>#REF!</v>
      </c>
      <c r="C576" s="63" t="e">
        <f>'ERROR FINAL'!#REF!</f>
        <v>#REF!</v>
      </c>
      <c r="D576" s="64" t="e">
        <f>'ERROR FINAL'!#REF!</f>
        <v>#REF!</v>
      </c>
      <c r="E576" s="65" t="e">
        <f>'ERROR FINAL'!#REF!</f>
        <v>#REF!</v>
      </c>
      <c r="F576" s="66" t="e">
        <f>'ERROR FINAL'!#REF!</f>
        <v>#REF!</v>
      </c>
      <c r="G576" s="66" t="e">
        <f>'ERROR FINAL'!#REF!</f>
        <v>#REF!</v>
      </c>
      <c r="H576" s="67" t="e">
        <f>IF('ERROR FINAL'!#REF!="CONFORME","CONFORME","NO CONFORME")</f>
        <v>#REF!</v>
      </c>
      <c r="I576" s="68" t="e">
        <f t="shared" si="8"/>
        <v>#REF!</v>
      </c>
    </row>
    <row r="577" spans="1:9" x14ac:dyDescent="0.25">
      <c r="A577" s="61" t="e">
        <f>'ERROR FINAL'!#REF!</f>
        <v>#REF!</v>
      </c>
      <c r="B577" s="62" t="e">
        <f>'ERROR FINAL'!#REF!</f>
        <v>#REF!</v>
      </c>
      <c r="C577" s="63" t="e">
        <f>'ERROR FINAL'!#REF!</f>
        <v>#REF!</v>
      </c>
      <c r="D577" s="64" t="e">
        <f>'ERROR FINAL'!#REF!</f>
        <v>#REF!</v>
      </c>
      <c r="E577" s="65" t="e">
        <f>'ERROR FINAL'!#REF!</f>
        <v>#REF!</v>
      </c>
      <c r="F577" s="66" t="e">
        <f>'ERROR FINAL'!#REF!</f>
        <v>#REF!</v>
      </c>
      <c r="G577" s="66" t="e">
        <f>'ERROR FINAL'!#REF!</f>
        <v>#REF!</v>
      </c>
      <c r="H577" s="67" t="e">
        <f>IF('ERROR FINAL'!#REF!="CONFORME","CONFORME","NO CONFORME")</f>
        <v>#REF!</v>
      </c>
      <c r="I577" s="68" t="e">
        <f t="shared" si="8"/>
        <v>#REF!</v>
      </c>
    </row>
    <row r="578" spans="1:9" x14ac:dyDescent="0.25">
      <c r="A578" s="61" t="e">
        <f>'ERROR FINAL'!#REF!</f>
        <v>#REF!</v>
      </c>
      <c r="B578" s="62" t="e">
        <f>'ERROR FINAL'!#REF!</f>
        <v>#REF!</v>
      </c>
      <c r="C578" s="63" t="e">
        <f>'ERROR FINAL'!#REF!</f>
        <v>#REF!</v>
      </c>
      <c r="D578" s="64" t="e">
        <f>'ERROR FINAL'!#REF!</f>
        <v>#REF!</v>
      </c>
      <c r="E578" s="65" t="e">
        <f>'ERROR FINAL'!#REF!</f>
        <v>#REF!</v>
      </c>
      <c r="F578" s="66" t="e">
        <f>'ERROR FINAL'!#REF!</f>
        <v>#REF!</v>
      </c>
      <c r="G578" s="66" t="e">
        <f>'ERROR FINAL'!#REF!</f>
        <v>#REF!</v>
      </c>
      <c r="H578" s="67" t="e">
        <f>IF('ERROR FINAL'!#REF!="CONFORME","CONFORME","NO CONFORME")</f>
        <v>#REF!</v>
      </c>
      <c r="I578" s="68" t="e">
        <f t="shared" si="8"/>
        <v>#REF!</v>
      </c>
    </row>
    <row r="579" spans="1:9" x14ac:dyDescent="0.25">
      <c r="A579" s="61" t="e">
        <f>'ERROR FINAL'!#REF!</f>
        <v>#REF!</v>
      </c>
      <c r="B579" s="62" t="e">
        <f>'ERROR FINAL'!#REF!</f>
        <v>#REF!</v>
      </c>
      <c r="C579" s="63" t="e">
        <f>'ERROR FINAL'!#REF!</f>
        <v>#REF!</v>
      </c>
      <c r="D579" s="64" t="e">
        <f>'ERROR FINAL'!#REF!</f>
        <v>#REF!</v>
      </c>
      <c r="E579" s="65" t="e">
        <f>'ERROR FINAL'!#REF!</f>
        <v>#REF!</v>
      </c>
      <c r="F579" s="66" t="e">
        <f>'ERROR FINAL'!#REF!</f>
        <v>#REF!</v>
      </c>
      <c r="G579" s="66" t="e">
        <f>'ERROR FINAL'!#REF!</f>
        <v>#REF!</v>
      </c>
      <c r="H579" s="67" t="e">
        <f>IF('ERROR FINAL'!#REF!="CONFORME","CONFORME","NO CONFORME")</f>
        <v>#REF!</v>
      </c>
      <c r="I579" s="68" t="e">
        <f t="shared" si="8"/>
        <v>#REF!</v>
      </c>
    </row>
    <row r="580" spans="1:9" x14ac:dyDescent="0.25">
      <c r="A580" s="61" t="e">
        <f>'ERROR FINAL'!#REF!</f>
        <v>#REF!</v>
      </c>
      <c r="B580" s="62" t="e">
        <f>'ERROR FINAL'!#REF!</f>
        <v>#REF!</v>
      </c>
      <c r="C580" s="63" t="e">
        <f>'ERROR FINAL'!#REF!</f>
        <v>#REF!</v>
      </c>
      <c r="D580" s="64" t="e">
        <f>'ERROR FINAL'!#REF!</f>
        <v>#REF!</v>
      </c>
      <c r="E580" s="65" t="e">
        <f>'ERROR FINAL'!#REF!</f>
        <v>#REF!</v>
      </c>
      <c r="F580" s="66" t="e">
        <f>'ERROR FINAL'!#REF!</f>
        <v>#REF!</v>
      </c>
      <c r="G580" s="66" t="e">
        <f>'ERROR FINAL'!#REF!</f>
        <v>#REF!</v>
      </c>
      <c r="H580" s="67" t="e">
        <f>IF('ERROR FINAL'!#REF!="CONFORME","CONFORME","NO CONFORME")</f>
        <v>#REF!</v>
      </c>
      <c r="I580" s="68" t="e">
        <f t="shared" si="8"/>
        <v>#REF!</v>
      </c>
    </row>
    <row r="581" spans="1:9" x14ac:dyDescent="0.25">
      <c r="A581" s="61" t="e">
        <f>'ERROR FINAL'!#REF!</f>
        <v>#REF!</v>
      </c>
      <c r="B581" s="62" t="e">
        <f>'ERROR FINAL'!#REF!</f>
        <v>#REF!</v>
      </c>
      <c r="C581" s="63" t="e">
        <f>'ERROR FINAL'!#REF!</f>
        <v>#REF!</v>
      </c>
      <c r="D581" s="64" t="e">
        <f>'ERROR FINAL'!#REF!</f>
        <v>#REF!</v>
      </c>
      <c r="E581" s="65" t="e">
        <f>'ERROR FINAL'!#REF!</f>
        <v>#REF!</v>
      </c>
      <c r="F581" s="66" t="e">
        <f>'ERROR FINAL'!#REF!</f>
        <v>#REF!</v>
      </c>
      <c r="G581" s="66" t="e">
        <f>'ERROR FINAL'!#REF!</f>
        <v>#REF!</v>
      </c>
      <c r="H581" s="67" t="e">
        <f>IF('ERROR FINAL'!#REF!="CONFORME","CONFORME","NO CONFORME")</f>
        <v>#REF!</v>
      </c>
      <c r="I581" s="68" t="e">
        <f t="shared" si="8"/>
        <v>#REF!</v>
      </c>
    </row>
    <row r="582" spans="1:9" x14ac:dyDescent="0.25">
      <c r="A582" s="61" t="e">
        <f>'ERROR FINAL'!#REF!</f>
        <v>#REF!</v>
      </c>
      <c r="B582" s="62" t="e">
        <f>'ERROR FINAL'!#REF!</f>
        <v>#REF!</v>
      </c>
      <c r="C582" s="63" t="e">
        <f>'ERROR FINAL'!#REF!</f>
        <v>#REF!</v>
      </c>
      <c r="D582" s="64" t="e">
        <f>'ERROR FINAL'!#REF!</f>
        <v>#REF!</v>
      </c>
      <c r="E582" s="65" t="e">
        <f>'ERROR FINAL'!#REF!</f>
        <v>#REF!</v>
      </c>
      <c r="F582" s="66" t="e">
        <f>'ERROR FINAL'!#REF!</f>
        <v>#REF!</v>
      </c>
      <c r="G582" s="66" t="e">
        <f>'ERROR FINAL'!#REF!</f>
        <v>#REF!</v>
      </c>
      <c r="H582" s="67" t="e">
        <f>IF('ERROR FINAL'!#REF!="CONFORME","CONFORME","NO CONFORME")</f>
        <v>#REF!</v>
      </c>
      <c r="I582" s="68" t="e">
        <f t="shared" si="8"/>
        <v>#REF!</v>
      </c>
    </row>
    <row r="583" spans="1:9" x14ac:dyDescent="0.25">
      <c r="A583" s="61" t="e">
        <f>'ERROR FINAL'!#REF!</f>
        <v>#REF!</v>
      </c>
      <c r="B583" s="62" t="e">
        <f>'ERROR FINAL'!#REF!</f>
        <v>#REF!</v>
      </c>
      <c r="C583" s="63" t="e">
        <f>'ERROR FINAL'!#REF!</f>
        <v>#REF!</v>
      </c>
      <c r="D583" s="64" t="e">
        <f>'ERROR FINAL'!#REF!</f>
        <v>#REF!</v>
      </c>
      <c r="E583" s="65" t="e">
        <f>'ERROR FINAL'!#REF!</f>
        <v>#REF!</v>
      </c>
      <c r="F583" s="66" t="e">
        <f>'ERROR FINAL'!#REF!</f>
        <v>#REF!</v>
      </c>
      <c r="G583" s="66" t="e">
        <f>'ERROR FINAL'!#REF!</f>
        <v>#REF!</v>
      </c>
      <c r="H583" s="67" t="e">
        <f>IF('ERROR FINAL'!#REF!="CONFORME","CONFORME","NO CONFORME")</f>
        <v>#REF!</v>
      </c>
      <c r="I583" s="68" t="e">
        <f t="shared" ref="I583:I630" si="9">IF(D583=0,"Medición",IF(D583=1,"Daño físico",IF(D583=2,"Fuga",IF(D583=3,"Picado",IF(D583=4,"Desfasado",IF(D583=5,"Paralizado","¿?"))))))</f>
        <v>#REF!</v>
      </c>
    </row>
    <row r="584" spans="1:9" x14ac:dyDescent="0.25">
      <c r="A584" s="61" t="e">
        <f>'ERROR FINAL'!#REF!</f>
        <v>#REF!</v>
      </c>
      <c r="B584" s="62" t="e">
        <f>'ERROR FINAL'!#REF!</f>
        <v>#REF!</v>
      </c>
      <c r="C584" s="63" t="e">
        <f>'ERROR FINAL'!#REF!</f>
        <v>#REF!</v>
      </c>
      <c r="D584" s="64" t="e">
        <f>'ERROR FINAL'!#REF!</f>
        <v>#REF!</v>
      </c>
      <c r="E584" s="65" t="e">
        <f>'ERROR FINAL'!#REF!</f>
        <v>#REF!</v>
      </c>
      <c r="F584" s="66" t="e">
        <f>'ERROR FINAL'!#REF!</f>
        <v>#REF!</v>
      </c>
      <c r="G584" s="66" t="e">
        <f>'ERROR FINAL'!#REF!</f>
        <v>#REF!</v>
      </c>
      <c r="H584" s="67" t="e">
        <f>IF('ERROR FINAL'!#REF!="CONFORME","CONFORME","NO CONFORME")</f>
        <v>#REF!</v>
      </c>
      <c r="I584" s="68" t="e">
        <f t="shared" si="9"/>
        <v>#REF!</v>
      </c>
    </row>
    <row r="585" spans="1:9" x14ac:dyDescent="0.25">
      <c r="A585" s="61" t="e">
        <f>'ERROR FINAL'!#REF!</f>
        <v>#REF!</v>
      </c>
      <c r="B585" s="62" t="e">
        <f>'ERROR FINAL'!#REF!</f>
        <v>#REF!</v>
      </c>
      <c r="C585" s="63" t="e">
        <f>'ERROR FINAL'!#REF!</f>
        <v>#REF!</v>
      </c>
      <c r="D585" s="64" t="e">
        <f>'ERROR FINAL'!#REF!</f>
        <v>#REF!</v>
      </c>
      <c r="E585" s="65" t="e">
        <f>'ERROR FINAL'!#REF!</f>
        <v>#REF!</v>
      </c>
      <c r="F585" s="66" t="e">
        <f>'ERROR FINAL'!#REF!</f>
        <v>#REF!</v>
      </c>
      <c r="G585" s="66" t="e">
        <f>'ERROR FINAL'!#REF!</f>
        <v>#REF!</v>
      </c>
      <c r="H585" s="67" t="e">
        <f>IF('ERROR FINAL'!#REF!="CONFORME","CONFORME","NO CONFORME")</f>
        <v>#REF!</v>
      </c>
      <c r="I585" s="68" t="e">
        <f t="shared" si="9"/>
        <v>#REF!</v>
      </c>
    </row>
    <row r="586" spans="1:9" x14ac:dyDescent="0.25">
      <c r="A586" s="61" t="e">
        <f>'ERROR FINAL'!#REF!</f>
        <v>#REF!</v>
      </c>
      <c r="B586" s="62" t="e">
        <f>'ERROR FINAL'!#REF!</f>
        <v>#REF!</v>
      </c>
      <c r="C586" s="63" t="e">
        <f>'ERROR FINAL'!#REF!</f>
        <v>#REF!</v>
      </c>
      <c r="D586" s="64" t="e">
        <f>'ERROR FINAL'!#REF!</f>
        <v>#REF!</v>
      </c>
      <c r="E586" s="65" t="e">
        <f>'ERROR FINAL'!#REF!</f>
        <v>#REF!</v>
      </c>
      <c r="F586" s="66" t="e">
        <f>'ERROR FINAL'!#REF!</f>
        <v>#REF!</v>
      </c>
      <c r="G586" s="66" t="e">
        <f>'ERROR FINAL'!#REF!</f>
        <v>#REF!</v>
      </c>
      <c r="H586" s="67" t="e">
        <f>IF('ERROR FINAL'!#REF!="CONFORME","CONFORME","NO CONFORME")</f>
        <v>#REF!</v>
      </c>
      <c r="I586" s="68" t="e">
        <f t="shared" si="9"/>
        <v>#REF!</v>
      </c>
    </row>
    <row r="587" spans="1:9" x14ac:dyDescent="0.25">
      <c r="A587" s="61" t="e">
        <f>'ERROR FINAL'!#REF!</f>
        <v>#REF!</v>
      </c>
      <c r="B587" s="62" t="e">
        <f>'ERROR FINAL'!#REF!</f>
        <v>#REF!</v>
      </c>
      <c r="C587" s="63" t="e">
        <f>'ERROR FINAL'!#REF!</f>
        <v>#REF!</v>
      </c>
      <c r="D587" s="64" t="e">
        <f>'ERROR FINAL'!#REF!</f>
        <v>#REF!</v>
      </c>
      <c r="E587" s="65" t="e">
        <f>'ERROR FINAL'!#REF!</f>
        <v>#REF!</v>
      </c>
      <c r="F587" s="66" t="e">
        <f>'ERROR FINAL'!#REF!</f>
        <v>#REF!</v>
      </c>
      <c r="G587" s="66" t="e">
        <f>'ERROR FINAL'!#REF!</f>
        <v>#REF!</v>
      </c>
      <c r="H587" s="67" t="e">
        <f>IF('ERROR FINAL'!#REF!="CONFORME","CONFORME","NO CONFORME")</f>
        <v>#REF!</v>
      </c>
      <c r="I587" s="68" t="e">
        <f t="shared" si="9"/>
        <v>#REF!</v>
      </c>
    </row>
    <row r="588" spans="1:9" x14ac:dyDescent="0.25">
      <c r="A588" s="61" t="e">
        <f>'ERROR FINAL'!#REF!</f>
        <v>#REF!</v>
      </c>
      <c r="B588" s="62" t="e">
        <f>'ERROR FINAL'!#REF!</f>
        <v>#REF!</v>
      </c>
      <c r="C588" s="63" t="e">
        <f>'ERROR FINAL'!#REF!</f>
        <v>#REF!</v>
      </c>
      <c r="D588" s="64" t="e">
        <f>'ERROR FINAL'!#REF!</f>
        <v>#REF!</v>
      </c>
      <c r="E588" s="65" t="e">
        <f>'ERROR FINAL'!#REF!</f>
        <v>#REF!</v>
      </c>
      <c r="F588" s="66" t="e">
        <f>'ERROR FINAL'!#REF!</f>
        <v>#REF!</v>
      </c>
      <c r="G588" s="66" t="e">
        <f>'ERROR FINAL'!#REF!</f>
        <v>#REF!</v>
      </c>
      <c r="H588" s="67" t="e">
        <f>IF('ERROR FINAL'!#REF!="CONFORME","CONFORME","NO CONFORME")</f>
        <v>#REF!</v>
      </c>
      <c r="I588" s="68" t="e">
        <f t="shared" si="9"/>
        <v>#REF!</v>
      </c>
    </row>
    <row r="589" spans="1:9" x14ac:dyDescent="0.25">
      <c r="A589" s="61" t="e">
        <f>'ERROR FINAL'!#REF!</f>
        <v>#REF!</v>
      </c>
      <c r="B589" s="62" t="e">
        <f>'ERROR FINAL'!#REF!</f>
        <v>#REF!</v>
      </c>
      <c r="C589" s="63" t="e">
        <f>'ERROR FINAL'!#REF!</f>
        <v>#REF!</v>
      </c>
      <c r="D589" s="64" t="e">
        <f>'ERROR FINAL'!#REF!</f>
        <v>#REF!</v>
      </c>
      <c r="E589" s="65" t="e">
        <f>'ERROR FINAL'!#REF!</f>
        <v>#REF!</v>
      </c>
      <c r="F589" s="66" t="e">
        <f>'ERROR FINAL'!#REF!</f>
        <v>#REF!</v>
      </c>
      <c r="G589" s="66" t="e">
        <f>'ERROR FINAL'!#REF!</f>
        <v>#REF!</v>
      </c>
      <c r="H589" s="67" t="e">
        <f>IF('ERROR FINAL'!#REF!="CONFORME","CONFORME","NO CONFORME")</f>
        <v>#REF!</v>
      </c>
      <c r="I589" s="68" t="e">
        <f t="shared" si="9"/>
        <v>#REF!</v>
      </c>
    </row>
    <row r="590" spans="1:9" x14ac:dyDescent="0.25">
      <c r="A590" s="61" t="e">
        <f>'ERROR FINAL'!#REF!</f>
        <v>#REF!</v>
      </c>
      <c r="B590" s="62" t="e">
        <f>'ERROR FINAL'!#REF!</f>
        <v>#REF!</v>
      </c>
      <c r="C590" s="63" t="e">
        <f>'ERROR FINAL'!#REF!</f>
        <v>#REF!</v>
      </c>
      <c r="D590" s="64" t="e">
        <f>'ERROR FINAL'!#REF!</f>
        <v>#REF!</v>
      </c>
      <c r="E590" s="65" t="e">
        <f>'ERROR FINAL'!#REF!</f>
        <v>#REF!</v>
      </c>
      <c r="F590" s="66" t="e">
        <f>'ERROR FINAL'!#REF!</f>
        <v>#REF!</v>
      </c>
      <c r="G590" s="66" t="e">
        <f>'ERROR FINAL'!#REF!</f>
        <v>#REF!</v>
      </c>
      <c r="H590" s="67" t="e">
        <f>IF('ERROR FINAL'!#REF!="CONFORME","CONFORME","NO CONFORME")</f>
        <v>#REF!</v>
      </c>
      <c r="I590" s="68" t="e">
        <f t="shared" si="9"/>
        <v>#REF!</v>
      </c>
    </row>
    <row r="591" spans="1:9" x14ac:dyDescent="0.25">
      <c r="A591" s="61" t="e">
        <f>'ERROR FINAL'!#REF!</f>
        <v>#REF!</v>
      </c>
      <c r="B591" s="62" t="e">
        <f>'ERROR FINAL'!#REF!</f>
        <v>#REF!</v>
      </c>
      <c r="C591" s="63" t="e">
        <f>'ERROR FINAL'!#REF!</f>
        <v>#REF!</v>
      </c>
      <c r="D591" s="64" t="e">
        <f>'ERROR FINAL'!#REF!</f>
        <v>#REF!</v>
      </c>
      <c r="E591" s="65" t="e">
        <f>'ERROR FINAL'!#REF!</f>
        <v>#REF!</v>
      </c>
      <c r="F591" s="66" t="e">
        <f>'ERROR FINAL'!#REF!</f>
        <v>#REF!</v>
      </c>
      <c r="G591" s="66" t="e">
        <f>'ERROR FINAL'!#REF!</f>
        <v>#REF!</v>
      </c>
      <c r="H591" s="67" t="e">
        <f>IF('ERROR FINAL'!#REF!="CONFORME","CONFORME","NO CONFORME")</f>
        <v>#REF!</v>
      </c>
      <c r="I591" s="68" t="e">
        <f t="shared" si="9"/>
        <v>#REF!</v>
      </c>
    </row>
    <row r="592" spans="1:9" x14ac:dyDescent="0.25">
      <c r="A592" s="61" t="e">
        <f>'ERROR FINAL'!#REF!</f>
        <v>#REF!</v>
      </c>
      <c r="B592" s="62" t="e">
        <f>'ERROR FINAL'!#REF!</f>
        <v>#REF!</v>
      </c>
      <c r="C592" s="63" t="e">
        <f>'ERROR FINAL'!#REF!</f>
        <v>#REF!</v>
      </c>
      <c r="D592" s="64" t="e">
        <f>'ERROR FINAL'!#REF!</f>
        <v>#REF!</v>
      </c>
      <c r="E592" s="65" t="e">
        <f>'ERROR FINAL'!#REF!</f>
        <v>#REF!</v>
      </c>
      <c r="F592" s="66" t="e">
        <f>'ERROR FINAL'!#REF!</f>
        <v>#REF!</v>
      </c>
      <c r="G592" s="66" t="e">
        <f>'ERROR FINAL'!#REF!</f>
        <v>#REF!</v>
      </c>
      <c r="H592" s="67" t="e">
        <f>IF('ERROR FINAL'!#REF!="CONFORME","CONFORME","NO CONFORME")</f>
        <v>#REF!</v>
      </c>
      <c r="I592" s="68" t="e">
        <f t="shared" si="9"/>
        <v>#REF!</v>
      </c>
    </row>
    <row r="593" spans="1:9" x14ac:dyDescent="0.25">
      <c r="A593" s="61" t="e">
        <f>'ERROR FINAL'!#REF!</f>
        <v>#REF!</v>
      </c>
      <c r="B593" s="62" t="e">
        <f>'ERROR FINAL'!#REF!</f>
        <v>#REF!</v>
      </c>
      <c r="C593" s="63" t="e">
        <f>'ERROR FINAL'!#REF!</f>
        <v>#REF!</v>
      </c>
      <c r="D593" s="64" t="e">
        <f>'ERROR FINAL'!#REF!</f>
        <v>#REF!</v>
      </c>
      <c r="E593" s="65" t="e">
        <f>'ERROR FINAL'!#REF!</f>
        <v>#REF!</v>
      </c>
      <c r="F593" s="66" t="e">
        <f>'ERROR FINAL'!#REF!</f>
        <v>#REF!</v>
      </c>
      <c r="G593" s="66" t="e">
        <f>'ERROR FINAL'!#REF!</f>
        <v>#REF!</v>
      </c>
      <c r="H593" s="67" t="e">
        <f>IF('ERROR FINAL'!#REF!="CONFORME","CONFORME","NO CONFORME")</f>
        <v>#REF!</v>
      </c>
      <c r="I593" s="68" t="e">
        <f t="shared" si="9"/>
        <v>#REF!</v>
      </c>
    </row>
    <row r="594" spans="1:9" x14ac:dyDescent="0.25">
      <c r="A594" s="61" t="e">
        <f>'ERROR FINAL'!#REF!</f>
        <v>#REF!</v>
      </c>
      <c r="B594" s="62" t="e">
        <f>'ERROR FINAL'!#REF!</f>
        <v>#REF!</v>
      </c>
      <c r="C594" s="63" t="e">
        <f>'ERROR FINAL'!#REF!</f>
        <v>#REF!</v>
      </c>
      <c r="D594" s="64" t="e">
        <f>'ERROR FINAL'!#REF!</f>
        <v>#REF!</v>
      </c>
      <c r="E594" s="65" t="e">
        <f>'ERROR FINAL'!#REF!</f>
        <v>#REF!</v>
      </c>
      <c r="F594" s="66" t="e">
        <f>'ERROR FINAL'!#REF!</f>
        <v>#REF!</v>
      </c>
      <c r="G594" s="66" t="e">
        <f>'ERROR FINAL'!#REF!</f>
        <v>#REF!</v>
      </c>
      <c r="H594" s="67" t="e">
        <f>IF('ERROR FINAL'!#REF!="CONFORME","CONFORME","NO CONFORME")</f>
        <v>#REF!</v>
      </c>
      <c r="I594" s="68" t="e">
        <f t="shared" si="9"/>
        <v>#REF!</v>
      </c>
    </row>
    <row r="595" spans="1:9" x14ac:dyDescent="0.25">
      <c r="A595" s="61" t="e">
        <f>'ERROR FINAL'!#REF!</f>
        <v>#REF!</v>
      </c>
      <c r="B595" s="62" t="e">
        <f>'ERROR FINAL'!#REF!</f>
        <v>#REF!</v>
      </c>
      <c r="C595" s="63" t="e">
        <f>'ERROR FINAL'!#REF!</f>
        <v>#REF!</v>
      </c>
      <c r="D595" s="64" t="e">
        <f>'ERROR FINAL'!#REF!</f>
        <v>#REF!</v>
      </c>
      <c r="E595" s="65" t="e">
        <f>'ERROR FINAL'!#REF!</f>
        <v>#REF!</v>
      </c>
      <c r="F595" s="66" t="e">
        <f>'ERROR FINAL'!#REF!</f>
        <v>#REF!</v>
      </c>
      <c r="G595" s="66" t="e">
        <f>'ERROR FINAL'!#REF!</f>
        <v>#REF!</v>
      </c>
      <c r="H595" s="67" t="e">
        <f>IF('ERROR FINAL'!#REF!="CONFORME","CONFORME","NO CONFORME")</f>
        <v>#REF!</v>
      </c>
      <c r="I595" s="68" t="e">
        <f t="shared" si="9"/>
        <v>#REF!</v>
      </c>
    </row>
    <row r="596" spans="1:9" x14ac:dyDescent="0.25">
      <c r="A596" s="61" t="e">
        <f>'ERROR FINAL'!#REF!</f>
        <v>#REF!</v>
      </c>
      <c r="B596" s="62" t="e">
        <f>'ERROR FINAL'!#REF!</f>
        <v>#REF!</v>
      </c>
      <c r="C596" s="63" t="e">
        <f>'ERROR FINAL'!#REF!</f>
        <v>#REF!</v>
      </c>
      <c r="D596" s="64" t="e">
        <f>'ERROR FINAL'!#REF!</f>
        <v>#REF!</v>
      </c>
      <c r="E596" s="65" t="e">
        <f>'ERROR FINAL'!#REF!</f>
        <v>#REF!</v>
      </c>
      <c r="F596" s="66" t="e">
        <f>'ERROR FINAL'!#REF!</f>
        <v>#REF!</v>
      </c>
      <c r="G596" s="66" t="e">
        <f>'ERROR FINAL'!#REF!</f>
        <v>#REF!</v>
      </c>
      <c r="H596" s="67" t="e">
        <f>IF('ERROR FINAL'!#REF!="CONFORME","CONFORME","NO CONFORME")</f>
        <v>#REF!</v>
      </c>
      <c r="I596" s="68" t="e">
        <f t="shared" si="9"/>
        <v>#REF!</v>
      </c>
    </row>
    <row r="597" spans="1:9" x14ac:dyDescent="0.25">
      <c r="A597" s="61" t="e">
        <f>'ERROR FINAL'!#REF!</f>
        <v>#REF!</v>
      </c>
      <c r="B597" s="62" t="e">
        <f>'ERROR FINAL'!#REF!</f>
        <v>#REF!</v>
      </c>
      <c r="C597" s="63" t="e">
        <f>'ERROR FINAL'!#REF!</f>
        <v>#REF!</v>
      </c>
      <c r="D597" s="64" t="e">
        <f>'ERROR FINAL'!#REF!</f>
        <v>#REF!</v>
      </c>
      <c r="E597" s="65" t="e">
        <f>'ERROR FINAL'!#REF!</f>
        <v>#REF!</v>
      </c>
      <c r="F597" s="66" t="e">
        <f>'ERROR FINAL'!#REF!</f>
        <v>#REF!</v>
      </c>
      <c r="G597" s="66" t="e">
        <f>'ERROR FINAL'!#REF!</f>
        <v>#REF!</v>
      </c>
      <c r="H597" s="67" t="e">
        <f>IF('ERROR FINAL'!#REF!="CONFORME","CONFORME","NO CONFORME")</f>
        <v>#REF!</v>
      </c>
      <c r="I597" s="68" t="e">
        <f t="shared" si="9"/>
        <v>#REF!</v>
      </c>
    </row>
    <row r="598" spans="1:9" x14ac:dyDescent="0.25">
      <c r="A598" s="61" t="e">
        <f>'ERROR FINAL'!#REF!</f>
        <v>#REF!</v>
      </c>
      <c r="B598" s="62" t="e">
        <f>'ERROR FINAL'!#REF!</f>
        <v>#REF!</v>
      </c>
      <c r="C598" s="63" t="e">
        <f>'ERROR FINAL'!#REF!</f>
        <v>#REF!</v>
      </c>
      <c r="D598" s="64" t="e">
        <f>'ERROR FINAL'!#REF!</f>
        <v>#REF!</v>
      </c>
      <c r="E598" s="65" t="e">
        <f>'ERROR FINAL'!#REF!</f>
        <v>#REF!</v>
      </c>
      <c r="F598" s="66" t="e">
        <f>'ERROR FINAL'!#REF!</f>
        <v>#REF!</v>
      </c>
      <c r="G598" s="66" t="e">
        <f>'ERROR FINAL'!#REF!</f>
        <v>#REF!</v>
      </c>
      <c r="H598" s="67" t="e">
        <f>IF('ERROR FINAL'!#REF!="CONFORME","CONFORME","NO CONFORME")</f>
        <v>#REF!</v>
      </c>
      <c r="I598" s="68" t="e">
        <f t="shared" si="9"/>
        <v>#REF!</v>
      </c>
    </row>
    <row r="599" spans="1:9" x14ac:dyDescent="0.25">
      <c r="A599" s="61" t="e">
        <f>'ERROR FINAL'!#REF!</f>
        <v>#REF!</v>
      </c>
      <c r="B599" s="62" t="e">
        <f>'ERROR FINAL'!#REF!</f>
        <v>#REF!</v>
      </c>
      <c r="C599" s="63" t="e">
        <f>'ERROR FINAL'!#REF!</f>
        <v>#REF!</v>
      </c>
      <c r="D599" s="64" t="e">
        <f>'ERROR FINAL'!#REF!</f>
        <v>#REF!</v>
      </c>
      <c r="E599" s="65" t="e">
        <f>'ERROR FINAL'!#REF!</f>
        <v>#REF!</v>
      </c>
      <c r="F599" s="66" t="e">
        <f>'ERROR FINAL'!#REF!</f>
        <v>#REF!</v>
      </c>
      <c r="G599" s="66" t="e">
        <f>'ERROR FINAL'!#REF!</f>
        <v>#REF!</v>
      </c>
      <c r="H599" s="67" t="e">
        <f>IF('ERROR FINAL'!#REF!="CONFORME","CONFORME","NO CONFORME")</f>
        <v>#REF!</v>
      </c>
      <c r="I599" s="68" t="e">
        <f t="shared" si="9"/>
        <v>#REF!</v>
      </c>
    </row>
    <row r="600" spans="1:9" x14ac:dyDescent="0.25">
      <c r="A600" s="61" t="e">
        <f>'ERROR FINAL'!#REF!</f>
        <v>#REF!</v>
      </c>
      <c r="B600" s="62" t="e">
        <f>'ERROR FINAL'!#REF!</f>
        <v>#REF!</v>
      </c>
      <c r="C600" s="63" t="e">
        <f>'ERROR FINAL'!#REF!</f>
        <v>#REF!</v>
      </c>
      <c r="D600" s="64" t="e">
        <f>'ERROR FINAL'!#REF!</f>
        <v>#REF!</v>
      </c>
      <c r="E600" s="65" t="e">
        <f>'ERROR FINAL'!#REF!</f>
        <v>#REF!</v>
      </c>
      <c r="F600" s="66" t="e">
        <f>'ERROR FINAL'!#REF!</f>
        <v>#REF!</v>
      </c>
      <c r="G600" s="66" t="e">
        <f>'ERROR FINAL'!#REF!</f>
        <v>#REF!</v>
      </c>
      <c r="H600" s="67" t="e">
        <f>IF('ERROR FINAL'!#REF!="CONFORME","CONFORME","NO CONFORME")</f>
        <v>#REF!</v>
      </c>
      <c r="I600" s="68" t="e">
        <f t="shared" si="9"/>
        <v>#REF!</v>
      </c>
    </row>
    <row r="601" spans="1:9" x14ac:dyDescent="0.25">
      <c r="A601" s="61" t="e">
        <f>'ERROR FINAL'!#REF!</f>
        <v>#REF!</v>
      </c>
      <c r="B601" s="62" t="e">
        <f>'ERROR FINAL'!#REF!</f>
        <v>#REF!</v>
      </c>
      <c r="C601" s="63" t="e">
        <f>'ERROR FINAL'!#REF!</f>
        <v>#REF!</v>
      </c>
      <c r="D601" s="64" t="e">
        <f>'ERROR FINAL'!#REF!</f>
        <v>#REF!</v>
      </c>
      <c r="E601" s="65" t="e">
        <f>'ERROR FINAL'!#REF!</f>
        <v>#REF!</v>
      </c>
      <c r="F601" s="66" t="e">
        <f>'ERROR FINAL'!#REF!</f>
        <v>#REF!</v>
      </c>
      <c r="G601" s="66" t="e">
        <f>'ERROR FINAL'!#REF!</f>
        <v>#REF!</v>
      </c>
      <c r="H601" s="67" t="e">
        <f>IF('ERROR FINAL'!#REF!="CONFORME","CONFORME","NO CONFORME")</f>
        <v>#REF!</v>
      </c>
      <c r="I601" s="68" t="e">
        <f t="shared" si="9"/>
        <v>#REF!</v>
      </c>
    </row>
    <row r="602" spans="1:9" x14ac:dyDescent="0.25">
      <c r="A602" s="61" t="e">
        <f>'ERROR FINAL'!#REF!</f>
        <v>#REF!</v>
      </c>
      <c r="B602" s="62" t="e">
        <f>'ERROR FINAL'!#REF!</f>
        <v>#REF!</v>
      </c>
      <c r="C602" s="63" t="e">
        <f>'ERROR FINAL'!#REF!</f>
        <v>#REF!</v>
      </c>
      <c r="D602" s="64" t="e">
        <f>'ERROR FINAL'!#REF!</f>
        <v>#REF!</v>
      </c>
      <c r="E602" s="65" t="e">
        <f>'ERROR FINAL'!#REF!</f>
        <v>#REF!</v>
      </c>
      <c r="F602" s="66" t="e">
        <f>'ERROR FINAL'!#REF!</f>
        <v>#REF!</v>
      </c>
      <c r="G602" s="66" t="e">
        <f>'ERROR FINAL'!#REF!</f>
        <v>#REF!</v>
      </c>
      <c r="H602" s="67" t="e">
        <f>IF('ERROR FINAL'!#REF!="CONFORME","CONFORME","NO CONFORME")</f>
        <v>#REF!</v>
      </c>
      <c r="I602" s="68" t="e">
        <f t="shared" si="9"/>
        <v>#REF!</v>
      </c>
    </row>
    <row r="603" spans="1:9" x14ac:dyDescent="0.25">
      <c r="A603" s="61" t="e">
        <f>'ERROR FINAL'!#REF!</f>
        <v>#REF!</v>
      </c>
      <c r="B603" s="62" t="e">
        <f>'ERROR FINAL'!#REF!</f>
        <v>#REF!</v>
      </c>
      <c r="C603" s="63" t="e">
        <f>'ERROR FINAL'!#REF!</f>
        <v>#REF!</v>
      </c>
      <c r="D603" s="64" t="e">
        <f>'ERROR FINAL'!#REF!</f>
        <v>#REF!</v>
      </c>
      <c r="E603" s="65" t="e">
        <f>'ERROR FINAL'!#REF!</f>
        <v>#REF!</v>
      </c>
      <c r="F603" s="66" t="e">
        <f>'ERROR FINAL'!#REF!</f>
        <v>#REF!</v>
      </c>
      <c r="G603" s="66" t="e">
        <f>'ERROR FINAL'!#REF!</f>
        <v>#REF!</v>
      </c>
      <c r="H603" s="67" t="e">
        <f>IF('ERROR FINAL'!#REF!="CONFORME","CONFORME","NO CONFORME")</f>
        <v>#REF!</v>
      </c>
      <c r="I603" s="68" t="e">
        <f t="shared" si="9"/>
        <v>#REF!</v>
      </c>
    </row>
    <row r="604" spans="1:9" x14ac:dyDescent="0.25">
      <c r="A604" s="61" t="e">
        <f>'ERROR FINAL'!#REF!</f>
        <v>#REF!</v>
      </c>
      <c r="B604" s="62" t="e">
        <f>'ERROR FINAL'!#REF!</f>
        <v>#REF!</v>
      </c>
      <c r="C604" s="63" t="e">
        <f>'ERROR FINAL'!#REF!</f>
        <v>#REF!</v>
      </c>
      <c r="D604" s="64" t="e">
        <f>'ERROR FINAL'!#REF!</f>
        <v>#REF!</v>
      </c>
      <c r="E604" s="65" t="e">
        <f>'ERROR FINAL'!#REF!</f>
        <v>#REF!</v>
      </c>
      <c r="F604" s="66" t="e">
        <f>'ERROR FINAL'!#REF!</f>
        <v>#REF!</v>
      </c>
      <c r="G604" s="66" t="e">
        <f>'ERROR FINAL'!#REF!</f>
        <v>#REF!</v>
      </c>
      <c r="H604" s="67" t="e">
        <f>IF('ERROR FINAL'!#REF!="CONFORME","CONFORME","NO CONFORME")</f>
        <v>#REF!</v>
      </c>
      <c r="I604" s="68" t="e">
        <f t="shared" si="9"/>
        <v>#REF!</v>
      </c>
    </row>
    <row r="605" spans="1:9" x14ac:dyDescent="0.25">
      <c r="A605" s="61" t="e">
        <f>'ERROR FINAL'!#REF!</f>
        <v>#REF!</v>
      </c>
      <c r="B605" s="62" t="e">
        <f>'ERROR FINAL'!#REF!</f>
        <v>#REF!</v>
      </c>
      <c r="C605" s="63" t="e">
        <f>'ERROR FINAL'!#REF!</f>
        <v>#REF!</v>
      </c>
      <c r="D605" s="64" t="e">
        <f>'ERROR FINAL'!#REF!</f>
        <v>#REF!</v>
      </c>
      <c r="E605" s="65" t="e">
        <f>'ERROR FINAL'!#REF!</f>
        <v>#REF!</v>
      </c>
      <c r="F605" s="66" t="e">
        <f>'ERROR FINAL'!#REF!</f>
        <v>#REF!</v>
      </c>
      <c r="G605" s="66" t="e">
        <f>'ERROR FINAL'!#REF!</f>
        <v>#REF!</v>
      </c>
      <c r="H605" s="67" t="e">
        <f>IF('ERROR FINAL'!#REF!="CONFORME","CONFORME","NO CONFORME")</f>
        <v>#REF!</v>
      </c>
      <c r="I605" s="68" t="e">
        <f t="shared" si="9"/>
        <v>#REF!</v>
      </c>
    </row>
    <row r="606" spans="1:9" x14ac:dyDescent="0.25">
      <c r="A606" s="61" t="e">
        <f>'ERROR FINAL'!#REF!</f>
        <v>#REF!</v>
      </c>
      <c r="B606" s="62" t="e">
        <f>'ERROR FINAL'!#REF!</f>
        <v>#REF!</v>
      </c>
      <c r="C606" s="63" t="e">
        <f>'ERROR FINAL'!#REF!</f>
        <v>#REF!</v>
      </c>
      <c r="D606" s="64" t="e">
        <f>'ERROR FINAL'!#REF!</f>
        <v>#REF!</v>
      </c>
      <c r="E606" s="65" t="e">
        <f>'ERROR FINAL'!#REF!</f>
        <v>#REF!</v>
      </c>
      <c r="F606" s="66" t="e">
        <f>'ERROR FINAL'!#REF!</f>
        <v>#REF!</v>
      </c>
      <c r="G606" s="66" t="e">
        <f>'ERROR FINAL'!#REF!</f>
        <v>#REF!</v>
      </c>
      <c r="H606" s="67" t="e">
        <f>IF('ERROR FINAL'!#REF!="CONFORME","CONFORME","NO CONFORME")</f>
        <v>#REF!</v>
      </c>
      <c r="I606" s="68" t="e">
        <f t="shared" si="9"/>
        <v>#REF!</v>
      </c>
    </row>
    <row r="607" spans="1:9" x14ac:dyDescent="0.25">
      <c r="A607" s="61" t="e">
        <f>'ERROR FINAL'!#REF!</f>
        <v>#REF!</v>
      </c>
      <c r="B607" s="62" t="e">
        <f>'ERROR FINAL'!#REF!</f>
        <v>#REF!</v>
      </c>
      <c r="C607" s="63" t="e">
        <f>'ERROR FINAL'!#REF!</f>
        <v>#REF!</v>
      </c>
      <c r="D607" s="64" t="e">
        <f>'ERROR FINAL'!#REF!</f>
        <v>#REF!</v>
      </c>
      <c r="E607" s="65" t="e">
        <f>'ERROR FINAL'!#REF!</f>
        <v>#REF!</v>
      </c>
      <c r="F607" s="66" t="e">
        <f>'ERROR FINAL'!#REF!</f>
        <v>#REF!</v>
      </c>
      <c r="G607" s="66" t="e">
        <f>'ERROR FINAL'!#REF!</f>
        <v>#REF!</v>
      </c>
      <c r="H607" s="67" t="e">
        <f>IF('ERROR FINAL'!#REF!="CONFORME","CONFORME","NO CONFORME")</f>
        <v>#REF!</v>
      </c>
      <c r="I607" s="68" t="e">
        <f t="shared" si="9"/>
        <v>#REF!</v>
      </c>
    </row>
    <row r="608" spans="1:9" x14ac:dyDescent="0.25">
      <c r="A608" s="61" t="e">
        <f>'ERROR FINAL'!#REF!</f>
        <v>#REF!</v>
      </c>
      <c r="B608" s="62" t="e">
        <f>'ERROR FINAL'!#REF!</f>
        <v>#REF!</v>
      </c>
      <c r="C608" s="63" t="e">
        <f>'ERROR FINAL'!#REF!</f>
        <v>#REF!</v>
      </c>
      <c r="D608" s="64" t="e">
        <f>'ERROR FINAL'!#REF!</f>
        <v>#REF!</v>
      </c>
      <c r="E608" s="65" t="e">
        <f>'ERROR FINAL'!#REF!</f>
        <v>#REF!</v>
      </c>
      <c r="F608" s="66" t="e">
        <f>'ERROR FINAL'!#REF!</f>
        <v>#REF!</v>
      </c>
      <c r="G608" s="66" t="e">
        <f>'ERROR FINAL'!#REF!</f>
        <v>#REF!</v>
      </c>
      <c r="H608" s="67" t="e">
        <f>IF('ERROR FINAL'!#REF!="CONFORME","CONFORME","NO CONFORME")</f>
        <v>#REF!</v>
      </c>
      <c r="I608" s="68" t="e">
        <f t="shared" si="9"/>
        <v>#REF!</v>
      </c>
    </row>
    <row r="609" spans="1:9" x14ac:dyDescent="0.25">
      <c r="A609" s="61" t="e">
        <f>'ERROR FINAL'!#REF!</f>
        <v>#REF!</v>
      </c>
      <c r="B609" s="62" t="e">
        <f>'ERROR FINAL'!#REF!</f>
        <v>#REF!</v>
      </c>
      <c r="C609" s="63" t="e">
        <f>'ERROR FINAL'!#REF!</f>
        <v>#REF!</v>
      </c>
      <c r="D609" s="64" t="e">
        <f>'ERROR FINAL'!#REF!</f>
        <v>#REF!</v>
      </c>
      <c r="E609" s="65" t="e">
        <f>'ERROR FINAL'!#REF!</f>
        <v>#REF!</v>
      </c>
      <c r="F609" s="66" t="e">
        <f>'ERROR FINAL'!#REF!</f>
        <v>#REF!</v>
      </c>
      <c r="G609" s="66" t="e">
        <f>'ERROR FINAL'!#REF!</f>
        <v>#REF!</v>
      </c>
      <c r="H609" s="67" t="e">
        <f>IF('ERROR FINAL'!#REF!="CONFORME","CONFORME","NO CONFORME")</f>
        <v>#REF!</v>
      </c>
      <c r="I609" s="68" t="e">
        <f t="shared" si="9"/>
        <v>#REF!</v>
      </c>
    </row>
    <row r="610" spans="1:9" x14ac:dyDescent="0.25">
      <c r="A610" s="61" t="e">
        <f>'ERROR FINAL'!#REF!</f>
        <v>#REF!</v>
      </c>
      <c r="B610" s="62" t="e">
        <f>'ERROR FINAL'!#REF!</f>
        <v>#REF!</v>
      </c>
      <c r="C610" s="63" t="e">
        <f>'ERROR FINAL'!#REF!</f>
        <v>#REF!</v>
      </c>
      <c r="D610" s="64" t="e">
        <f>'ERROR FINAL'!#REF!</f>
        <v>#REF!</v>
      </c>
      <c r="E610" s="65" t="e">
        <f>'ERROR FINAL'!#REF!</f>
        <v>#REF!</v>
      </c>
      <c r="F610" s="66" t="e">
        <f>'ERROR FINAL'!#REF!</f>
        <v>#REF!</v>
      </c>
      <c r="G610" s="66" t="e">
        <f>'ERROR FINAL'!#REF!</f>
        <v>#REF!</v>
      </c>
      <c r="H610" s="67" t="e">
        <f>IF('ERROR FINAL'!#REF!="CONFORME","CONFORME","NO CONFORME")</f>
        <v>#REF!</v>
      </c>
      <c r="I610" s="68" t="e">
        <f t="shared" si="9"/>
        <v>#REF!</v>
      </c>
    </row>
    <row r="611" spans="1:9" x14ac:dyDescent="0.25">
      <c r="A611" s="61" t="e">
        <f>'ERROR FINAL'!#REF!</f>
        <v>#REF!</v>
      </c>
      <c r="B611" s="62" t="e">
        <f>'ERROR FINAL'!#REF!</f>
        <v>#REF!</v>
      </c>
      <c r="C611" s="63" t="e">
        <f>'ERROR FINAL'!#REF!</f>
        <v>#REF!</v>
      </c>
      <c r="D611" s="64" t="e">
        <f>'ERROR FINAL'!#REF!</f>
        <v>#REF!</v>
      </c>
      <c r="E611" s="65" t="e">
        <f>'ERROR FINAL'!#REF!</f>
        <v>#REF!</v>
      </c>
      <c r="F611" s="66" t="e">
        <f>'ERROR FINAL'!#REF!</f>
        <v>#REF!</v>
      </c>
      <c r="G611" s="66" t="e">
        <f>'ERROR FINAL'!#REF!</f>
        <v>#REF!</v>
      </c>
      <c r="H611" s="67" t="e">
        <f>IF('ERROR FINAL'!#REF!="CONFORME","CONFORME","NO CONFORME")</f>
        <v>#REF!</v>
      </c>
      <c r="I611" s="68" t="e">
        <f t="shared" si="9"/>
        <v>#REF!</v>
      </c>
    </row>
    <row r="612" spans="1:9" x14ac:dyDescent="0.25">
      <c r="A612" s="61" t="e">
        <f>'ERROR FINAL'!#REF!</f>
        <v>#REF!</v>
      </c>
      <c r="B612" s="62" t="e">
        <f>'ERROR FINAL'!#REF!</f>
        <v>#REF!</v>
      </c>
      <c r="C612" s="63" t="e">
        <f>'ERROR FINAL'!#REF!</f>
        <v>#REF!</v>
      </c>
      <c r="D612" s="64" t="e">
        <f>'ERROR FINAL'!#REF!</f>
        <v>#REF!</v>
      </c>
      <c r="E612" s="65" t="e">
        <f>'ERROR FINAL'!#REF!</f>
        <v>#REF!</v>
      </c>
      <c r="F612" s="66" t="e">
        <f>'ERROR FINAL'!#REF!</f>
        <v>#REF!</v>
      </c>
      <c r="G612" s="66" t="e">
        <f>'ERROR FINAL'!#REF!</f>
        <v>#REF!</v>
      </c>
      <c r="H612" s="67" t="e">
        <f>IF('ERROR FINAL'!#REF!="CONFORME","CONFORME","NO CONFORME")</f>
        <v>#REF!</v>
      </c>
      <c r="I612" s="68" t="e">
        <f t="shared" si="9"/>
        <v>#REF!</v>
      </c>
    </row>
    <row r="613" spans="1:9" x14ac:dyDescent="0.25">
      <c r="A613" s="61" t="e">
        <f>'ERROR FINAL'!#REF!</f>
        <v>#REF!</v>
      </c>
      <c r="B613" s="62" t="e">
        <f>'ERROR FINAL'!#REF!</f>
        <v>#REF!</v>
      </c>
      <c r="C613" s="63" t="e">
        <f>'ERROR FINAL'!#REF!</f>
        <v>#REF!</v>
      </c>
      <c r="D613" s="64" t="e">
        <f>'ERROR FINAL'!#REF!</f>
        <v>#REF!</v>
      </c>
      <c r="E613" s="65" t="e">
        <f>'ERROR FINAL'!#REF!</f>
        <v>#REF!</v>
      </c>
      <c r="F613" s="66" t="e">
        <f>'ERROR FINAL'!#REF!</f>
        <v>#REF!</v>
      </c>
      <c r="G613" s="66" t="e">
        <f>'ERROR FINAL'!#REF!</f>
        <v>#REF!</v>
      </c>
      <c r="H613" s="67" t="e">
        <f>IF('ERROR FINAL'!#REF!="CONFORME","CONFORME","NO CONFORME")</f>
        <v>#REF!</v>
      </c>
      <c r="I613" s="68" t="e">
        <f t="shared" si="9"/>
        <v>#REF!</v>
      </c>
    </row>
    <row r="614" spans="1:9" x14ac:dyDescent="0.25">
      <c r="A614" s="61" t="e">
        <f>'ERROR FINAL'!#REF!</f>
        <v>#REF!</v>
      </c>
      <c r="B614" s="62" t="e">
        <f>'ERROR FINAL'!#REF!</f>
        <v>#REF!</v>
      </c>
      <c r="C614" s="63" t="e">
        <f>'ERROR FINAL'!#REF!</f>
        <v>#REF!</v>
      </c>
      <c r="D614" s="64" t="e">
        <f>'ERROR FINAL'!#REF!</f>
        <v>#REF!</v>
      </c>
      <c r="E614" s="65" t="e">
        <f>'ERROR FINAL'!#REF!</f>
        <v>#REF!</v>
      </c>
      <c r="F614" s="66" t="e">
        <f>'ERROR FINAL'!#REF!</f>
        <v>#REF!</v>
      </c>
      <c r="G614" s="66" t="e">
        <f>'ERROR FINAL'!#REF!</f>
        <v>#REF!</v>
      </c>
      <c r="H614" s="67" t="e">
        <f>IF('ERROR FINAL'!#REF!="CONFORME","CONFORME","NO CONFORME")</f>
        <v>#REF!</v>
      </c>
      <c r="I614" s="68" t="e">
        <f t="shared" si="9"/>
        <v>#REF!</v>
      </c>
    </row>
    <row r="615" spans="1:9" x14ac:dyDescent="0.25">
      <c r="A615" s="61" t="e">
        <f>'ERROR FINAL'!#REF!</f>
        <v>#REF!</v>
      </c>
      <c r="B615" s="62" t="e">
        <f>'ERROR FINAL'!#REF!</f>
        <v>#REF!</v>
      </c>
      <c r="C615" s="63" t="e">
        <f>'ERROR FINAL'!#REF!</f>
        <v>#REF!</v>
      </c>
      <c r="D615" s="64" t="e">
        <f>'ERROR FINAL'!#REF!</f>
        <v>#REF!</v>
      </c>
      <c r="E615" s="65" t="e">
        <f>'ERROR FINAL'!#REF!</f>
        <v>#REF!</v>
      </c>
      <c r="F615" s="66" t="e">
        <f>'ERROR FINAL'!#REF!</f>
        <v>#REF!</v>
      </c>
      <c r="G615" s="66" t="e">
        <f>'ERROR FINAL'!#REF!</f>
        <v>#REF!</v>
      </c>
      <c r="H615" s="67" t="e">
        <f>IF('ERROR FINAL'!#REF!="CONFORME","CONFORME","NO CONFORME")</f>
        <v>#REF!</v>
      </c>
      <c r="I615" s="68" t="e">
        <f t="shared" si="9"/>
        <v>#REF!</v>
      </c>
    </row>
    <row r="616" spans="1:9" x14ac:dyDescent="0.25">
      <c r="A616" s="61" t="e">
        <f>'ERROR FINAL'!#REF!</f>
        <v>#REF!</v>
      </c>
      <c r="B616" s="62" t="e">
        <f>'ERROR FINAL'!#REF!</f>
        <v>#REF!</v>
      </c>
      <c r="C616" s="63" t="e">
        <f>'ERROR FINAL'!#REF!</f>
        <v>#REF!</v>
      </c>
      <c r="D616" s="64" t="e">
        <f>'ERROR FINAL'!#REF!</f>
        <v>#REF!</v>
      </c>
      <c r="E616" s="65" t="e">
        <f>'ERROR FINAL'!#REF!</f>
        <v>#REF!</v>
      </c>
      <c r="F616" s="66" t="e">
        <f>'ERROR FINAL'!#REF!</f>
        <v>#REF!</v>
      </c>
      <c r="G616" s="66" t="e">
        <f>'ERROR FINAL'!#REF!</f>
        <v>#REF!</v>
      </c>
      <c r="H616" s="67" t="e">
        <f>IF('ERROR FINAL'!#REF!="CONFORME","CONFORME","NO CONFORME")</f>
        <v>#REF!</v>
      </c>
      <c r="I616" s="68" t="e">
        <f t="shared" si="9"/>
        <v>#REF!</v>
      </c>
    </row>
    <row r="617" spans="1:9" x14ac:dyDescent="0.25">
      <c r="A617" s="61" t="e">
        <f>'ERROR FINAL'!#REF!</f>
        <v>#REF!</v>
      </c>
      <c r="B617" s="62" t="e">
        <f>'ERROR FINAL'!#REF!</f>
        <v>#REF!</v>
      </c>
      <c r="C617" s="63" t="e">
        <f>'ERROR FINAL'!#REF!</f>
        <v>#REF!</v>
      </c>
      <c r="D617" s="64" t="e">
        <f>'ERROR FINAL'!#REF!</f>
        <v>#REF!</v>
      </c>
      <c r="E617" s="65" t="e">
        <f>'ERROR FINAL'!#REF!</f>
        <v>#REF!</v>
      </c>
      <c r="F617" s="66" t="e">
        <f>'ERROR FINAL'!#REF!</f>
        <v>#REF!</v>
      </c>
      <c r="G617" s="66" t="e">
        <f>'ERROR FINAL'!#REF!</f>
        <v>#REF!</v>
      </c>
      <c r="H617" s="67" t="e">
        <f>IF('ERROR FINAL'!#REF!="CONFORME","CONFORME","NO CONFORME")</f>
        <v>#REF!</v>
      </c>
      <c r="I617" s="68" t="e">
        <f t="shared" si="9"/>
        <v>#REF!</v>
      </c>
    </row>
    <row r="618" spans="1:9" x14ac:dyDescent="0.25">
      <c r="A618" s="61" t="e">
        <f>'ERROR FINAL'!#REF!</f>
        <v>#REF!</v>
      </c>
      <c r="B618" s="62" t="e">
        <f>'ERROR FINAL'!#REF!</f>
        <v>#REF!</v>
      </c>
      <c r="C618" s="63" t="e">
        <f>'ERROR FINAL'!#REF!</f>
        <v>#REF!</v>
      </c>
      <c r="D618" s="64" t="e">
        <f>'ERROR FINAL'!#REF!</f>
        <v>#REF!</v>
      </c>
      <c r="E618" s="65" t="e">
        <f>'ERROR FINAL'!#REF!</f>
        <v>#REF!</v>
      </c>
      <c r="F618" s="66" t="e">
        <f>'ERROR FINAL'!#REF!</f>
        <v>#REF!</v>
      </c>
      <c r="G618" s="66" t="e">
        <f>'ERROR FINAL'!#REF!</f>
        <v>#REF!</v>
      </c>
      <c r="H618" s="67" t="e">
        <f>IF('ERROR FINAL'!#REF!="CONFORME","CONFORME","NO CONFORME")</f>
        <v>#REF!</v>
      </c>
      <c r="I618" s="68" t="e">
        <f t="shared" si="9"/>
        <v>#REF!</v>
      </c>
    </row>
    <row r="619" spans="1:9" x14ac:dyDescent="0.25">
      <c r="A619" s="61" t="e">
        <f>'ERROR FINAL'!#REF!</f>
        <v>#REF!</v>
      </c>
      <c r="B619" s="62" t="e">
        <f>'ERROR FINAL'!#REF!</f>
        <v>#REF!</v>
      </c>
      <c r="C619" s="63" t="e">
        <f>'ERROR FINAL'!#REF!</f>
        <v>#REF!</v>
      </c>
      <c r="D619" s="64" t="e">
        <f>'ERROR FINAL'!#REF!</f>
        <v>#REF!</v>
      </c>
      <c r="E619" s="65" t="e">
        <f>'ERROR FINAL'!#REF!</f>
        <v>#REF!</v>
      </c>
      <c r="F619" s="66" t="e">
        <f>'ERROR FINAL'!#REF!</f>
        <v>#REF!</v>
      </c>
      <c r="G619" s="66" t="e">
        <f>'ERROR FINAL'!#REF!</f>
        <v>#REF!</v>
      </c>
      <c r="H619" s="67" t="e">
        <f>IF('ERROR FINAL'!#REF!="CONFORME","CONFORME","NO CONFORME")</f>
        <v>#REF!</v>
      </c>
      <c r="I619" s="68" t="e">
        <f t="shared" si="9"/>
        <v>#REF!</v>
      </c>
    </row>
    <row r="620" spans="1:9" x14ac:dyDescent="0.25">
      <c r="A620" s="61" t="e">
        <f>'ERROR FINAL'!#REF!</f>
        <v>#REF!</v>
      </c>
      <c r="B620" s="62" t="e">
        <f>'ERROR FINAL'!#REF!</f>
        <v>#REF!</v>
      </c>
      <c r="C620" s="63" t="e">
        <f>'ERROR FINAL'!#REF!</f>
        <v>#REF!</v>
      </c>
      <c r="D620" s="64" t="e">
        <f>'ERROR FINAL'!#REF!</f>
        <v>#REF!</v>
      </c>
      <c r="E620" s="65" t="e">
        <f>'ERROR FINAL'!#REF!</f>
        <v>#REF!</v>
      </c>
      <c r="F620" s="66" t="e">
        <f>'ERROR FINAL'!#REF!</f>
        <v>#REF!</v>
      </c>
      <c r="G620" s="66" t="e">
        <f>'ERROR FINAL'!#REF!</f>
        <v>#REF!</v>
      </c>
      <c r="H620" s="67" t="e">
        <f>IF('ERROR FINAL'!#REF!="CONFORME","CONFORME","NO CONFORME")</f>
        <v>#REF!</v>
      </c>
      <c r="I620" s="68" t="e">
        <f t="shared" si="9"/>
        <v>#REF!</v>
      </c>
    </row>
    <row r="621" spans="1:9" x14ac:dyDescent="0.25">
      <c r="A621" s="61" t="e">
        <f>'ERROR FINAL'!#REF!</f>
        <v>#REF!</v>
      </c>
      <c r="B621" s="62" t="e">
        <f>'ERROR FINAL'!#REF!</f>
        <v>#REF!</v>
      </c>
      <c r="C621" s="63" t="e">
        <f>'ERROR FINAL'!#REF!</f>
        <v>#REF!</v>
      </c>
      <c r="D621" s="64" t="e">
        <f>'ERROR FINAL'!#REF!</f>
        <v>#REF!</v>
      </c>
      <c r="E621" s="65" t="e">
        <f>'ERROR FINAL'!#REF!</f>
        <v>#REF!</v>
      </c>
      <c r="F621" s="66" t="e">
        <f>'ERROR FINAL'!#REF!</f>
        <v>#REF!</v>
      </c>
      <c r="G621" s="66" t="e">
        <f>'ERROR FINAL'!#REF!</f>
        <v>#REF!</v>
      </c>
      <c r="H621" s="67" t="e">
        <f>IF('ERROR FINAL'!#REF!="CONFORME","CONFORME","NO CONFORME")</f>
        <v>#REF!</v>
      </c>
      <c r="I621" s="68" t="e">
        <f t="shared" si="9"/>
        <v>#REF!</v>
      </c>
    </row>
    <row r="622" spans="1:9" x14ac:dyDescent="0.25">
      <c r="A622" s="61" t="e">
        <f>'ERROR FINAL'!#REF!</f>
        <v>#REF!</v>
      </c>
      <c r="B622" s="62" t="e">
        <f>'ERROR FINAL'!#REF!</f>
        <v>#REF!</v>
      </c>
      <c r="C622" s="63" t="e">
        <f>'ERROR FINAL'!#REF!</f>
        <v>#REF!</v>
      </c>
      <c r="D622" s="64" t="e">
        <f>'ERROR FINAL'!#REF!</f>
        <v>#REF!</v>
      </c>
      <c r="E622" s="65" t="e">
        <f>'ERROR FINAL'!#REF!</f>
        <v>#REF!</v>
      </c>
      <c r="F622" s="66" t="e">
        <f>'ERROR FINAL'!#REF!</f>
        <v>#REF!</v>
      </c>
      <c r="G622" s="66" t="e">
        <f>'ERROR FINAL'!#REF!</f>
        <v>#REF!</v>
      </c>
      <c r="H622" s="67" t="e">
        <f>IF('ERROR FINAL'!#REF!="CONFORME","CONFORME","NO CONFORME")</f>
        <v>#REF!</v>
      </c>
      <c r="I622" s="68" t="e">
        <f t="shared" si="9"/>
        <v>#REF!</v>
      </c>
    </row>
    <row r="623" spans="1:9" x14ac:dyDescent="0.25">
      <c r="A623" s="61" t="e">
        <f>'ERROR FINAL'!#REF!</f>
        <v>#REF!</v>
      </c>
      <c r="B623" s="62" t="e">
        <f>'ERROR FINAL'!#REF!</f>
        <v>#REF!</v>
      </c>
      <c r="C623" s="63" t="e">
        <f>'ERROR FINAL'!#REF!</f>
        <v>#REF!</v>
      </c>
      <c r="D623" s="64" t="e">
        <f>'ERROR FINAL'!#REF!</f>
        <v>#REF!</v>
      </c>
      <c r="E623" s="65" t="e">
        <f>'ERROR FINAL'!#REF!</f>
        <v>#REF!</v>
      </c>
      <c r="F623" s="66" t="e">
        <f>'ERROR FINAL'!#REF!</f>
        <v>#REF!</v>
      </c>
      <c r="G623" s="66" t="e">
        <f>'ERROR FINAL'!#REF!</f>
        <v>#REF!</v>
      </c>
      <c r="H623" s="67" t="e">
        <f>IF('ERROR FINAL'!#REF!="CONFORME","CONFORME","NO CONFORME")</f>
        <v>#REF!</v>
      </c>
      <c r="I623" s="68" t="e">
        <f t="shared" si="9"/>
        <v>#REF!</v>
      </c>
    </row>
    <row r="624" spans="1:9" x14ac:dyDescent="0.25">
      <c r="A624" s="61" t="e">
        <f>'ERROR FINAL'!#REF!</f>
        <v>#REF!</v>
      </c>
      <c r="B624" s="62" t="e">
        <f>'ERROR FINAL'!#REF!</f>
        <v>#REF!</v>
      </c>
      <c r="C624" s="63" t="e">
        <f>'ERROR FINAL'!#REF!</f>
        <v>#REF!</v>
      </c>
      <c r="D624" s="64" t="e">
        <f>'ERROR FINAL'!#REF!</f>
        <v>#REF!</v>
      </c>
      <c r="E624" s="65" t="e">
        <f>'ERROR FINAL'!#REF!</f>
        <v>#REF!</v>
      </c>
      <c r="F624" s="66" t="e">
        <f>'ERROR FINAL'!#REF!</f>
        <v>#REF!</v>
      </c>
      <c r="G624" s="66" t="e">
        <f>'ERROR FINAL'!#REF!</f>
        <v>#REF!</v>
      </c>
      <c r="H624" s="67" t="e">
        <f>IF('ERROR FINAL'!#REF!="CONFORME","CONFORME","NO CONFORME")</f>
        <v>#REF!</v>
      </c>
      <c r="I624" s="68" t="e">
        <f t="shared" si="9"/>
        <v>#REF!</v>
      </c>
    </row>
    <row r="625" spans="1:9" x14ac:dyDescent="0.25">
      <c r="A625" s="61" t="e">
        <f>'ERROR FINAL'!#REF!</f>
        <v>#REF!</v>
      </c>
      <c r="B625" s="62" t="e">
        <f>'ERROR FINAL'!#REF!</f>
        <v>#REF!</v>
      </c>
      <c r="C625" s="63" t="e">
        <f>'ERROR FINAL'!#REF!</f>
        <v>#REF!</v>
      </c>
      <c r="D625" s="64" t="e">
        <f>'ERROR FINAL'!#REF!</f>
        <v>#REF!</v>
      </c>
      <c r="E625" s="65" t="e">
        <f>'ERROR FINAL'!#REF!</f>
        <v>#REF!</v>
      </c>
      <c r="F625" s="66" t="e">
        <f>'ERROR FINAL'!#REF!</f>
        <v>#REF!</v>
      </c>
      <c r="G625" s="66" t="e">
        <f>'ERROR FINAL'!#REF!</f>
        <v>#REF!</v>
      </c>
      <c r="H625" s="67" t="e">
        <f>IF('ERROR FINAL'!#REF!="CONFORME","CONFORME","NO CONFORME")</f>
        <v>#REF!</v>
      </c>
      <c r="I625" s="68" t="e">
        <f t="shared" si="9"/>
        <v>#REF!</v>
      </c>
    </row>
    <row r="626" spans="1:9" x14ac:dyDescent="0.25">
      <c r="A626" s="61" t="e">
        <f>'ERROR FINAL'!#REF!</f>
        <v>#REF!</v>
      </c>
      <c r="B626" s="62" t="e">
        <f>'ERROR FINAL'!#REF!</f>
        <v>#REF!</v>
      </c>
      <c r="C626" s="63" t="e">
        <f>'ERROR FINAL'!#REF!</f>
        <v>#REF!</v>
      </c>
      <c r="D626" s="64" t="e">
        <f>'ERROR FINAL'!#REF!</f>
        <v>#REF!</v>
      </c>
      <c r="E626" s="65" t="e">
        <f>'ERROR FINAL'!#REF!</f>
        <v>#REF!</v>
      </c>
      <c r="F626" s="66" t="e">
        <f>'ERROR FINAL'!#REF!</f>
        <v>#REF!</v>
      </c>
      <c r="G626" s="66" t="e">
        <f>'ERROR FINAL'!#REF!</f>
        <v>#REF!</v>
      </c>
      <c r="H626" s="67" t="e">
        <f>IF('ERROR FINAL'!#REF!="CONFORME","CONFORME","NO CONFORME")</f>
        <v>#REF!</v>
      </c>
      <c r="I626" s="68" t="e">
        <f t="shared" si="9"/>
        <v>#REF!</v>
      </c>
    </row>
    <row r="627" spans="1:9" x14ac:dyDescent="0.25">
      <c r="A627" s="61" t="e">
        <f>'ERROR FINAL'!#REF!</f>
        <v>#REF!</v>
      </c>
      <c r="B627" s="62" t="e">
        <f>'ERROR FINAL'!#REF!</f>
        <v>#REF!</v>
      </c>
      <c r="C627" s="63" t="e">
        <f>'ERROR FINAL'!#REF!</f>
        <v>#REF!</v>
      </c>
      <c r="D627" s="64" t="e">
        <f>'ERROR FINAL'!#REF!</f>
        <v>#REF!</v>
      </c>
      <c r="E627" s="65" t="e">
        <f>'ERROR FINAL'!#REF!</f>
        <v>#REF!</v>
      </c>
      <c r="F627" s="66" t="e">
        <f>'ERROR FINAL'!#REF!</f>
        <v>#REF!</v>
      </c>
      <c r="G627" s="66" t="e">
        <f>'ERROR FINAL'!#REF!</f>
        <v>#REF!</v>
      </c>
      <c r="H627" s="67" t="e">
        <f>IF('ERROR FINAL'!#REF!="CONFORME","CONFORME","NO CONFORME")</f>
        <v>#REF!</v>
      </c>
      <c r="I627" s="68" t="e">
        <f t="shared" si="9"/>
        <v>#REF!</v>
      </c>
    </row>
    <row r="628" spans="1:9" x14ac:dyDescent="0.25">
      <c r="A628" s="61" t="e">
        <f>'ERROR FINAL'!#REF!</f>
        <v>#REF!</v>
      </c>
      <c r="B628" s="62" t="e">
        <f>'ERROR FINAL'!#REF!</f>
        <v>#REF!</v>
      </c>
      <c r="C628" s="63" t="e">
        <f>'ERROR FINAL'!#REF!</f>
        <v>#REF!</v>
      </c>
      <c r="D628" s="64" t="e">
        <f>'ERROR FINAL'!#REF!</f>
        <v>#REF!</v>
      </c>
      <c r="E628" s="65" t="e">
        <f>'ERROR FINAL'!#REF!</f>
        <v>#REF!</v>
      </c>
      <c r="F628" s="66" t="e">
        <f>'ERROR FINAL'!#REF!</f>
        <v>#REF!</v>
      </c>
      <c r="G628" s="66" t="e">
        <f>'ERROR FINAL'!#REF!</f>
        <v>#REF!</v>
      </c>
      <c r="H628" s="67" t="e">
        <f>IF('ERROR FINAL'!#REF!="CONFORME","CONFORME","NO CONFORME")</f>
        <v>#REF!</v>
      </c>
      <c r="I628" s="68" t="e">
        <f t="shared" si="9"/>
        <v>#REF!</v>
      </c>
    </row>
    <row r="629" spans="1:9" x14ac:dyDescent="0.25">
      <c r="A629" s="61" t="e">
        <f>'ERROR FINAL'!#REF!</f>
        <v>#REF!</v>
      </c>
      <c r="B629" s="62" t="e">
        <f>'ERROR FINAL'!#REF!</f>
        <v>#REF!</v>
      </c>
      <c r="C629" s="63" t="e">
        <f>'ERROR FINAL'!#REF!</f>
        <v>#REF!</v>
      </c>
      <c r="D629" s="64" t="e">
        <f>'ERROR FINAL'!#REF!</f>
        <v>#REF!</v>
      </c>
      <c r="E629" s="65" t="e">
        <f>'ERROR FINAL'!#REF!</f>
        <v>#REF!</v>
      </c>
      <c r="F629" s="66" t="e">
        <f>'ERROR FINAL'!#REF!</f>
        <v>#REF!</v>
      </c>
      <c r="G629" s="66" t="e">
        <f>'ERROR FINAL'!#REF!</f>
        <v>#REF!</v>
      </c>
      <c r="H629" s="67" t="e">
        <f>IF('ERROR FINAL'!#REF!="CONFORME","CONFORME","NO CONFORME")</f>
        <v>#REF!</v>
      </c>
      <c r="I629" s="68" t="e">
        <f t="shared" si="9"/>
        <v>#REF!</v>
      </c>
    </row>
    <row r="630" spans="1:9" x14ac:dyDescent="0.25">
      <c r="A630" s="61" t="e">
        <f>'ERROR FINAL'!#REF!</f>
        <v>#REF!</v>
      </c>
      <c r="B630" s="62" t="e">
        <f>'ERROR FINAL'!#REF!</f>
        <v>#REF!</v>
      </c>
      <c r="C630" s="63" t="e">
        <f>'ERROR FINAL'!#REF!</f>
        <v>#REF!</v>
      </c>
      <c r="D630" s="64" t="e">
        <f>'ERROR FINAL'!#REF!</f>
        <v>#REF!</v>
      </c>
      <c r="E630" s="65" t="e">
        <f>'ERROR FINAL'!#REF!</f>
        <v>#REF!</v>
      </c>
      <c r="F630" s="66" t="e">
        <f>'ERROR FINAL'!#REF!</f>
        <v>#REF!</v>
      </c>
      <c r="G630" s="66" t="e">
        <f>'ERROR FINAL'!#REF!</f>
        <v>#REF!</v>
      </c>
      <c r="H630" s="67" t="e">
        <f>IF('ERROR FINAL'!#REF!="CONFORME","CONFORME","NO CONFORME")</f>
        <v>#REF!</v>
      </c>
      <c r="I630" s="68" t="e">
        <f t="shared" si="9"/>
        <v>#REF!</v>
      </c>
    </row>
    <row r="631" spans="1:9" x14ac:dyDescent="0.25">
      <c r="A631" s="61" t="e">
        <f>'ERROR FINAL'!#REF!</f>
        <v>#REF!</v>
      </c>
      <c r="B631" s="62" t="e">
        <f>'ERROR FINAL'!#REF!</f>
        <v>#REF!</v>
      </c>
      <c r="C631" s="63" t="e">
        <f>'ERROR FINAL'!#REF!</f>
        <v>#REF!</v>
      </c>
      <c r="D631" s="64" t="e">
        <f>'ERROR FINAL'!#REF!</f>
        <v>#REF!</v>
      </c>
      <c r="E631" s="65" t="e">
        <f>'ERROR FINAL'!#REF!</f>
        <v>#REF!</v>
      </c>
      <c r="F631" s="66" t="e">
        <f>'ERROR FINAL'!#REF!</f>
        <v>#REF!</v>
      </c>
      <c r="G631" s="66" t="e">
        <f>'ERROR FINAL'!#REF!</f>
        <v>#REF!</v>
      </c>
      <c r="H631" s="67" t="e">
        <f>IF('ERROR FINAL'!#REF!="CONFORME","CONFORME","NO CONFORME")</f>
        <v>#REF!</v>
      </c>
      <c r="I631" s="68" t="e">
        <f t="shared" ref="I631:I635" si="10">IF(D631=0,"Medición",IF(D631=1,"Daño físico",IF(D631=2,"Fuga",IF(D631=3,"Picado",IF(D631=4,"Desfasado",IF(D631=5,"Paralizado","¿?"))))))</f>
        <v>#REF!</v>
      </c>
    </row>
    <row r="632" spans="1:9" x14ac:dyDescent="0.25">
      <c r="A632" s="61" t="e">
        <f>'ERROR FINAL'!#REF!</f>
        <v>#REF!</v>
      </c>
      <c r="B632" s="62" t="e">
        <f>'ERROR FINAL'!#REF!</f>
        <v>#REF!</v>
      </c>
      <c r="C632" s="63" t="e">
        <f>'ERROR FINAL'!#REF!</f>
        <v>#REF!</v>
      </c>
      <c r="D632" s="64" t="e">
        <f>'ERROR FINAL'!#REF!</f>
        <v>#REF!</v>
      </c>
      <c r="E632" s="65" t="e">
        <f>'ERROR FINAL'!#REF!</f>
        <v>#REF!</v>
      </c>
      <c r="F632" s="66" t="e">
        <f>'ERROR FINAL'!#REF!</f>
        <v>#REF!</v>
      </c>
      <c r="G632" s="66" t="e">
        <f>'ERROR FINAL'!#REF!</f>
        <v>#REF!</v>
      </c>
      <c r="H632" s="67" t="e">
        <f>IF('ERROR FINAL'!#REF!="CONFORME","CONFORME","NO CONFORME")</f>
        <v>#REF!</v>
      </c>
      <c r="I632" s="68" t="e">
        <f t="shared" si="10"/>
        <v>#REF!</v>
      </c>
    </row>
    <row r="633" spans="1:9" x14ac:dyDescent="0.25">
      <c r="A633" s="61" t="e">
        <f>'ERROR FINAL'!#REF!</f>
        <v>#REF!</v>
      </c>
      <c r="B633" s="62" t="e">
        <f>'ERROR FINAL'!#REF!</f>
        <v>#REF!</v>
      </c>
      <c r="C633" s="63" t="e">
        <f>'ERROR FINAL'!#REF!</f>
        <v>#REF!</v>
      </c>
      <c r="D633" s="64" t="e">
        <f>'ERROR FINAL'!#REF!</f>
        <v>#REF!</v>
      </c>
      <c r="E633" s="65" t="e">
        <f>'ERROR FINAL'!#REF!</f>
        <v>#REF!</v>
      </c>
      <c r="F633" s="66" t="e">
        <f>'ERROR FINAL'!#REF!</f>
        <v>#REF!</v>
      </c>
      <c r="G633" s="66" t="e">
        <f>'ERROR FINAL'!#REF!</f>
        <v>#REF!</v>
      </c>
      <c r="H633" s="67" t="e">
        <f>IF('ERROR FINAL'!#REF!="CONFORME","CONFORME","NO CONFORME")</f>
        <v>#REF!</v>
      </c>
      <c r="I633" s="68" t="e">
        <f t="shared" si="10"/>
        <v>#REF!</v>
      </c>
    </row>
    <row r="634" spans="1:9" x14ac:dyDescent="0.25">
      <c r="A634" s="61" t="e">
        <f>'ERROR FINAL'!#REF!</f>
        <v>#REF!</v>
      </c>
      <c r="B634" s="62" t="e">
        <f>'ERROR FINAL'!#REF!</f>
        <v>#REF!</v>
      </c>
      <c r="C634" s="63" t="e">
        <f>'ERROR FINAL'!#REF!</f>
        <v>#REF!</v>
      </c>
      <c r="D634" s="64" t="e">
        <f>'ERROR FINAL'!#REF!</f>
        <v>#REF!</v>
      </c>
      <c r="E634" s="65" t="e">
        <f>'ERROR FINAL'!#REF!</f>
        <v>#REF!</v>
      </c>
      <c r="F634" s="66" t="e">
        <f>'ERROR FINAL'!#REF!</f>
        <v>#REF!</v>
      </c>
      <c r="G634" s="66" t="e">
        <f>'ERROR FINAL'!#REF!</f>
        <v>#REF!</v>
      </c>
      <c r="H634" s="67" t="e">
        <f>IF('ERROR FINAL'!#REF!="CONFORME","CONFORME","NO CONFORME")</f>
        <v>#REF!</v>
      </c>
      <c r="I634" s="68" t="e">
        <f t="shared" si="10"/>
        <v>#REF!</v>
      </c>
    </row>
    <row r="635" spans="1:9" x14ac:dyDescent="0.25">
      <c r="A635" s="61" t="e">
        <f>'ERROR FINAL'!#REF!</f>
        <v>#REF!</v>
      </c>
      <c r="B635" s="62" t="e">
        <f>'ERROR FINAL'!#REF!</f>
        <v>#REF!</v>
      </c>
      <c r="C635" s="63" t="e">
        <f>'ERROR FINAL'!#REF!</f>
        <v>#REF!</v>
      </c>
      <c r="D635" s="64" t="e">
        <f>'ERROR FINAL'!#REF!</f>
        <v>#REF!</v>
      </c>
      <c r="E635" s="65" t="e">
        <f>'ERROR FINAL'!#REF!</f>
        <v>#REF!</v>
      </c>
      <c r="F635" s="66" t="e">
        <f>'ERROR FINAL'!#REF!</f>
        <v>#REF!</v>
      </c>
      <c r="G635" s="66" t="e">
        <f>'ERROR FINAL'!#REF!</f>
        <v>#REF!</v>
      </c>
      <c r="H635" s="67" t="e">
        <f>IF('ERROR FINAL'!#REF!="CONFORME","CONFORME","NO CONFORME")</f>
        <v>#REF!</v>
      </c>
      <c r="I635" s="68" t="e">
        <f t="shared" si="10"/>
        <v>#REF!</v>
      </c>
    </row>
    <row r="636" spans="1:9" x14ac:dyDescent="0.25">
      <c r="A636" s="61" t="e">
        <f>'ERROR FINAL'!#REF!</f>
        <v>#REF!</v>
      </c>
      <c r="B636" s="62" t="e">
        <f>'ERROR FINAL'!#REF!</f>
        <v>#REF!</v>
      </c>
      <c r="C636" s="63" t="e">
        <f>'ERROR FINAL'!#REF!</f>
        <v>#REF!</v>
      </c>
      <c r="D636" s="64" t="e">
        <f>'ERROR FINAL'!#REF!</f>
        <v>#REF!</v>
      </c>
      <c r="E636" s="65" t="e">
        <f>'ERROR FINAL'!#REF!</f>
        <v>#REF!</v>
      </c>
      <c r="F636" s="66" t="e">
        <f>'ERROR FINAL'!#REF!</f>
        <v>#REF!</v>
      </c>
      <c r="G636" s="66" t="e">
        <f>'ERROR FINAL'!#REF!</f>
        <v>#REF!</v>
      </c>
      <c r="H636" s="67" t="e">
        <f>IF('ERROR FINAL'!#REF!="CONFORME","CONFORME","NO CONFORME")</f>
        <v>#REF!</v>
      </c>
      <c r="I636" s="68" t="e">
        <f t="shared" ref="I636:I699" si="11">IF(D636=0,"Medición",IF(D636=1,"Daño físico",IF(D636=2,"Fuga",IF(D636=3,"Picado",IF(D636=4,"Desfasado",IF(D636=5,"Paralizado","¿?"))))))</f>
        <v>#REF!</v>
      </c>
    </row>
    <row r="637" spans="1:9" x14ac:dyDescent="0.25">
      <c r="A637" s="61" t="e">
        <f>'ERROR FINAL'!#REF!</f>
        <v>#REF!</v>
      </c>
      <c r="B637" s="62" t="e">
        <f>'ERROR FINAL'!#REF!</f>
        <v>#REF!</v>
      </c>
      <c r="C637" s="63" t="e">
        <f>'ERROR FINAL'!#REF!</f>
        <v>#REF!</v>
      </c>
      <c r="D637" s="64" t="e">
        <f>'ERROR FINAL'!#REF!</f>
        <v>#REF!</v>
      </c>
      <c r="E637" s="65" t="e">
        <f>'ERROR FINAL'!#REF!</f>
        <v>#REF!</v>
      </c>
      <c r="F637" s="66" t="e">
        <f>'ERROR FINAL'!#REF!</f>
        <v>#REF!</v>
      </c>
      <c r="G637" s="66" t="e">
        <f>'ERROR FINAL'!#REF!</f>
        <v>#REF!</v>
      </c>
      <c r="H637" s="67" t="e">
        <f>IF('ERROR FINAL'!#REF!="CONFORME","CONFORME","NO CONFORME")</f>
        <v>#REF!</v>
      </c>
      <c r="I637" s="68" t="e">
        <f t="shared" si="11"/>
        <v>#REF!</v>
      </c>
    </row>
    <row r="638" spans="1:9" x14ac:dyDescent="0.25">
      <c r="A638" s="61" t="e">
        <f>'ERROR FINAL'!#REF!</f>
        <v>#REF!</v>
      </c>
      <c r="B638" s="62" t="e">
        <f>'ERROR FINAL'!#REF!</f>
        <v>#REF!</v>
      </c>
      <c r="C638" s="63" t="e">
        <f>'ERROR FINAL'!#REF!</f>
        <v>#REF!</v>
      </c>
      <c r="D638" s="64" t="e">
        <f>'ERROR FINAL'!#REF!</f>
        <v>#REF!</v>
      </c>
      <c r="E638" s="65" t="e">
        <f>'ERROR FINAL'!#REF!</f>
        <v>#REF!</v>
      </c>
      <c r="F638" s="66" t="e">
        <f>'ERROR FINAL'!#REF!</f>
        <v>#REF!</v>
      </c>
      <c r="G638" s="66" t="e">
        <f>'ERROR FINAL'!#REF!</f>
        <v>#REF!</v>
      </c>
      <c r="H638" s="67" t="e">
        <f>IF('ERROR FINAL'!#REF!="CONFORME","CONFORME","NO CONFORME")</f>
        <v>#REF!</v>
      </c>
      <c r="I638" s="68" t="e">
        <f t="shared" si="11"/>
        <v>#REF!</v>
      </c>
    </row>
    <row r="639" spans="1:9" x14ac:dyDescent="0.25">
      <c r="A639" s="61" t="e">
        <f>'ERROR FINAL'!#REF!</f>
        <v>#REF!</v>
      </c>
      <c r="B639" s="62" t="e">
        <f>'ERROR FINAL'!#REF!</f>
        <v>#REF!</v>
      </c>
      <c r="C639" s="63" t="e">
        <f>'ERROR FINAL'!#REF!</f>
        <v>#REF!</v>
      </c>
      <c r="D639" s="64" t="e">
        <f>'ERROR FINAL'!#REF!</f>
        <v>#REF!</v>
      </c>
      <c r="E639" s="65" t="e">
        <f>'ERROR FINAL'!#REF!</f>
        <v>#REF!</v>
      </c>
      <c r="F639" s="66" t="e">
        <f>'ERROR FINAL'!#REF!</f>
        <v>#REF!</v>
      </c>
      <c r="G639" s="66" t="e">
        <f>'ERROR FINAL'!#REF!</f>
        <v>#REF!</v>
      </c>
      <c r="H639" s="67" t="e">
        <f>IF('ERROR FINAL'!#REF!="CONFORME","CONFORME","NO CONFORME")</f>
        <v>#REF!</v>
      </c>
      <c r="I639" s="68" t="e">
        <f t="shared" si="11"/>
        <v>#REF!</v>
      </c>
    </row>
    <row r="640" spans="1:9" x14ac:dyDescent="0.25">
      <c r="A640" s="61" t="e">
        <f>'ERROR FINAL'!#REF!</f>
        <v>#REF!</v>
      </c>
      <c r="B640" s="62" t="e">
        <f>'ERROR FINAL'!#REF!</f>
        <v>#REF!</v>
      </c>
      <c r="C640" s="63" t="e">
        <f>'ERROR FINAL'!#REF!</f>
        <v>#REF!</v>
      </c>
      <c r="D640" s="64" t="e">
        <f>'ERROR FINAL'!#REF!</f>
        <v>#REF!</v>
      </c>
      <c r="E640" s="65" t="e">
        <f>'ERROR FINAL'!#REF!</f>
        <v>#REF!</v>
      </c>
      <c r="F640" s="66" t="e">
        <f>'ERROR FINAL'!#REF!</f>
        <v>#REF!</v>
      </c>
      <c r="G640" s="66" t="e">
        <f>'ERROR FINAL'!#REF!</f>
        <v>#REF!</v>
      </c>
      <c r="H640" s="67" t="e">
        <f>IF('ERROR FINAL'!#REF!="CONFORME","CONFORME","NO CONFORME")</f>
        <v>#REF!</v>
      </c>
      <c r="I640" s="68" t="e">
        <f t="shared" si="11"/>
        <v>#REF!</v>
      </c>
    </row>
    <row r="641" spans="1:9" x14ac:dyDescent="0.25">
      <c r="A641" s="61" t="e">
        <f>'ERROR FINAL'!#REF!</f>
        <v>#REF!</v>
      </c>
      <c r="B641" s="62" t="e">
        <f>'ERROR FINAL'!#REF!</f>
        <v>#REF!</v>
      </c>
      <c r="C641" s="63" t="e">
        <f>'ERROR FINAL'!#REF!</f>
        <v>#REF!</v>
      </c>
      <c r="D641" s="64" t="e">
        <f>'ERROR FINAL'!#REF!</f>
        <v>#REF!</v>
      </c>
      <c r="E641" s="65" t="e">
        <f>'ERROR FINAL'!#REF!</f>
        <v>#REF!</v>
      </c>
      <c r="F641" s="66" t="e">
        <f>'ERROR FINAL'!#REF!</f>
        <v>#REF!</v>
      </c>
      <c r="G641" s="66" t="e">
        <f>'ERROR FINAL'!#REF!</f>
        <v>#REF!</v>
      </c>
      <c r="H641" s="67" t="e">
        <f>IF('ERROR FINAL'!#REF!="CONFORME","CONFORME","NO CONFORME")</f>
        <v>#REF!</v>
      </c>
      <c r="I641" s="68" t="e">
        <f t="shared" si="11"/>
        <v>#REF!</v>
      </c>
    </row>
    <row r="642" spans="1:9" x14ac:dyDescent="0.25">
      <c r="A642" s="61" t="e">
        <f>'ERROR FINAL'!#REF!</f>
        <v>#REF!</v>
      </c>
      <c r="B642" s="62" t="e">
        <f>'ERROR FINAL'!#REF!</f>
        <v>#REF!</v>
      </c>
      <c r="C642" s="63" t="e">
        <f>'ERROR FINAL'!#REF!</f>
        <v>#REF!</v>
      </c>
      <c r="D642" s="64" t="e">
        <f>'ERROR FINAL'!#REF!</f>
        <v>#REF!</v>
      </c>
      <c r="E642" s="65" t="e">
        <f>'ERROR FINAL'!#REF!</f>
        <v>#REF!</v>
      </c>
      <c r="F642" s="66" t="e">
        <f>'ERROR FINAL'!#REF!</f>
        <v>#REF!</v>
      </c>
      <c r="G642" s="66" t="e">
        <f>'ERROR FINAL'!#REF!</f>
        <v>#REF!</v>
      </c>
      <c r="H642" s="67" t="e">
        <f>IF('ERROR FINAL'!#REF!="CONFORME","CONFORME","NO CONFORME")</f>
        <v>#REF!</v>
      </c>
      <c r="I642" s="68" t="e">
        <f t="shared" si="11"/>
        <v>#REF!</v>
      </c>
    </row>
    <row r="643" spans="1:9" x14ac:dyDescent="0.25">
      <c r="A643" s="61" t="e">
        <f>'ERROR FINAL'!#REF!</f>
        <v>#REF!</v>
      </c>
      <c r="B643" s="62" t="e">
        <f>'ERROR FINAL'!#REF!</f>
        <v>#REF!</v>
      </c>
      <c r="C643" s="63" t="e">
        <f>'ERROR FINAL'!#REF!</f>
        <v>#REF!</v>
      </c>
      <c r="D643" s="64" t="e">
        <f>'ERROR FINAL'!#REF!</f>
        <v>#REF!</v>
      </c>
      <c r="E643" s="65" t="e">
        <f>'ERROR FINAL'!#REF!</f>
        <v>#REF!</v>
      </c>
      <c r="F643" s="66" t="e">
        <f>'ERROR FINAL'!#REF!</f>
        <v>#REF!</v>
      </c>
      <c r="G643" s="66" t="e">
        <f>'ERROR FINAL'!#REF!</f>
        <v>#REF!</v>
      </c>
      <c r="H643" s="67" t="e">
        <f>IF('ERROR FINAL'!#REF!="CONFORME","CONFORME","NO CONFORME")</f>
        <v>#REF!</v>
      </c>
      <c r="I643" s="68" t="e">
        <f t="shared" si="11"/>
        <v>#REF!</v>
      </c>
    </row>
    <row r="644" spans="1:9" x14ac:dyDescent="0.25">
      <c r="A644" s="61" t="e">
        <f>'ERROR FINAL'!#REF!</f>
        <v>#REF!</v>
      </c>
      <c r="B644" s="62" t="e">
        <f>'ERROR FINAL'!#REF!</f>
        <v>#REF!</v>
      </c>
      <c r="C644" s="63" t="e">
        <f>'ERROR FINAL'!#REF!</f>
        <v>#REF!</v>
      </c>
      <c r="D644" s="64" t="e">
        <f>'ERROR FINAL'!#REF!</f>
        <v>#REF!</v>
      </c>
      <c r="E644" s="65" t="e">
        <f>'ERROR FINAL'!#REF!</f>
        <v>#REF!</v>
      </c>
      <c r="F644" s="66" t="e">
        <f>'ERROR FINAL'!#REF!</f>
        <v>#REF!</v>
      </c>
      <c r="G644" s="66" t="e">
        <f>'ERROR FINAL'!#REF!</f>
        <v>#REF!</v>
      </c>
      <c r="H644" s="67" t="e">
        <f>IF('ERROR FINAL'!#REF!="CONFORME","CONFORME","NO CONFORME")</f>
        <v>#REF!</v>
      </c>
      <c r="I644" s="68" t="e">
        <f t="shared" si="11"/>
        <v>#REF!</v>
      </c>
    </row>
    <row r="645" spans="1:9" x14ac:dyDescent="0.25">
      <c r="A645" s="61" t="e">
        <f>'ERROR FINAL'!#REF!</f>
        <v>#REF!</v>
      </c>
      <c r="B645" s="62" t="e">
        <f>'ERROR FINAL'!#REF!</f>
        <v>#REF!</v>
      </c>
      <c r="C645" s="63" t="e">
        <f>'ERROR FINAL'!#REF!</f>
        <v>#REF!</v>
      </c>
      <c r="D645" s="64" t="e">
        <f>'ERROR FINAL'!#REF!</f>
        <v>#REF!</v>
      </c>
      <c r="E645" s="65" t="e">
        <f>'ERROR FINAL'!#REF!</f>
        <v>#REF!</v>
      </c>
      <c r="F645" s="66" t="e">
        <f>'ERROR FINAL'!#REF!</f>
        <v>#REF!</v>
      </c>
      <c r="G645" s="66" t="e">
        <f>'ERROR FINAL'!#REF!</f>
        <v>#REF!</v>
      </c>
      <c r="H645" s="67" t="e">
        <f>IF('ERROR FINAL'!#REF!="CONFORME","CONFORME","NO CONFORME")</f>
        <v>#REF!</v>
      </c>
      <c r="I645" s="68" t="e">
        <f t="shared" si="11"/>
        <v>#REF!</v>
      </c>
    </row>
    <row r="646" spans="1:9" x14ac:dyDescent="0.25">
      <c r="A646" s="61" t="e">
        <f>'ERROR FINAL'!#REF!</f>
        <v>#REF!</v>
      </c>
      <c r="B646" s="62" t="e">
        <f>'ERROR FINAL'!#REF!</f>
        <v>#REF!</v>
      </c>
      <c r="C646" s="63" t="e">
        <f>'ERROR FINAL'!#REF!</f>
        <v>#REF!</v>
      </c>
      <c r="D646" s="64" t="e">
        <f>'ERROR FINAL'!#REF!</f>
        <v>#REF!</v>
      </c>
      <c r="E646" s="65" t="e">
        <f>'ERROR FINAL'!#REF!</f>
        <v>#REF!</v>
      </c>
      <c r="F646" s="66" t="e">
        <f>'ERROR FINAL'!#REF!</f>
        <v>#REF!</v>
      </c>
      <c r="G646" s="66" t="e">
        <f>'ERROR FINAL'!#REF!</f>
        <v>#REF!</v>
      </c>
      <c r="H646" s="67" t="e">
        <f>IF('ERROR FINAL'!#REF!="CONFORME","CONFORME","NO CONFORME")</f>
        <v>#REF!</v>
      </c>
      <c r="I646" s="68" t="e">
        <f t="shared" si="11"/>
        <v>#REF!</v>
      </c>
    </row>
    <row r="647" spans="1:9" x14ac:dyDescent="0.25">
      <c r="A647" s="61" t="e">
        <f>'ERROR FINAL'!#REF!</f>
        <v>#REF!</v>
      </c>
      <c r="B647" s="62" t="e">
        <f>'ERROR FINAL'!#REF!</f>
        <v>#REF!</v>
      </c>
      <c r="C647" s="63" t="e">
        <f>'ERROR FINAL'!#REF!</f>
        <v>#REF!</v>
      </c>
      <c r="D647" s="64" t="e">
        <f>'ERROR FINAL'!#REF!</f>
        <v>#REF!</v>
      </c>
      <c r="E647" s="65" t="e">
        <f>'ERROR FINAL'!#REF!</f>
        <v>#REF!</v>
      </c>
      <c r="F647" s="66" t="e">
        <f>'ERROR FINAL'!#REF!</f>
        <v>#REF!</v>
      </c>
      <c r="G647" s="66" t="e">
        <f>'ERROR FINAL'!#REF!</f>
        <v>#REF!</v>
      </c>
      <c r="H647" s="67" t="e">
        <f>IF('ERROR FINAL'!#REF!="CONFORME","CONFORME","NO CONFORME")</f>
        <v>#REF!</v>
      </c>
      <c r="I647" s="68" t="e">
        <f t="shared" si="11"/>
        <v>#REF!</v>
      </c>
    </row>
    <row r="648" spans="1:9" x14ac:dyDescent="0.25">
      <c r="A648" s="61" t="e">
        <f>'ERROR FINAL'!#REF!</f>
        <v>#REF!</v>
      </c>
      <c r="B648" s="62" t="e">
        <f>'ERROR FINAL'!#REF!</f>
        <v>#REF!</v>
      </c>
      <c r="C648" s="63" t="e">
        <f>'ERROR FINAL'!#REF!</f>
        <v>#REF!</v>
      </c>
      <c r="D648" s="64" t="e">
        <f>'ERROR FINAL'!#REF!</f>
        <v>#REF!</v>
      </c>
      <c r="E648" s="65" t="e">
        <f>'ERROR FINAL'!#REF!</f>
        <v>#REF!</v>
      </c>
      <c r="F648" s="66" t="e">
        <f>'ERROR FINAL'!#REF!</f>
        <v>#REF!</v>
      </c>
      <c r="G648" s="66" t="e">
        <f>'ERROR FINAL'!#REF!</f>
        <v>#REF!</v>
      </c>
      <c r="H648" s="67" t="e">
        <f>IF('ERROR FINAL'!#REF!="CONFORME","CONFORME","NO CONFORME")</f>
        <v>#REF!</v>
      </c>
      <c r="I648" s="68" t="e">
        <f t="shared" si="11"/>
        <v>#REF!</v>
      </c>
    </row>
    <row r="649" spans="1:9" x14ac:dyDescent="0.25">
      <c r="A649" s="61" t="e">
        <f>'ERROR FINAL'!#REF!</f>
        <v>#REF!</v>
      </c>
      <c r="B649" s="62" t="e">
        <f>'ERROR FINAL'!#REF!</f>
        <v>#REF!</v>
      </c>
      <c r="C649" s="63" t="e">
        <f>'ERROR FINAL'!#REF!</f>
        <v>#REF!</v>
      </c>
      <c r="D649" s="64" t="e">
        <f>'ERROR FINAL'!#REF!</f>
        <v>#REF!</v>
      </c>
      <c r="E649" s="65" t="e">
        <f>'ERROR FINAL'!#REF!</f>
        <v>#REF!</v>
      </c>
      <c r="F649" s="66" t="e">
        <f>'ERROR FINAL'!#REF!</f>
        <v>#REF!</v>
      </c>
      <c r="G649" s="66" t="e">
        <f>'ERROR FINAL'!#REF!</f>
        <v>#REF!</v>
      </c>
      <c r="H649" s="67" t="e">
        <f>IF('ERROR FINAL'!#REF!="CONFORME","CONFORME","NO CONFORME")</f>
        <v>#REF!</v>
      </c>
      <c r="I649" s="68" t="e">
        <f t="shared" si="11"/>
        <v>#REF!</v>
      </c>
    </row>
    <row r="650" spans="1:9" x14ac:dyDescent="0.25">
      <c r="A650" s="61" t="e">
        <f>'ERROR FINAL'!#REF!</f>
        <v>#REF!</v>
      </c>
      <c r="B650" s="62" t="e">
        <f>'ERROR FINAL'!#REF!</f>
        <v>#REF!</v>
      </c>
      <c r="C650" s="63" t="e">
        <f>'ERROR FINAL'!#REF!</f>
        <v>#REF!</v>
      </c>
      <c r="D650" s="64" t="e">
        <f>'ERROR FINAL'!#REF!</f>
        <v>#REF!</v>
      </c>
      <c r="E650" s="65" t="e">
        <f>'ERROR FINAL'!#REF!</f>
        <v>#REF!</v>
      </c>
      <c r="F650" s="66" t="e">
        <f>'ERROR FINAL'!#REF!</f>
        <v>#REF!</v>
      </c>
      <c r="G650" s="66" t="e">
        <f>'ERROR FINAL'!#REF!</f>
        <v>#REF!</v>
      </c>
      <c r="H650" s="67" t="e">
        <f>IF('ERROR FINAL'!#REF!="CONFORME","CONFORME","NO CONFORME")</f>
        <v>#REF!</v>
      </c>
      <c r="I650" s="68" t="e">
        <f t="shared" si="11"/>
        <v>#REF!</v>
      </c>
    </row>
    <row r="651" spans="1:9" x14ac:dyDescent="0.25">
      <c r="A651" s="61" t="e">
        <f>'ERROR FINAL'!#REF!</f>
        <v>#REF!</v>
      </c>
      <c r="B651" s="62" t="e">
        <f>'ERROR FINAL'!#REF!</f>
        <v>#REF!</v>
      </c>
      <c r="C651" s="63" t="e">
        <f>'ERROR FINAL'!#REF!</f>
        <v>#REF!</v>
      </c>
      <c r="D651" s="64" t="e">
        <f>'ERROR FINAL'!#REF!</f>
        <v>#REF!</v>
      </c>
      <c r="E651" s="65" t="e">
        <f>'ERROR FINAL'!#REF!</f>
        <v>#REF!</v>
      </c>
      <c r="F651" s="66" t="e">
        <f>'ERROR FINAL'!#REF!</f>
        <v>#REF!</v>
      </c>
      <c r="G651" s="66" t="e">
        <f>'ERROR FINAL'!#REF!</f>
        <v>#REF!</v>
      </c>
      <c r="H651" s="67" t="e">
        <f>IF('ERROR FINAL'!#REF!="CONFORME","CONFORME","NO CONFORME")</f>
        <v>#REF!</v>
      </c>
      <c r="I651" s="68" t="e">
        <f t="shared" si="11"/>
        <v>#REF!</v>
      </c>
    </row>
    <row r="652" spans="1:9" x14ac:dyDescent="0.25">
      <c r="A652" s="61" t="e">
        <f>'ERROR FINAL'!#REF!</f>
        <v>#REF!</v>
      </c>
      <c r="B652" s="62" t="e">
        <f>'ERROR FINAL'!#REF!</f>
        <v>#REF!</v>
      </c>
      <c r="C652" s="63" t="e">
        <f>'ERROR FINAL'!#REF!</f>
        <v>#REF!</v>
      </c>
      <c r="D652" s="64" t="e">
        <f>'ERROR FINAL'!#REF!</f>
        <v>#REF!</v>
      </c>
      <c r="E652" s="65" t="e">
        <f>'ERROR FINAL'!#REF!</f>
        <v>#REF!</v>
      </c>
      <c r="F652" s="66" t="e">
        <f>'ERROR FINAL'!#REF!</f>
        <v>#REF!</v>
      </c>
      <c r="G652" s="66" t="e">
        <f>'ERROR FINAL'!#REF!</f>
        <v>#REF!</v>
      </c>
      <c r="H652" s="67" t="e">
        <f>IF('ERROR FINAL'!#REF!="CONFORME","CONFORME","NO CONFORME")</f>
        <v>#REF!</v>
      </c>
      <c r="I652" s="68" t="e">
        <f t="shared" si="11"/>
        <v>#REF!</v>
      </c>
    </row>
    <row r="653" spans="1:9" x14ac:dyDescent="0.25">
      <c r="A653" s="61" t="e">
        <f>'ERROR FINAL'!#REF!</f>
        <v>#REF!</v>
      </c>
      <c r="B653" s="62" t="e">
        <f>'ERROR FINAL'!#REF!</f>
        <v>#REF!</v>
      </c>
      <c r="C653" s="63" t="e">
        <f>'ERROR FINAL'!#REF!</f>
        <v>#REF!</v>
      </c>
      <c r="D653" s="64" t="e">
        <f>'ERROR FINAL'!#REF!</f>
        <v>#REF!</v>
      </c>
      <c r="E653" s="65" t="e">
        <f>'ERROR FINAL'!#REF!</f>
        <v>#REF!</v>
      </c>
      <c r="F653" s="66" t="e">
        <f>'ERROR FINAL'!#REF!</f>
        <v>#REF!</v>
      </c>
      <c r="G653" s="66" t="e">
        <f>'ERROR FINAL'!#REF!</f>
        <v>#REF!</v>
      </c>
      <c r="H653" s="67" t="e">
        <f>IF('ERROR FINAL'!#REF!="CONFORME","CONFORME","NO CONFORME")</f>
        <v>#REF!</v>
      </c>
      <c r="I653" s="68" t="e">
        <f t="shared" si="11"/>
        <v>#REF!</v>
      </c>
    </row>
    <row r="654" spans="1:9" x14ac:dyDescent="0.25">
      <c r="A654" s="61" t="e">
        <f>'ERROR FINAL'!#REF!</f>
        <v>#REF!</v>
      </c>
      <c r="B654" s="62" t="e">
        <f>'ERROR FINAL'!#REF!</f>
        <v>#REF!</v>
      </c>
      <c r="C654" s="63" t="e">
        <f>'ERROR FINAL'!#REF!</f>
        <v>#REF!</v>
      </c>
      <c r="D654" s="64" t="e">
        <f>'ERROR FINAL'!#REF!</f>
        <v>#REF!</v>
      </c>
      <c r="E654" s="65" t="e">
        <f>'ERROR FINAL'!#REF!</f>
        <v>#REF!</v>
      </c>
      <c r="F654" s="66" t="e">
        <f>'ERROR FINAL'!#REF!</f>
        <v>#REF!</v>
      </c>
      <c r="G654" s="66" t="e">
        <f>'ERROR FINAL'!#REF!</f>
        <v>#REF!</v>
      </c>
      <c r="H654" s="67" t="e">
        <f>IF('ERROR FINAL'!#REF!="CONFORME","CONFORME","NO CONFORME")</f>
        <v>#REF!</v>
      </c>
      <c r="I654" s="68" t="e">
        <f t="shared" si="11"/>
        <v>#REF!</v>
      </c>
    </row>
    <row r="655" spans="1:9" x14ac:dyDescent="0.25">
      <c r="A655" s="61" t="e">
        <f>'ERROR FINAL'!#REF!</f>
        <v>#REF!</v>
      </c>
      <c r="B655" s="62" t="e">
        <f>'ERROR FINAL'!#REF!</f>
        <v>#REF!</v>
      </c>
      <c r="C655" s="63" t="e">
        <f>'ERROR FINAL'!#REF!</f>
        <v>#REF!</v>
      </c>
      <c r="D655" s="64" t="e">
        <f>'ERROR FINAL'!#REF!</f>
        <v>#REF!</v>
      </c>
      <c r="E655" s="65" t="e">
        <f>'ERROR FINAL'!#REF!</f>
        <v>#REF!</v>
      </c>
      <c r="F655" s="66" t="e">
        <f>'ERROR FINAL'!#REF!</f>
        <v>#REF!</v>
      </c>
      <c r="G655" s="66" t="e">
        <f>'ERROR FINAL'!#REF!</f>
        <v>#REF!</v>
      </c>
      <c r="H655" s="67" t="e">
        <f>IF('ERROR FINAL'!#REF!="CONFORME","CONFORME","NO CONFORME")</f>
        <v>#REF!</v>
      </c>
      <c r="I655" s="68" t="e">
        <f t="shared" si="11"/>
        <v>#REF!</v>
      </c>
    </row>
    <row r="656" spans="1:9" x14ac:dyDescent="0.25">
      <c r="A656" s="61" t="e">
        <f>'ERROR FINAL'!#REF!</f>
        <v>#REF!</v>
      </c>
      <c r="B656" s="62" t="e">
        <f>'ERROR FINAL'!#REF!</f>
        <v>#REF!</v>
      </c>
      <c r="C656" s="63" t="e">
        <f>'ERROR FINAL'!#REF!</f>
        <v>#REF!</v>
      </c>
      <c r="D656" s="64" t="e">
        <f>'ERROR FINAL'!#REF!</f>
        <v>#REF!</v>
      </c>
      <c r="E656" s="65" t="e">
        <f>'ERROR FINAL'!#REF!</f>
        <v>#REF!</v>
      </c>
      <c r="F656" s="66" t="e">
        <f>'ERROR FINAL'!#REF!</f>
        <v>#REF!</v>
      </c>
      <c r="G656" s="66" t="e">
        <f>'ERROR FINAL'!#REF!</f>
        <v>#REF!</v>
      </c>
      <c r="H656" s="67" t="e">
        <f>IF('ERROR FINAL'!#REF!="CONFORME","CONFORME","NO CONFORME")</f>
        <v>#REF!</v>
      </c>
      <c r="I656" s="68" t="e">
        <f t="shared" si="11"/>
        <v>#REF!</v>
      </c>
    </row>
    <row r="657" spans="1:9" x14ac:dyDescent="0.25">
      <c r="A657" s="61" t="e">
        <f>'ERROR FINAL'!#REF!</f>
        <v>#REF!</v>
      </c>
      <c r="B657" s="62" t="e">
        <f>'ERROR FINAL'!#REF!</f>
        <v>#REF!</v>
      </c>
      <c r="C657" s="63" t="e">
        <f>'ERROR FINAL'!#REF!</f>
        <v>#REF!</v>
      </c>
      <c r="D657" s="64" t="e">
        <f>'ERROR FINAL'!#REF!</f>
        <v>#REF!</v>
      </c>
      <c r="E657" s="65" t="e">
        <f>'ERROR FINAL'!#REF!</f>
        <v>#REF!</v>
      </c>
      <c r="F657" s="66" t="e">
        <f>'ERROR FINAL'!#REF!</f>
        <v>#REF!</v>
      </c>
      <c r="G657" s="66" t="e">
        <f>'ERROR FINAL'!#REF!</f>
        <v>#REF!</v>
      </c>
      <c r="H657" s="67" t="e">
        <f>IF('ERROR FINAL'!#REF!="CONFORME","CONFORME","NO CONFORME")</f>
        <v>#REF!</v>
      </c>
      <c r="I657" s="68" t="e">
        <f t="shared" si="11"/>
        <v>#REF!</v>
      </c>
    </row>
    <row r="658" spans="1:9" x14ac:dyDescent="0.25">
      <c r="A658" s="61" t="e">
        <f>'ERROR FINAL'!#REF!</f>
        <v>#REF!</v>
      </c>
      <c r="B658" s="62" t="e">
        <f>'ERROR FINAL'!#REF!</f>
        <v>#REF!</v>
      </c>
      <c r="C658" s="63" t="e">
        <f>'ERROR FINAL'!#REF!</f>
        <v>#REF!</v>
      </c>
      <c r="D658" s="64" t="e">
        <f>'ERROR FINAL'!#REF!</f>
        <v>#REF!</v>
      </c>
      <c r="E658" s="65" t="e">
        <f>'ERROR FINAL'!#REF!</f>
        <v>#REF!</v>
      </c>
      <c r="F658" s="66" t="e">
        <f>'ERROR FINAL'!#REF!</f>
        <v>#REF!</v>
      </c>
      <c r="G658" s="66" t="e">
        <f>'ERROR FINAL'!#REF!</f>
        <v>#REF!</v>
      </c>
      <c r="H658" s="67" t="e">
        <f>IF('ERROR FINAL'!#REF!="CONFORME","CONFORME","NO CONFORME")</f>
        <v>#REF!</v>
      </c>
      <c r="I658" s="68" t="e">
        <f t="shared" si="11"/>
        <v>#REF!</v>
      </c>
    </row>
    <row r="659" spans="1:9" x14ac:dyDescent="0.25">
      <c r="A659" s="61" t="e">
        <f>'ERROR FINAL'!#REF!</f>
        <v>#REF!</v>
      </c>
      <c r="B659" s="62" t="e">
        <f>'ERROR FINAL'!#REF!</f>
        <v>#REF!</v>
      </c>
      <c r="C659" s="63" t="e">
        <f>'ERROR FINAL'!#REF!</f>
        <v>#REF!</v>
      </c>
      <c r="D659" s="64" t="e">
        <f>'ERROR FINAL'!#REF!</f>
        <v>#REF!</v>
      </c>
      <c r="E659" s="65" t="e">
        <f>'ERROR FINAL'!#REF!</f>
        <v>#REF!</v>
      </c>
      <c r="F659" s="66" t="e">
        <f>'ERROR FINAL'!#REF!</f>
        <v>#REF!</v>
      </c>
      <c r="G659" s="66" t="e">
        <f>'ERROR FINAL'!#REF!</f>
        <v>#REF!</v>
      </c>
      <c r="H659" s="67" t="e">
        <f>IF('ERROR FINAL'!#REF!="CONFORME","CONFORME","NO CONFORME")</f>
        <v>#REF!</v>
      </c>
      <c r="I659" s="68" t="e">
        <f t="shared" si="11"/>
        <v>#REF!</v>
      </c>
    </row>
    <row r="660" spans="1:9" x14ac:dyDescent="0.25">
      <c r="A660" s="61" t="e">
        <f>'ERROR FINAL'!#REF!</f>
        <v>#REF!</v>
      </c>
      <c r="B660" s="62" t="e">
        <f>'ERROR FINAL'!#REF!</f>
        <v>#REF!</v>
      </c>
      <c r="C660" s="63" t="e">
        <f>'ERROR FINAL'!#REF!</f>
        <v>#REF!</v>
      </c>
      <c r="D660" s="64" t="e">
        <f>'ERROR FINAL'!#REF!</f>
        <v>#REF!</v>
      </c>
      <c r="E660" s="65" t="e">
        <f>'ERROR FINAL'!#REF!</f>
        <v>#REF!</v>
      </c>
      <c r="F660" s="66" t="e">
        <f>'ERROR FINAL'!#REF!</f>
        <v>#REF!</v>
      </c>
      <c r="G660" s="66" t="e">
        <f>'ERROR FINAL'!#REF!</f>
        <v>#REF!</v>
      </c>
      <c r="H660" s="67" t="e">
        <f>IF('ERROR FINAL'!#REF!="CONFORME","CONFORME","NO CONFORME")</f>
        <v>#REF!</v>
      </c>
      <c r="I660" s="68" t="e">
        <f t="shared" si="11"/>
        <v>#REF!</v>
      </c>
    </row>
    <row r="661" spans="1:9" x14ac:dyDescent="0.25">
      <c r="A661" s="61" t="e">
        <f>'ERROR FINAL'!#REF!</f>
        <v>#REF!</v>
      </c>
      <c r="B661" s="62" t="e">
        <f>'ERROR FINAL'!#REF!</f>
        <v>#REF!</v>
      </c>
      <c r="C661" s="63" t="e">
        <f>'ERROR FINAL'!#REF!</f>
        <v>#REF!</v>
      </c>
      <c r="D661" s="64" t="e">
        <f>'ERROR FINAL'!#REF!</f>
        <v>#REF!</v>
      </c>
      <c r="E661" s="65" t="e">
        <f>'ERROR FINAL'!#REF!</f>
        <v>#REF!</v>
      </c>
      <c r="F661" s="66" t="e">
        <f>'ERROR FINAL'!#REF!</f>
        <v>#REF!</v>
      </c>
      <c r="G661" s="66" t="e">
        <f>'ERROR FINAL'!#REF!</f>
        <v>#REF!</v>
      </c>
      <c r="H661" s="67" t="e">
        <f>IF('ERROR FINAL'!#REF!="CONFORME","CONFORME","NO CONFORME")</f>
        <v>#REF!</v>
      </c>
      <c r="I661" s="68" t="e">
        <f t="shared" si="11"/>
        <v>#REF!</v>
      </c>
    </row>
    <row r="662" spans="1:9" x14ac:dyDescent="0.25">
      <c r="A662" s="61" t="e">
        <f>'ERROR FINAL'!#REF!</f>
        <v>#REF!</v>
      </c>
      <c r="B662" s="62" t="e">
        <f>'ERROR FINAL'!#REF!</f>
        <v>#REF!</v>
      </c>
      <c r="C662" s="63" t="e">
        <f>'ERROR FINAL'!#REF!</f>
        <v>#REF!</v>
      </c>
      <c r="D662" s="64" t="e">
        <f>'ERROR FINAL'!#REF!</f>
        <v>#REF!</v>
      </c>
      <c r="E662" s="65" t="e">
        <f>'ERROR FINAL'!#REF!</f>
        <v>#REF!</v>
      </c>
      <c r="F662" s="66" t="e">
        <f>'ERROR FINAL'!#REF!</f>
        <v>#REF!</v>
      </c>
      <c r="G662" s="66" t="e">
        <f>'ERROR FINAL'!#REF!</f>
        <v>#REF!</v>
      </c>
      <c r="H662" s="67" t="e">
        <f>IF('ERROR FINAL'!#REF!="CONFORME","CONFORME","NO CONFORME")</f>
        <v>#REF!</v>
      </c>
      <c r="I662" s="68" t="e">
        <f t="shared" si="11"/>
        <v>#REF!</v>
      </c>
    </row>
    <row r="663" spans="1:9" x14ac:dyDescent="0.25">
      <c r="A663" s="61" t="e">
        <f>'ERROR FINAL'!#REF!</f>
        <v>#REF!</v>
      </c>
      <c r="B663" s="62" t="e">
        <f>'ERROR FINAL'!#REF!</f>
        <v>#REF!</v>
      </c>
      <c r="C663" s="63" t="e">
        <f>'ERROR FINAL'!#REF!</f>
        <v>#REF!</v>
      </c>
      <c r="D663" s="64" t="e">
        <f>'ERROR FINAL'!#REF!</f>
        <v>#REF!</v>
      </c>
      <c r="E663" s="65" t="e">
        <f>'ERROR FINAL'!#REF!</f>
        <v>#REF!</v>
      </c>
      <c r="F663" s="66" t="e">
        <f>'ERROR FINAL'!#REF!</f>
        <v>#REF!</v>
      </c>
      <c r="G663" s="66" t="e">
        <f>'ERROR FINAL'!#REF!</f>
        <v>#REF!</v>
      </c>
      <c r="H663" s="67" t="e">
        <f>IF('ERROR FINAL'!#REF!="CONFORME","CONFORME","NO CONFORME")</f>
        <v>#REF!</v>
      </c>
      <c r="I663" s="68" t="e">
        <f t="shared" si="11"/>
        <v>#REF!</v>
      </c>
    </row>
    <row r="664" spans="1:9" x14ac:dyDescent="0.25">
      <c r="A664" s="61" t="e">
        <f>'ERROR FINAL'!#REF!</f>
        <v>#REF!</v>
      </c>
      <c r="B664" s="62" t="e">
        <f>'ERROR FINAL'!#REF!</f>
        <v>#REF!</v>
      </c>
      <c r="C664" s="63" t="e">
        <f>'ERROR FINAL'!#REF!</f>
        <v>#REF!</v>
      </c>
      <c r="D664" s="64" t="e">
        <f>'ERROR FINAL'!#REF!</f>
        <v>#REF!</v>
      </c>
      <c r="E664" s="65" t="e">
        <f>'ERROR FINAL'!#REF!</f>
        <v>#REF!</v>
      </c>
      <c r="F664" s="66" t="e">
        <f>'ERROR FINAL'!#REF!</f>
        <v>#REF!</v>
      </c>
      <c r="G664" s="66" t="e">
        <f>'ERROR FINAL'!#REF!</f>
        <v>#REF!</v>
      </c>
      <c r="H664" s="67" t="e">
        <f>IF('ERROR FINAL'!#REF!="CONFORME","CONFORME","NO CONFORME")</f>
        <v>#REF!</v>
      </c>
      <c r="I664" s="68" t="e">
        <f t="shared" si="11"/>
        <v>#REF!</v>
      </c>
    </row>
    <row r="665" spans="1:9" x14ac:dyDescent="0.25">
      <c r="A665" s="61" t="e">
        <f>'ERROR FINAL'!#REF!</f>
        <v>#REF!</v>
      </c>
      <c r="B665" s="62" t="e">
        <f>'ERROR FINAL'!#REF!</f>
        <v>#REF!</v>
      </c>
      <c r="C665" s="63" t="e">
        <f>'ERROR FINAL'!#REF!</f>
        <v>#REF!</v>
      </c>
      <c r="D665" s="64" t="e">
        <f>'ERROR FINAL'!#REF!</f>
        <v>#REF!</v>
      </c>
      <c r="E665" s="65" t="e">
        <f>'ERROR FINAL'!#REF!</f>
        <v>#REF!</v>
      </c>
      <c r="F665" s="66" t="e">
        <f>'ERROR FINAL'!#REF!</f>
        <v>#REF!</v>
      </c>
      <c r="G665" s="66" t="e">
        <f>'ERROR FINAL'!#REF!</f>
        <v>#REF!</v>
      </c>
      <c r="H665" s="67" t="e">
        <f>IF('ERROR FINAL'!#REF!="CONFORME","CONFORME","NO CONFORME")</f>
        <v>#REF!</v>
      </c>
      <c r="I665" s="68" t="e">
        <f t="shared" si="11"/>
        <v>#REF!</v>
      </c>
    </row>
    <row r="666" spans="1:9" x14ac:dyDescent="0.25">
      <c r="A666" s="61" t="e">
        <f>'ERROR FINAL'!#REF!</f>
        <v>#REF!</v>
      </c>
      <c r="B666" s="62" t="e">
        <f>'ERROR FINAL'!#REF!</f>
        <v>#REF!</v>
      </c>
      <c r="C666" s="63" t="e">
        <f>'ERROR FINAL'!#REF!</f>
        <v>#REF!</v>
      </c>
      <c r="D666" s="64" t="e">
        <f>'ERROR FINAL'!#REF!</f>
        <v>#REF!</v>
      </c>
      <c r="E666" s="65" t="e">
        <f>'ERROR FINAL'!#REF!</f>
        <v>#REF!</v>
      </c>
      <c r="F666" s="66" t="e">
        <f>'ERROR FINAL'!#REF!</f>
        <v>#REF!</v>
      </c>
      <c r="G666" s="66" t="e">
        <f>'ERROR FINAL'!#REF!</f>
        <v>#REF!</v>
      </c>
      <c r="H666" s="67" t="e">
        <f>IF('ERROR FINAL'!#REF!="CONFORME","CONFORME","NO CONFORME")</f>
        <v>#REF!</v>
      </c>
      <c r="I666" s="68" t="e">
        <f t="shared" si="11"/>
        <v>#REF!</v>
      </c>
    </row>
    <row r="667" spans="1:9" x14ac:dyDescent="0.25">
      <c r="A667" s="61" t="e">
        <f>'ERROR FINAL'!#REF!</f>
        <v>#REF!</v>
      </c>
      <c r="B667" s="62" t="e">
        <f>'ERROR FINAL'!#REF!</f>
        <v>#REF!</v>
      </c>
      <c r="C667" s="63" t="e">
        <f>'ERROR FINAL'!#REF!</f>
        <v>#REF!</v>
      </c>
      <c r="D667" s="64" t="e">
        <f>'ERROR FINAL'!#REF!</f>
        <v>#REF!</v>
      </c>
      <c r="E667" s="65" t="e">
        <f>'ERROR FINAL'!#REF!</f>
        <v>#REF!</v>
      </c>
      <c r="F667" s="66" t="e">
        <f>'ERROR FINAL'!#REF!</f>
        <v>#REF!</v>
      </c>
      <c r="G667" s="66" t="e">
        <f>'ERROR FINAL'!#REF!</f>
        <v>#REF!</v>
      </c>
      <c r="H667" s="67" t="e">
        <f>IF('ERROR FINAL'!#REF!="CONFORME","CONFORME","NO CONFORME")</f>
        <v>#REF!</v>
      </c>
      <c r="I667" s="68" t="e">
        <f t="shared" si="11"/>
        <v>#REF!</v>
      </c>
    </row>
    <row r="668" spans="1:9" x14ac:dyDescent="0.25">
      <c r="A668" s="61" t="e">
        <f>'ERROR FINAL'!#REF!</f>
        <v>#REF!</v>
      </c>
      <c r="B668" s="62" t="e">
        <f>'ERROR FINAL'!#REF!</f>
        <v>#REF!</v>
      </c>
      <c r="C668" s="63" t="e">
        <f>'ERROR FINAL'!#REF!</f>
        <v>#REF!</v>
      </c>
      <c r="D668" s="64" t="e">
        <f>'ERROR FINAL'!#REF!</f>
        <v>#REF!</v>
      </c>
      <c r="E668" s="65" t="e">
        <f>'ERROR FINAL'!#REF!</f>
        <v>#REF!</v>
      </c>
      <c r="F668" s="66" t="e">
        <f>'ERROR FINAL'!#REF!</f>
        <v>#REF!</v>
      </c>
      <c r="G668" s="66" t="e">
        <f>'ERROR FINAL'!#REF!</f>
        <v>#REF!</v>
      </c>
      <c r="H668" s="67" t="e">
        <f>IF('ERROR FINAL'!#REF!="CONFORME","CONFORME","NO CONFORME")</f>
        <v>#REF!</v>
      </c>
      <c r="I668" s="68" t="e">
        <f t="shared" si="11"/>
        <v>#REF!</v>
      </c>
    </row>
    <row r="669" spans="1:9" x14ac:dyDescent="0.25">
      <c r="A669" s="61" t="e">
        <f>'ERROR FINAL'!#REF!</f>
        <v>#REF!</v>
      </c>
      <c r="B669" s="62" t="e">
        <f>'ERROR FINAL'!#REF!</f>
        <v>#REF!</v>
      </c>
      <c r="C669" s="63" t="e">
        <f>'ERROR FINAL'!#REF!</f>
        <v>#REF!</v>
      </c>
      <c r="D669" s="64" t="e">
        <f>'ERROR FINAL'!#REF!</f>
        <v>#REF!</v>
      </c>
      <c r="E669" s="65" t="e">
        <f>'ERROR FINAL'!#REF!</f>
        <v>#REF!</v>
      </c>
      <c r="F669" s="66" t="e">
        <f>'ERROR FINAL'!#REF!</f>
        <v>#REF!</v>
      </c>
      <c r="G669" s="66" t="e">
        <f>'ERROR FINAL'!#REF!</f>
        <v>#REF!</v>
      </c>
      <c r="H669" s="67" t="e">
        <f>IF('ERROR FINAL'!#REF!="CONFORME","CONFORME","NO CONFORME")</f>
        <v>#REF!</v>
      </c>
      <c r="I669" s="68" t="e">
        <f t="shared" si="11"/>
        <v>#REF!</v>
      </c>
    </row>
    <row r="670" spans="1:9" x14ac:dyDescent="0.25">
      <c r="A670" s="61" t="e">
        <f>'ERROR FINAL'!#REF!</f>
        <v>#REF!</v>
      </c>
      <c r="B670" s="62" t="e">
        <f>'ERROR FINAL'!#REF!</f>
        <v>#REF!</v>
      </c>
      <c r="C670" s="63" t="e">
        <f>'ERROR FINAL'!#REF!</f>
        <v>#REF!</v>
      </c>
      <c r="D670" s="64" t="e">
        <f>'ERROR FINAL'!#REF!</f>
        <v>#REF!</v>
      </c>
      <c r="E670" s="65" t="e">
        <f>'ERROR FINAL'!#REF!</f>
        <v>#REF!</v>
      </c>
      <c r="F670" s="66" t="e">
        <f>'ERROR FINAL'!#REF!</f>
        <v>#REF!</v>
      </c>
      <c r="G670" s="66" t="e">
        <f>'ERROR FINAL'!#REF!</f>
        <v>#REF!</v>
      </c>
      <c r="H670" s="67" t="e">
        <f>IF('ERROR FINAL'!#REF!="CONFORME","CONFORME","NO CONFORME")</f>
        <v>#REF!</v>
      </c>
      <c r="I670" s="68" t="e">
        <f t="shared" si="11"/>
        <v>#REF!</v>
      </c>
    </row>
    <row r="671" spans="1:9" x14ac:dyDescent="0.25">
      <c r="A671" s="61" t="e">
        <f>'ERROR FINAL'!#REF!</f>
        <v>#REF!</v>
      </c>
      <c r="B671" s="62" t="e">
        <f>'ERROR FINAL'!#REF!</f>
        <v>#REF!</v>
      </c>
      <c r="C671" s="63" t="e">
        <f>'ERROR FINAL'!#REF!</f>
        <v>#REF!</v>
      </c>
      <c r="D671" s="64" t="e">
        <f>'ERROR FINAL'!#REF!</f>
        <v>#REF!</v>
      </c>
      <c r="E671" s="65" t="e">
        <f>'ERROR FINAL'!#REF!</f>
        <v>#REF!</v>
      </c>
      <c r="F671" s="66" t="e">
        <f>'ERROR FINAL'!#REF!</f>
        <v>#REF!</v>
      </c>
      <c r="G671" s="66" t="e">
        <f>'ERROR FINAL'!#REF!</f>
        <v>#REF!</v>
      </c>
      <c r="H671" s="67" t="e">
        <f>IF('ERROR FINAL'!#REF!="CONFORME","CONFORME","NO CONFORME")</f>
        <v>#REF!</v>
      </c>
      <c r="I671" s="68" t="e">
        <f t="shared" si="11"/>
        <v>#REF!</v>
      </c>
    </row>
    <row r="672" spans="1:9" x14ac:dyDescent="0.25">
      <c r="A672" s="61" t="e">
        <f>'ERROR FINAL'!#REF!</f>
        <v>#REF!</v>
      </c>
      <c r="B672" s="62" t="e">
        <f>'ERROR FINAL'!#REF!</f>
        <v>#REF!</v>
      </c>
      <c r="C672" s="63" t="e">
        <f>'ERROR FINAL'!#REF!</f>
        <v>#REF!</v>
      </c>
      <c r="D672" s="64" t="e">
        <f>'ERROR FINAL'!#REF!</f>
        <v>#REF!</v>
      </c>
      <c r="E672" s="65" t="e">
        <f>'ERROR FINAL'!#REF!</f>
        <v>#REF!</v>
      </c>
      <c r="F672" s="66" t="e">
        <f>'ERROR FINAL'!#REF!</f>
        <v>#REF!</v>
      </c>
      <c r="G672" s="66" t="e">
        <f>'ERROR FINAL'!#REF!</f>
        <v>#REF!</v>
      </c>
      <c r="H672" s="67" t="e">
        <f>IF('ERROR FINAL'!#REF!="CONFORME","CONFORME","NO CONFORME")</f>
        <v>#REF!</v>
      </c>
      <c r="I672" s="68" t="e">
        <f t="shared" si="11"/>
        <v>#REF!</v>
      </c>
    </row>
    <row r="673" spans="1:9" x14ac:dyDescent="0.25">
      <c r="A673" s="61" t="e">
        <f>'ERROR FINAL'!#REF!</f>
        <v>#REF!</v>
      </c>
      <c r="B673" s="62" t="e">
        <f>'ERROR FINAL'!#REF!</f>
        <v>#REF!</v>
      </c>
      <c r="C673" s="63" t="e">
        <f>'ERROR FINAL'!#REF!</f>
        <v>#REF!</v>
      </c>
      <c r="D673" s="64" t="e">
        <f>'ERROR FINAL'!#REF!</f>
        <v>#REF!</v>
      </c>
      <c r="E673" s="65" t="e">
        <f>'ERROR FINAL'!#REF!</f>
        <v>#REF!</v>
      </c>
      <c r="F673" s="66" t="e">
        <f>'ERROR FINAL'!#REF!</f>
        <v>#REF!</v>
      </c>
      <c r="G673" s="66" t="e">
        <f>'ERROR FINAL'!#REF!</f>
        <v>#REF!</v>
      </c>
      <c r="H673" s="67" t="e">
        <f>IF('ERROR FINAL'!#REF!="CONFORME","CONFORME","NO CONFORME")</f>
        <v>#REF!</v>
      </c>
      <c r="I673" s="68" t="e">
        <f t="shared" si="11"/>
        <v>#REF!</v>
      </c>
    </row>
    <row r="674" spans="1:9" x14ac:dyDescent="0.25">
      <c r="A674" s="61" t="e">
        <f>'ERROR FINAL'!#REF!</f>
        <v>#REF!</v>
      </c>
      <c r="B674" s="62" t="e">
        <f>'ERROR FINAL'!#REF!</f>
        <v>#REF!</v>
      </c>
      <c r="C674" s="63" t="e">
        <f>'ERROR FINAL'!#REF!</f>
        <v>#REF!</v>
      </c>
      <c r="D674" s="64" t="e">
        <f>'ERROR FINAL'!#REF!</f>
        <v>#REF!</v>
      </c>
      <c r="E674" s="65" t="e">
        <f>'ERROR FINAL'!#REF!</f>
        <v>#REF!</v>
      </c>
      <c r="F674" s="66" t="e">
        <f>'ERROR FINAL'!#REF!</f>
        <v>#REF!</v>
      </c>
      <c r="G674" s="66" t="e">
        <f>'ERROR FINAL'!#REF!</f>
        <v>#REF!</v>
      </c>
      <c r="H674" s="67" t="e">
        <f>IF('ERROR FINAL'!#REF!="CONFORME","CONFORME","NO CONFORME")</f>
        <v>#REF!</v>
      </c>
      <c r="I674" s="68" t="e">
        <f t="shared" si="11"/>
        <v>#REF!</v>
      </c>
    </row>
    <row r="675" spans="1:9" x14ac:dyDescent="0.25">
      <c r="A675" s="61" t="e">
        <f>'ERROR FINAL'!#REF!</f>
        <v>#REF!</v>
      </c>
      <c r="B675" s="62" t="e">
        <f>'ERROR FINAL'!#REF!</f>
        <v>#REF!</v>
      </c>
      <c r="C675" s="63" t="e">
        <f>'ERROR FINAL'!#REF!</f>
        <v>#REF!</v>
      </c>
      <c r="D675" s="64" t="e">
        <f>'ERROR FINAL'!#REF!</f>
        <v>#REF!</v>
      </c>
      <c r="E675" s="65" t="e">
        <f>'ERROR FINAL'!#REF!</f>
        <v>#REF!</v>
      </c>
      <c r="F675" s="66" t="e">
        <f>'ERROR FINAL'!#REF!</f>
        <v>#REF!</v>
      </c>
      <c r="G675" s="66" t="e">
        <f>'ERROR FINAL'!#REF!</f>
        <v>#REF!</v>
      </c>
      <c r="H675" s="67" t="e">
        <f>IF('ERROR FINAL'!#REF!="CONFORME","CONFORME","NO CONFORME")</f>
        <v>#REF!</v>
      </c>
      <c r="I675" s="68" t="e">
        <f t="shared" si="11"/>
        <v>#REF!</v>
      </c>
    </row>
    <row r="676" spans="1:9" x14ac:dyDescent="0.25">
      <c r="A676" s="61" t="e">
        <f>'ERROR FINAL'!#REF!</f>
        <v>#REF!</v>
      </c>
      <c r="B676" s="62" t="e">
        <f>'ERROR FINAL'!#REF!</f>
        <v>#REF!</v>
      </c>
      <c r="C676" s="63" t="e">
        <f>'ERROR FINAL'!#REF!</f>
        <v>#REF!</v>
      </c>
      <c r="D676" s="64" t="e">
        <f>'ERROR FINAL'!#REF!</f>
        <v>#REF!</v>
      </c>
      <c r="E676" s="65" t="e">
        <f>'ERROR FINAL'!#REF!</f>
        <v>#REF!</v>
      </c>
      <c r="F676" s="66" t="e">
        <f>'ERROR FINAL'!#REF!</f>
        <v>#REF!</v>
      </c>
      <c r="G676" s="66" t="e">
        <f>'ERROR FINAL'!#REF!</f>
        <v>#REF!</v>
      </c>
      <c r="H676" s="67" t="e">
        <f>IF('ERROR FINAL'!#REF!="CONFORME","CONFORME","NO CONFORME")</f>
        <v>#REF!</v>
      </c>
      <c r="I676" s="68" t="e">
        <f t="shared" si="11"/>
        <v>#REF!</v>
      </c>
    </row>
    <row r="677" spans="1:9" x14ac:dyDescent="0.25">
      <c r="A677" s="61" t="e">
        <f>'ERROR FINAL'!#REF!</f>
        <v>#REF!</v>
      </c>
      <c r="B677" s="62" t="e">
        <f>'ERROR FINAL'!#REF!</f>
        <v>#REF!</v>
      </c>
      <c r="C677" s="63" t="e">
        <f>'ERROR FINAL'!#REF!</f>
        <v>#REF!</v>
      </c>
      <c r="D677" s="64" t="e">
        <f>'ERROR FINAL'!#REF!</f>
        <v>#REF!</v>
      </c>
      <c r="E677" s="65" t="e">
        <f>'ERROR FINAL'!#REF!</f>
        <v>#REF!</v>
      </c>
      <c r="F677" s="66" t="e">
        <f>'ERROR FINAL'!#REF!</f>
        <v>#REF!</v>
      </c>
      <c r="G677" s="66" t="e">
        <f>'ERROR FINAL'!#REF!</f>
        <v>#REF!</v>
      </c>
      <c r="H677" s="67" t="e">
        <f>IF('ERROR FINAL'!#REF!="CONFORME","CONFORME","NO CONFORME")</f>
        <v>#REF!</v>
      </c>
      <c r="I677" s="68" t="e">
        <f t="shared" si="11"/>
        <v>#REF!</v>
      </c>
    </row>
    <row r="678" spans="1:9" x14ac:dyDescent="0.25">
      <c r="A678" s="61" t="e">
        <f>'ERROR FINAL'!#REF!</f>
        <v>#REF!</v>
      </c>
      <c r="B678" s="62" t="e">
        <f>'ERROR FINAL'!#REF!</f>
        <v>#REF!</v>
      </c>
      <c r="C678" s="63" t="e">
        <f>'ERROR FINAL'!#REF!</f>
        <v>#REF!</v>
      </c>
      <c r="D678" s="64" t="e">
        <f>'ERROR FINAL'!#REF!</f>
        <v>#REF!</v>
      </c>
      <c r="E678" s="65" t="e">
        <f>'ERROR FINAL'!#REF!</f>
        <v>#REF!</v>
      </c>
      <c r="F678" s="66" t="e">
        <f>'ERROR FINAL'!#REF!</f>
        <v>#REF!</v>
      </c>
      <c r="G678" s="66" t="e">
        <f>'ERROR FINAL'!#REF!</f>
        <v>#REF!</v>
      </c>
      <c r="H678" s="67" t="e">
        <f>IF('ERROR FINAL'!#REF!="CONFORME","CONFORME","NO CONFORME")</f>
        <v>#REF!</v>
      </c>
      <c r="I678" s="68" t="e">
        <f t="shared" si="11"/>
        <v>#REF!</v>
      </c>
    </row>
    <row r="679" spans="1:9" x14ac:dyDescent="0.25">
      <c r="A679" s="61" t="e">
        <f>'ERROR FINAL'!#REF!</f>
        <v>#REF!</v>
      </c>
      <c r="B679" s="62" t="e">
        <f>'ERROR FINAL'!#REF!</f>
        <v>#REF!</v>
      </c>
      <c r="C679" s="63" t="e">
        <f>'ERROR FINAL'!#REF!</f>
        <v>#REF!</v>
      </c>
      <c r="D679" s="64" t="e">
        <f>'ERROR FINAL'!#REF!</f>
        <v>#REF!</v>
      </c>
      <c r="E679" s="65" t="e">
        <f>'ERROR FINAL'!#REF!</f>
        <v>#REF!</v>
      </c>
      <c r="F679" s="66" t="e">
        <f>'ERROR FINAL'!#REF!</f>
        <v>#REF!</v>
      </c>
      <c r="G679" s="66" t="e">
        <f>'ERROR FINAL'!#REF!</f>
        <v>#REF!</v>
      </c>
      <c r="H679" s="67" t="e">
        <f>IF('ERROR FINAL'!#REF!="CONFORME","CONFORME","NO CONFORME")</f>
        <v>#REF!</v>
      </c>
      <c r="I679" s="68" t="e">
        <f t="shared" si="11"/>
        <v>#REF!</v>
      </c>
    </row>
    <row r="680" spans="1:9" x14ac:dyDescent="0.25">
      <c r="A680" s="61" t="e">
        <f>'ERROR FINAL'!#REF!</f>
        <v>#REF!</v>
      </c>
      <c r="B680" s="62" t="e">
        <f>'ERROR FINAL'!#REF!</f>
        <v>#REF!</v>
      </c>
      <c r="C680" s="63" t="e">
        <f>'ERROR FINAL'!#REF!</f>
        <v>#REF!</v>
      </c>
      <c r="D680" s="64" t="e">
        <f>'ERROR FINAL'!#REF!</f>
        <v>#REF!</v>
      </c>
      <c r="E680" s="65" t="e">
        <f>'ERROR FINAL'!#REF!</f>
        <v>#REF!</v>
      </c>
      <c r="F680" s="66" t="e">
        <f>'ERROR FINAL'!#REF!</f>
        <v>#REF!</v>
      </c>
      <c r="G680" s="66" t="e">
        <f>'ERROR FINAL'!#REF!</f>
        <v>#REF!</v>
      </c>
      <c r="H680" s="67" t="e">
        <f>IF('ERROR FINAL'!#REF!="CONFORME","CONFORME","NO CONFORME")</f>
        <v>#REF!</v>
      </c>
      <c r="I680" s="68" t="e">
        <f t="shared" si="11"/>
        <v>#REF!</v>
      </c>
    </row>
    <row r="681" spans="1:9" x14ac:dyDescent="0.25">
      <c r="A681" s="61" t="e">
        <f>'ERROR FINAL'!#REF!</f>
        <v>#REF!</v>
      </c>
      <c r="B681" s="62" t="e">
        <f>'ERROR FINAL'!#REF!</f>
        <v>#REF!</v>
      </c>
      <c r="C681" s="63" t="e">
        <f>'ERROR FINAL'!#REF!</f>
        <v>#REF!</v>
      </c>
      <c r="D681" s="64" t="e">
        <f>'ERROR FINAL'!#REF!</f>
        <v>#REF!</v>
      </c>
      <c r="E681" s="65" t="e">
        <f>'ERROR FINAL'!#REF!</f>
        <v>#REF!</v>
      </c>
      <c r="F681" s="66" t="e">
        <f>'ERROR FINAL'!#REF!</f>
        <v>#REF!</v>
      </c>
      <c r="G681" s="66" t="e">
        <f>'ERROR FINAL'!#REF!</f>
        <v>#REF!</v>
      </c>
      <c r="H681" s="67" t="e">
        <f>IF('ERROR FINAL'!#REF!="CONFORME","CONFORME","NO CONFORME")</f>
        <v>#REF!</v>
      </c>
      <c r="I681" s="68" t="e">
        <f t="shared" si="11"/>
        <v>#REF!</v>
      </c>
    </row>
    <row r="682" spans="1:9" x14ac:dyDescent="0.25">
      <c r="A682" s="61" t="e">
        <f>'ERROR FINAL'!#REF!</f>
        <v>#REF!</v>
      </c>
      <c r="B682" s="62" t="e">
        <f>'ERROR FINAL'!#REF!</f>
        <v>#REF!</v>
      </c>
      <c r="C682" s="63" t="e">
        <f>'ERROR FINAL'!#REF!</f>
        <v>#REF!</v>
      </c>
      <c r="D682" s="64" t="e">
        <f>'ERROR FINAL'!#REF!</f>
        <v>#REF!</v>
      </c>
      <c r="E682" s="65" t="e">
        <f>'ERROR FINAL'!#REF!</f>
        <v>#REF!</v>
      </c>
      <c r="F682" s="66" t="e">
        <f>'ERROR FINAL'!#REF!</f>
        <v>#REF!</v>
      </c>
      <c r="G682" s="66" t="e">
        <f>'ERROR FINAL'!#REF!</f>
        <v>#REF!</v>
      </c>
      <c r="H682" s="67" t="e">
        <f>IF('ERROR FINAL'!#REF!="CONFORME","CONFORME","NO CONFORME")</f>
        <v>#REF!</v>
      </c>
      <c r="I682" s="68" t="e">
        <f t="shared" si="11"/>
        <v>#REF!</v>
      </c>
    </row>
    <row r="683" spans="1:9" x14ac:dyDescent="0.25">
      <c r="A683" s="61" t="e">
        <f>'ERROR FINAL'!#REF!</f>
        <v>#REF!</v>
      </c>
      <c r="B683" s="62" t="e">
        <f>'ERROR FINAL'!#REF!</f>
        <v>#REF!</v>
      </c>
      <c r="C683" s="63" t="e">
        <f>'ERROR FINAL'!#REF!</f>
        <v>#REF!</v>
      </c>
      <c r="D683" s="64" t="e">
        <f>'ERROR FINAL'!#REF!</f>
        <v>#REF!</v>
      </c>
      <c r="E683" s="65" t="e">
        <f>'ERROR FINAL'!#REF!</f>
        <v>#REF!</v>
      </c>
      <c r="F683" s="66" t="e">
        <f>'ERROR FINAL'!#REF!</f>
        <v>#REF!</v>
      </c>
      <c r="G683" s="66" t="e">
        <f>'ERROR FINAL'!#REF!</f>
        <v>#REF!</v>
      </c>
      <c r="H683" s="67" t="e">
        <f>IF('ERROR FINAL'!#REF!="CONFORME","CONFORME","NO CONFORME")</f>
        <v>#REF!</v>
      </c>
      <c r="I683" s="68" t="e">
        <f t="shared" si="11"/>
        <v>#REF!</v>
      </c>
    </row>
    <row r="684" spans="1:9" x14ac:dyDescent="0.25">
      <c r="A684" s="61" t="e">
        <f>'ERROR FINAL'!#REF!</f>
        <v>#REF!</v>
      </c>
      <c r="B684" s="62" t="e">
        <f>'ERROR FINAL'!#REF!</f>
        <v>#REF!</v>
      </c>
      <c r="C684" s="63" t="e">
        <f>'ERROR FINAL'!#REF!</f>
        <v>#REF!</v>
      </c>
      <c r="D684" s="64" t="e">
        <f>'ERROR FINAL'!#REF!</f>
        <v>#REF!</v>
      </c>
      <c r="E684" s="65" t="e">
        <f>'ERROR FINAL'!#REF!</f>
        <v>#REF!</v>
      </c>
      <c r="F684" s="66" t="e">
        <f>'ERROR FINAL'!#REF!</f>
        <v>#REF!</v>
      </c>
      <c r="G684" s="66" t="e">
        <f>'ERROR FINAL'!#REF!</f>
        <v>#REF!</v>
      </c>
      <c r="H684" s="67" t="e">
        <f>IF('ERROR FINAL'!#REF!="CONFORME","CONFORME","NO CONFORME")</f>
        <v>#REF!</v>
      </c>
      <c r="I684" s="68" t="e">
        <f t="shared" si="11"/>
        <v>#REF!</v>
      </c>
    </row>
    <row r="685" spans="1:9" x14ac:dyDescent="0.25">
      <c r="A685" s="61" t="e">
        <f>'ERROR FINAL'!#REF!</f>
        <v>#REF!</v>
      </c>
      <c r="B685" s="62" t="e">
        <f>'ERROR FINAL'!#REF!</f>
        <v>#REF!</v>
      </c>
      <c r="C685" s="63" t="e">
        <f>'ERROR FINAL'!#REF!</f>
        <v>#REF!</v>
      </c>
      <c r="D685" s="64" t="e">
        <f>'ERROR FINAL'!#REF!</f>
        <v>#REF!</v>
      </c>
      <c r="E685" s="65" t="e">
        <f>'ERROR FINAL'!#REF!</f>
        <v>#REF!</v>
      </c>
      <c r="F685" s="66" t="e">
        <f>'ERROR FINAL'!#REF!</f>
        <v>#REF!</v>
      </c>
      <c r="G685" s="66" t="e">
        <f>'ERROR FINAL'!#REF!</f>
        <v>#REF!</v>
      </c>
      <c r="H685" s="67" t="e">
        <f>IF('ERROR FINAL'!#REF!="CONFORME","CONFORME","NO CONFORME")</f>
        <v>#REF!</v>
      </c>
      <c r="I685" s="68" t="e">
        <f t="shared" si="11"/>
        <v>#REF!</v>
      </c>
    </row>
    <row r="686" spans="1:9" x14ac:dyDescent="0.25">
      <c r="A686" s="61" t="e">
        <f>'ERROR FINAL'!#REF!</f>
        <v>#REF!</v>
      </c>
      <c r="B686" s="62" t="e">
        <f>'ERROR FINAL'!#REF!</f>
        <v>#REF!</v>
      </c>
      <c r="C686" s="63" t="e">
        <f>'ERROR FINAL'!#REF!</f>
        <v>#REF!</v>
      </c>
      <c r="D686" s="64" t="e">
        <f>'ERROR FINAL'!#REF!</f>
        <v>#REF!</v>
      </c>
      <c r="E686" s="65" t="e">
        <f>'ERROR FINAL'!#REF!</f>
        <v>#REF!</v>
      </c>
      <c r="F686" s="66" t="e">
        <f>'ERROR FINAL'!#REF!</f>
        <v>#REF!</v>
      </c>
      <c r="G686" s="66" t="e">
        <f>'ERROR FINAL'!#REF!</f>
        <v>#REF!</v>
      </c>
      <c r="H686" s="67" t="e">
        <f>IF('ERROR FINAL'!#REF!="CONFORME","CONFORME","NO CONFORME")</f>
        <v>#REF!</v>
      </c>
      <c r="I686" s="68" t="e">
        <f t="shared" si="11"/>
        <v>#REF!</v>
      </c>
    </row>
    <row r="687" spans="1:9" x14ac:dyDescent="0.25">
      <c r="A687" s="61" t="e">
        <f>'ERROR FINAL'!#REF!</f>
        <v>#REF!</v>
      </c>
      <c r="B687" s="62" t="e">
        <f>'ERROR FINAL'!#REF!</f>
        <v>#REF!</v>
      </c>
      <c r="C687" s="63" t="e">
        <f>'ERROR FINAL'!#REF!</f>
        <v>#REF!</v>
      </c>
      <c r="D687" s="64" t="e">
        <f>'ERROR FINAL'!#REF!</f>
        <v>#REF!</v>
      </c>
      <c r="E687" s="65" t="e">
        <f>'ERROR FINAL'!#REF!</f>
        <v>#REF!</v>
      </c>
      <c r="F687" s="66" t="e">
        <f>'ERROR FINAL'!#REF!</f>
        <v>#REF!</v>
      </c>
      <c r="G687" s="66" t="e">
        <f>'ERROR FINAL'!#REF!</f>
        <v>#REF!</v>
      </c>
      <c r="H687" s="67" t="e">
        <f>IF('ERROR FINAL'!#REF!="CONFORME","CONFORME","NO CONFORME")</f>
        <v>#REF!</v>
      </c>
      <c r="I687" s="68" t="e">
        <f t="shared" si="11"/>
        <v>#REF!</v>
      </c>
    </row>
    <row r="688" spans="1:9" x14ac:dyDescent="0.25">
      <c r="A688" s="61" t="e">
        <f>'ERROR FINAL'!#REF!</f>
        <v>#REF!</v>
      </c>
      <c r="B688" s="62" t="e">
        <f>'ERROR FINAL'!#REF!</f>
        <v>#REF!</v>
      </c>
      <c r="C688" s="63" t="e">
        <f>'ERROR FINAL'!#REF!</f>
        <v>#REF!</v>
      </c>
      <c r="D688" s="64" t="e">
        <f>'ERROR FINAL'!#REF!</f>
        <v>#REF!</v>
      </c>
      <c r="E688" s="65" t="e">
        <f>'ERROR FINAL'!#REF!</f>
        <v>#REF!</v>
      </c>
      <c r="F688" s="66" t="e">
        <f>'ERROR FINAL'!#REF!</f>
        <v>#REF!</v>
      </c>
      <c r="G688" s="66" t="e">
        <f>'ERROR FINAL'!#REF!</f>
        <v>#REF!</v>
      </c>
      <c r="H688" s="67" t="e">
        <f>IF('ERROR FINAL'!#REF!="CONFORME","CONFORME","NO CONFORME")</f>
        <v>#REF!</v>
      </c>
      <c r="I688" s="68" t="e">
        <f t="shared" si="11"/>
        <v>#REF!</v>
      </c>
    </row>
    <row r="689" spans="1:9" x14ac:dyDescent="0.25">
      <c r="A689" s="61" t="e">
        <f>'ERROR FINAL'!#REF!</f>
        <v>#REF!</v>
      </c>
      <c r="B689" s="62" t="e">
        <f>'ERROR FINAL'!#REF!</f>
        <v>#REF!</v>
      </c>
      <c r="C689" s="63" t="e">
        <f>'ERROR FINAL'!#REF!</f>
        <v>#REF!</v>
      </c>
      <c r="D689" s="64" t="e">
        <f>'ERROR FINAL'!#REF!</f>
        <v>#REF!</v>
      </c>
      <c r="E689" s="65" t="e">
        <f>'ERROR FINAL'!#REF!</f>
        <v>#REF!</v>
      </c>
      <c r="F689" s="66" t="e">
        <f>'ERROR FINAL'!#REF!</f>
        <v>#REF!</v>
      </c>
      <c r="G689" s="66" t="e">
        <f>'ERROR FINAL'!#REF!</f>
        <v>#REF!</v>
      </c>
      <c r="H689" s="67" t="e">
        <f>IF('ERROR FINAL'!#REF!="CONFORME","CONFORME","NO CONFORME")</f>
        <v>#REF!</v>
      </c>
      <c r="I689" s="68" t="e">
        <f t="shared" si="11"/>
        <v>#REF!</v>
      </c>
    </row>
    <row r="690" spans="1:9" x14ac:dyDescent="0.25">
      <c r="A690" s="61" t="e">
        <f>'ERROR FINAL'!#REF!</f>
        <v>#REF!</v>
      </c>
      <c r="B690" s="62" t="e">
        <f>'ERROR FINAL'!#REF!</f>
        <v>#REF!</v>
      </c>
      <c r="C690" s="63" t="e">
        <f>'ERROR FINAL'!#REF!</f>
        <v>#REF!</v>
      </c>
      <c r="D690" s="64" t="e">
        <f>'ERROR FINAL'!#REF!</f>
        <v>#REF!</v>
      </c>
      <c r="E690" s="65" t="e">
        <f>'ERROR FINAL'!#REF!</f>
        <v>#REF!</v>
      </c>
      <c r="F690" s="66" t="e">
        <f>'ERROR FINAL'!#REF!</f>
        <v>#REF!</v>
      </c>
      <c r="G690" s="66" t="e">
        <f>'ERROR FINAL'!#REF!</f>
        <v>#REF!</v>
      </c>
      <c r="H690" s="67" t="e">
        <f>IF('ERROR FINAL'!#REF!="CONFORME","CONFORME","NO CONFORME")</f>
        <v>#REF!</v>
      </c>
      <c r="I690" s="68" t="e">
        <f t="shared" si="11"/>
        <v>#REF!</v>
      </c>
    </row>
    <row r="691" spans="1:9" x14ac:dyDescent="0.25">
      <c r="A691" s="61" t="e">
        <f>'ERROR FINAL'!#REF!</f>
        <v>#REF!</v>
      </c>
      <c r="B691" s="62" t="e">
        <f>'ERROR FINAL'!#REF!</f>
        <v>#REF!</v>
      </c>
      <c r="C691" s="63" t="e">
        <f>'ERROR FINAL'!#REF!</f>
        <v>#REF!</v>
      </c>
      <c r="D691" s="64" t="e">
        <f>'ERROR FINAL'!#REF!</f>
        <v>#REF!</v>
      </c>
      <c r="E691" s="65" t="e">
        <f>'ERROR FINAL'!#REF!</f>
        <v>#REF!</v>
      </c>
      <c r="F691" s="66" t="e">
        <f>'ERROR FINAL'!#REF!</f>
        <v>#REF!</v>
      </c>
      <c r="G691" s="66" t="e">
        <f>'ERROR FINAL'!#REF!</f>
        <v>#REF!</v>
      </c>
      <c r="H691" s="67" t="e">
        <f>IF('ERROR FINAL'!#REF!="CONFORME","CONFORME","NO CONFORME")</f>
        <v>#REF!</v>
      </c>
      <c r="I691" s="68" t="e">
        <f t="shared" si="11"/>
        <v>#REF!</v>
      </c>
    </row>
    <row r="692" spans="1:9" x14ac:dyDescent="0.25">
      <c r="A692" s="61" t="e">
        <f>'ERROR FINAL'!#REF!</f>
        <v>#REF!</v>
      </c>
      <c r="B692" s="62" t="e">
        <f>'ERROR FINAL'!#REF!</f>
        <v>#REF!</v>
      </c>
      <c r="C692" s="63" t="e">
        <f>'ERROR FINAL'!#REF!</f>
        <v>#REF!</v>
      </c>
      <c r="D692" s="64" t="e">
        <f>'ERROR FINAL'!#REF!</f>
        <v>#REF!</v>
      </c>
      <c r="E692" s="65" t="e">
        <f>'ERROR FINAL'!#REF!</f>
        <v>#REF!</v>
      </c>
      <c r="F692" s="66" t="e">
        <f>'ERROR FINAL'!#REF!</f>
        <v>#REF!</v>
      </c>
      <c r="G692" s="66" t="e">
        <f>'ERROR FINAL'!#REF!</f>
        <v>#REF!</v>
      </c>
      <c r="H692" s="67" t="e">
        <f>IF('ERROR FINAL'!#REF!="CONFORME","CONFORME","NO CONFORME")</f>
        <v>#REF!</v>
      </c>
      <c r="I692" s="68" t="e">
        <f t="shared" si="11"/>
        <v>#REF!</v>
      </c>
    </row>
    <row r="693" spans="1:9" x14ac:dyDescent="0.25">
      <c r="A693" s="61" t="e">
        <f>'ERROR FINAL'!#REF!</f>
        <v>#REF!</v>
      </c>
      <c r="B693" s="62" t="e">
        <f>'ERROR FINAL'!#REF!</f>
        <v>#REF!</v>
      </c>
      <c r="C693" s="63" t="e">
        <f>'ERROR FINAL'!#REF!</f>
        <v>#REF!</v>
      </c>
      <c r="D693" s="64" t="e">
        <f>'ERROR FINAL'!#REF!</f>
        <v>#REF!</v>
      </c>
      <c r="E693" s="65" t="e">
        <f>'ERROR FINAL'!#REF!</f>
        <v>#REF!</v>
      </c>
      <c r="F693" s="66" t="e">
        <f>'ERROR FINAL'!#REF!</f>
        <v>#REF!</v>
      </c>
      <c r="G693" s="66" t="e">
        <f>'ERROR FINAL'!#REF!</f>
        <v>#REF!</v>
      </c>
      <c r="H693" s="67" t="e">
        <f>IF('ERROR FINAL'!#REF!="CONFORME","CONFORME","NO CONFORME")</f>
        <v>#REF!</v>
      </c>
      <c r="I693" s="68" t="e">
        <f t="shared" si="11"/>
        <v>#REF!</v>
      </c>
    </row>
    <row r="694" spans="1:9" x14ac:dyDescent="0.25">
      <c r="A694" s="61" t="e">
        <f>'ERROR FINAL'!#REF!</f>
        <v>#REF!</v>
      </c>
      <c r="B694" s="62" t="e">
        <f>'ERROR FINAL'!#REF!</f>
        <v>#REF!</v>
      </c>
      <c r="C694" s="63" t="e">
        <f>'ERROR FINAL'!#REF!</f>
        <v>#REF!</v>
      </c>
      <c r="D694" s="64" t="e">
        <f>'ERROR FINAL'!#REF!</f>
        <v>#REF!</v>
      </c>
      <c r="E694" s="65" t="e">
        <f>'ERROR FINAL'!#REF!</f>
        <v>#REF!</v>
      </c>
      <c r="F694" s="66" t="e">
        <f>'ERROR FINAL'!#REF!</f>
        <v>#REF!</v>
      </c>
      <c r="G694" s="66" t="e">
        <f>'ERROR FINAL'!#REF!</f>
        <v>#REF!</v>
      </c>
      <c r="H694" s="67" t="e">
        <f>IF('ERROR FINAL'!#REF!="CONFORME","CONFORME","NO CONFORME")</f>
        <v>#REF!</v>
      </c>
      <c r="I694" s="68" t="e">
        <f t="shared" si="11"/>
        <v>#REF!</v>
      </c>
    </row>
    <row r="695" spans="1:9" x14ac:dyDescent="0.25">
      <c r="A695" s="61" t="e">
        <f>'ERROR FINAL'!#REF!</f>
        <v>#REF!</v>
      </c>
      <c r="B695" s="62" t="e">
        <f>'ERROR FINAL'!#REF!</f>
        <v>#REF!</v>
      </c>
      <c r="C695" s="63" t="e">
        <f>'ERROR FINAL'!#REF!</f>
        <v>#REF!</v>
      </c>
      <c r="D695" s="64" t="e">
        <f>'ERROR FINAL'!#REF!</f>
        <v>#REF!</v>
      </c>
      <c r="E695" s="65" t="e">
        <f>'ERROR FINAL'!#REF!</f>
        <v>#REF!</v>
      </c>
      <c r="F695" s="66" t="e">
        <f>'ERROR FINAL'!#REF!</f>
        <v>#REF!</v>
      </c>
      <c r="G695" s="66" t="e">
        <f>'ERROR FINAL'!#REF!</f>
        <v>#REF!</v>
      </c>
      <c r="H695" s="67" t="e">
        <f>IF('ERROR FINAL'!#REF!="CONFORME","CONFORME","NO CONFORME")</f>
        <v>#REF!</v>
      </c>
      <c r="I695" s="68" t="e">
        <f t="shared" si="11"/>
        <v>#REF!</v>
      </c>
    </row>
    <row r="696" spans="1:9" x14ac:dyDescent="0.25">
      <c r="A696" s="61" t="e">
        <f>'ERROR FINAL'!#REF!</f>
        <v>#REF!</v>
      </c>
      <c r="B696" s="62" t="e">
        <f>'ERROR FINAL'!#REF!</f>
        <v>#REF!</v>
      </c>
      <c r="C696" s="63" t="e">
        <f>'ERROR FINAL'!#REF!</f>
        <v>#REF!</v>
      </c>
      <c r="D696" s="64" t="e">
        <f>'ERROR FINAL'!#REF!</f>
        <v>#REF!</v>
      </c>
      <c r="E696" s="65" t="e">
        <f>'ERROR FINAL'!#REF!</f>
        <v>#REF!</v>
      </c>
      <c r="F696" s="66" t="e">
        <f>'ERROR FINAL'!#REF!</f>
        <v>#REF!</v>
      </c>
      <c r="G696" s="66" t="e">
        <f>'ERROR FINAL'!#REF!</f>
        <v>#REF!</v>
      </c>
      <c r="H696" s="67" t="e">
        <f>IF('ERROR FINAL'!#REF!="CONFORME","CONFORME","NO CONFORME")</f>
        <v>#REF!</v>
      </c>
      <c r="I696" s="68" t="e">
        <f t="shared" si="11"/>
        <v>#REF!</v>
      </c>
    </row>
    <row r="697" spans="1:9" x14ac:dyDescent="0.25">
      <c r="A697" s="61" t="e">
        <f>'ERROR FINAL'!#REF!</f>
        <v>#REF!</v>
      </c>
      <c r="B697" s="62" t="e">
        <f>'ERROR FINAL'!#REF!</f>
        <v>#REF!</v>
      </c>
      <c r="C697" s="63" t="e">
        <f>'ERROR FINAL'!#REF!</f>
        <v>#REF!</v>
      </c>
      <c r="D697" s="64" t="e">
        <f>'ERROR FINAL'!#REF!</f>
        <v>#REF!</v>
      </c>
      <c r="E697" s="65" t="e">
        <f>'ERROR FINAL'!#REF!</f>
        <v>#REF!</v>
      </c>
      <c r="F697" s="66" t="e">
        <f>'ERROR FINAL'!#REF!</f>
        <v>#REF!</v>
      </c>
      <c r="G697" s="66" t="e">
        <f>'ERROR FINAL'!#REF!</f>
        <v>#REF!</v>
      </c>
      <c r="H697" s="67" t="e">
        <f>IF('ERROR FINAL'!#REF!="CONFORME","CONFORME","NO CONFORME")</f>
        <v>#REF!</v>
      </c>
      <c r="I697" s="68" t="e">
        <f t="shared" si="11"/>
        <v>#REF!</v>
      </c>
    </row>
    <row r="698" spans="1:9" x14ac:dyDescent="0.25">
      <c r="A698" s="61" t="e">
        <f>'ERROR FINAL'!#REF!</f>
        <v>#REF!</v>
      </c>
      <c r="B698" s="62" t="e">
        <f>'ERROR FINAL'!#REF!</f>
        <v>#REF!</v>
      </c>
      <c r="C698" s="63" t="e">
        <f>'ERROR FINAL'!#REF!</f>
        <v>#REF!</v>
      </c>
      <c r="D698" s="64" t="e">
        <f>'ERROR FINAL'!#REF!</f>
        <v>#REF!</v>
      </c>
      <c r="E698" s="65" t="e">
        <f>'ERROR FINAL'!#REF!</f>
        <v>#REF!</v>
      </c>
      <c r="F698" s="66" t="e">
        <f>'ERROR FINAL'!#REF!</f>
        <v>#REF!</v>
      </c>
      <c r="G698" s="66" t="e">
        <f>'ERROR FINAL'!#REF!</f>
        <v>#REF!</v>
      </c>
      <c r="H698" s="67" t="e">
        <f>IF('ERROR FINAL'!#REF!="CONFORME","CONFORME","NO CONFORME")</f>
        <v>#REF!</v>
      </c>
      <c r="I698" s="68" t="e">
        <f t="shared" si="11"/>
        <v>#REF!</v>
      </c>
    </row>
    <row r="699" spans="1:9" x14ac:dyDescent="0.25">
      <c r="A699" s="61" t="e">
        <f>'ERROR FINAL'!#REF!</f>
        <v>#REF!</v>
      </c>
      <c r="B699" s="62" t="e">
        <f>'ERROR FINAL'!#REF!</f>
        <v>#REF!</v>
      </c>
      <c r="C699" s="63" t="e">
        <f>'ERROR FINAL'!#REF!</f>
        <v>#REF!</v>
      </c>
      <c r="D699" s="64" t="e">
        <f>'ERROR FINAL'!#REF!</f>
        <v>#REF!</v>
      </c>
      <c r="E699" s="65" t="e">
        <f>'ERROR FINAL'!#REF!</f>
        <v>#REF!</v>
      </c>
      <c r="F699" s="66" t="e">
        <f>'ERROR FINAL'!#REF!</f>
        <v>#REF!</v>
      </c>
      <c r="G699" s="66" t="e">
        <f>'ERROR FINAL'!#REF!</f>
        <v>#REF!</v>
      </c>
      <c r="H699" s="67" t="e">
        <f>IF('ERROR FINAL'!#REF!="CONFORME","CONFORME","NO CONFORME")</f>
        <v>#REF!</v>
      </c>
      <c r="I699" s="68" t="e">
        <f t="shared" si="11"/>
        <v>#REF!</v>
      </c>
    </row>
    <row r="700" spans="1:9" x14ac:dyDescent="0.25">
      <c r="A700" s="61" t="e">
        <f>'ERROR FINAL'!#REF!</f>
        <v>#REF!</v>
      </c>
      <c r="B700" s="62" t="e">
        <f>'ERROR FINAL'!#REF!</f>
        <v>#REF!</v>
      </c>
      <c r="C700" s="63" t="e">
        <f>'ERROR FINAL'!#REF!</f>
        <v>#REF!</v>
      </c>
      <c r="D700" s="64" t="e">
        <f>'ERROR FINAL'!#REF!</f>
        <v>#REF!</v>
      </c>
      <c r="E700" s="65" t="e">
        <f>'ERROR FINAL'!#REF!</f>
        <v>#REF!</v>
      </c>
      <c r="F700" s="66" t="e">
        <f>'ERROR FINAL'!#REF!</f>
        <v>#REF!</v>
      </c>
      <c r="G700" s="66" t="e">
        <f>'ERROR FINAL'!#REF!</f>
        <v>#REF!</v>
      </c>
      <c r="H700" s="67" t="e">
        <f>IF('ERROR FINAL'!#REF!="CONFORME","CONFORME","NO CONFORME")</f>
        <v>#REF!</v>
      </c>
      <c r="I700" s="68" t="e">
        <f t="shared" ref="I700:I725" si="12">IF(D700=0,"Medición",IF(D700=1,"Daño físico",IF(D700=2,"Fuga",IF(D700=3,"Picado",IF(D700=4,"Desfasado",IF(D700=5,"Paralizado","¿?"))))))</f>
        <v>#REF!</v>
      </c>
    </row>
    <row r="701" spans="1:9" x14ac:dyDescent="0.25">
      <c r="A701" s="61" t="e">
        <f>'ERROR FINAL'!#REF!</f>
        <v>#REF!</v>
      </c>
      <c r="B701" s="62" t="e">
        <f>'ERROR FINAL'!#REF!</f>
        <v>#REF!</v>
      </c>
      <c r="C701" s="63" t="e">
        <f>'ERROR FINAL'!#REF!</f>
        <v>#REF!</v>
      </c>
      <c r="D701" s="64" t="e">
        <f>'ERROR FINAL'!#REF!</f>
        <v>#REF!</v>
      </c>
      <c r="E701" s="65" t="e">
        <f>'ERROR FINAL'!#REF!</f>
        <v>#REF!</v>
      </c>
      <c r="F701" s="66" t="e">
        <f>'ERROR FINAL'!#REF!</f>
        <v>#REF!</v>
      </c>
      <c r="G701" s="66" t="e">
        <f>'ERROR FINAL'!#REF!</f>
        <v>#REF!</v>
      </c>
      <c r="H701" s="67" t="e">
        <f>IF('ERROR FINAL'!#REF!="CONFORME","CONFORME","NO CONFORME")</f>
        <v>#REF!</v>
      </c>
      <c r="I701" s="68" t="e">
        <f t="shared" si="12"/>
        <v>#REF!</v>
      </c>
    </row>
    <row r="702" spans="1:9" x14ac:dyDescent="0.25">
      <c r="A702" s="61" t="e">
        <f>'ERROR FINAL'!#REF!</f>
        <v>#REF!</v>
      </c>
      <c r="B702" s="62" t="e">
        <f>'ERROR FINAL'!#REF!</f>
        <v>#REF!</v>
      </c>
      <c r="C702" s="63" t="e">
        <f>'ERROR FINAL'!#REF!</f>
        <v>#REF!</v>
      </c>
      <c r="D702" s="64" t="e">
        <f>'ERROR FINAL'!#REF!</f>
        <v>#REF!</v>
      </c>
      <c r="E702" s="65" t="e">
        <f>'ERROR FINAL'!#REF!</f>
        <v>#REF!</v>
      </c>
      <c r="F702" s="66" t="e">
        <f>'ERROR FINAL'!#REF!</f>
        <v>#REF!</v>
      </c>
      <c r="G702" s="66" t="e">
        <f>'ERROR FINAL'!#REF!</f>
        <v>#REF!</v>
      </c>
      <c r="H702" s="67" t="e">
        <f>IF('ERROR FINAL'!#REF!="CONFORME","CONFORME","NO CONFORME")</f>
        <v>#REF!</v>
      </c>
      <c r="I702" s="68" t="e">
        <f t="shared" si="12"/>
        <v>#REF!</v>
      </c>
    </row>
    <row r="703" spans="1:9" x14ac:dyDescent="0.25">
      <c r="A703" s="61" t="e">
        <f>'ERROR FINAL'!#REF!</f>
        <v>#REF!</v>
      </c>
      <c r="B703" s="62" t="e">
        <f>'ERROR FINAL'!#REF!</f>
        <v>#REF!</v>
      </c>
      <c r="C703" s="63" t="e">
        <f>'ERROR FINAL'!#REF!</f>
        <v>#REF!</v>
      </c>
      <c r="D703" s="64" t="e">
        <f>'ERROR FINAL'!#REF!</f>
        <v>#REF!</v>
      </c>
      <c r="E703" s="65" t="e">
        <f>'ERROR FINAL'!#REF!</f>
        <v>#REF!</v>
      </c>
      <c r="F703" s="66" t="e">
        <f>'ERROR FINAL'!#REF!</f>
        <v>#REF!</v>
      </c>
      <c r="G703" s="66" t="e">
        <f>'ERROR FINAL'!#REF!</f>
        <v>#REF!</v>
      </c>
      <c r="H703" s="67" t="e">
        <f>IF('ERROR FINAL'!#REF!="CONFORME","CONFORME","NO CONFORME")</f>
        <v>#REF!</v>
      </c>
      <c r="I703" s="68" t="e">
        <f t="shared" si="12"/>
        <v>#REF!</v>
      </c>
    </row>
    <row r="704" spans="1:9" x14ac:dyDescent="0.25">
      <c r="A704" s="61" t="e">
        <f>'ERROR FINAL'!#REF!</f>
        <v>#REF!</v>
      </c>
      <c r="B704" s="62" t="e">
        <f>'ERROR FINAL'!#REF!</f>
        <v>#REF!</v>
      </c>
      <c r="C704" s="63" t="e">
        <f>'ERROR FINAL'!#REF!</f>
        <v>#REF!</v>
      </c>
      <c r="D704" s="64" t="e">
        <f>'ERROR FINAL'!#REF!</f>
        <v>#REF!</v>
      </c>
      <c r="E704" s="65" t="e">
        <f>'ERROR FINAL'!#REF!</f>
        <v>#REF!</v>
      </c>
      <c r="F704" s="66" t="e">
        <f>'ERROR FINAL'!#REF!</f>
        <v>#REF!</v>
      </c>
      <c r="G704" s="66" t="e">
        <f>'ERROR FINAL'!#REF!</f>
        <v>#REF!</v>
      </c>
      <c r="H704" s="67" t="e">
        <f>IF('ERROR FINAL'!#REF!="CONFORME","CONFORME","NO CONFORME")</f>
        <v>#REF!</v>
      </c>
      <c r="I704" s="68" t="e">
        <f t="shared" si="12"/>
        <v>#REF!</v>
      </c>
    </row>
    <row r="705" spans="1:9" x14ac:dyDescent="0.25">
      <c r="A705" s="61" t="e">
        <f>'ERROR FINAL'!#REF!</f>
        <v>#REF!</v>
      </c>
      <c r="B705" s="62" t="e">
        <f>'ERROR FINAL'!#REF!</f>
        <v>#REF!</v>
      </c>
      <c r="C705" s="63" t="e">
        <f>'ERROR FINAL'!#REF!</f>
        <v>#REF!</v>
      </c>
      <c r="D705" s="64" t="e">
        <f>'ERROR FINAL'!#REF!</f>
        <v>#REF!</v>
      </c>
      <c r="E705" s="65" t="e">
        <f>'ERROR FINAL'!#REF!</f>
        <v>#REF!</v>
      </c>
      <c r="F705" s="66" t="e">
        <f>'ERROR FINAL'!#REF!</f>
        <v>#REF!</v>
      </c>
      <c r="G705" s="66" t="e">
        <f>'ERROR FINAL'!#REF!</f>
        <v>#REF!</v>
      </c>
      <c r="H705" s="67" t="e">
        <f>IF('ERROR FINAL'!#REF!="CONFORME","CONFORME","NO CONFORME")</f>
        <v>#REF!</v>
      </c>
      <c r="I705" s="68" t="e">
        <f t="shared" si="12"/>
        <v>#REF!</v>
      </c>
    </row>
    <row r="706" spans="1:9" x14ac:dyDescent="0.25">
      <c r="A706" s="61" t="e">
        <f>'ERROR FINAL'!#REF!</f>
        <v>#REF!</v>
      </c>
      <c r="B706" s="62" t="e">
        <f>'ERROR FINAL'!#REF!</f>
        <v>#REF!</v>
      </c>
      <c r="C706" s="63" t="e">
        <f>'ERROR FINAL'!#REF!</f>
        <v>#REF!</v>
      </c>
      <c r="D706" s="64" t="e">
        <f>'ERROR FINAL'!#REF!</f>
        <v>#REF!</v>
      </c>
      <c r="E706" s="65" t="e">
        <f>'ERROR FINAL'!#REF!</f>
        <v>#REF!</v>
      </c>
      <c r="F706" s="66" t="e">
        <f>'ERROR FINAL'!#REF!</f>
        <v>#REF!</v>
      </c>
      <c r="G706" s="66" t="e">
        <f>'ERROR FINAL'!#REF!</f>
        <v>#REF!</v>
      </c>
      <c r="H706" s="67" t="e">
        <f>IF('ERROR FINAL'!#REF!="CONFORME","CONFORME","NO CONFORME")</f>
        <v>#REF!</v>
      </c>
      <c r="I706" s="68" t="e">
        <f t="shared" si="12"/>
        <v>#REF!</v>
      </c>
    </row>
    <row r="707" spans="1:9" x14ac:dyDescent="0.25">
      <c r="A707" s="61" t="e">
        <f>'ERROR FINAL'!#REF!</f>
        <v>#REF!</v>
      </c>
      <c r="B707" s="62" t="e">
        <f>'ERROR FINAL'!#REF!</f>
        <v>#REF!</v>
      </c>
      <c r="C707" s="63" t="e">
        <f>'ERROR FINAL'!#REF!</f>
        <v>#REF!</v>
      </c>
      <c r="D707" s="64" t="e">
        <f>'ERROR FINAL'!#REF!</f>
        <v>#REF!</v>
      </c>
      <c r="E707" s="65" t="e">
        <f>'ERROR FINAL'!#REF!</f>
        <v>#REF!</v>
      </c>
      <c r="F707" s="66" t="e">
        <f>'ERROR FINAL'!#REF!</f>
        <v>#REF!</v>
      </c>
      <c r="G707" s="66" t="e">
        <f>'ERROR FINAL'!#REF!</f>
        <v>#REF!</v>
      </c>
      <c r="H707" s="67" t="e">
        <f>IF('ERROR FINAL'!#REF!="CONFORME","CONFORME","NO CONFORME")</f>
        <v>#REF!</v>
      </c>
      <c r="I707" s="68" t="e">
        <f t="shared" si="12"/>
        <v>#REF!</v>
      </c>
    </row>
    <row r="708" spans="1:9" x14ac:dyDescent="0.25">
      <c r="A708" s="61" t="e">
        <f>'ERROR FINAL'!#REF!</f>
        <v>#REF!</v>
      </c>
      <c r="B708" s="62" t="e">
        <f>'ERROR FINAL'!#REF!</f>
        <v>#REF!</v>
      </c>
      <c r="C708" s="63" t="e">
        <f>'ERROR FINAL'!#REF!</f>
        <v>#REF!</v>
      </c>
      <c r="D708" s="64" t="e">
        <f>'ERROR FINAL'!#REF!</f>
        <v>#REF!</v>
      </c>
      <c r="E708" s="65" t="e">
        <f>'ERROR FINAL'!#REF!</f>
        <v>#REF!</v>
      </c>
      <c r="F708" s="66" t="e">
        <f>'ERROR FINAL'!#REF!</f>
        <v>#REF!</v>
      </c>
      <c r="G708" s="66" t="e">
        <f>'ERROR FINAL'!#REF!</f>
        <v>#REF!</v>
      </c>
      <c r="H708" s="67" t="e">
        <f>IF('ERROR FINAL'!#REF!="CONFORME","CONFORME","NO CONFORME")</f>
        <v>#REF!</v>
      </c>
      <c r="I708" s="68" t="e">
        <f t="shared" si="12"/>
        <v>#REF!</v>
      </c>
    </row>
    <row r="709" spans="1:9" x14ac:dyDescent="0.25">
      <c r="A709" s="61" t="e">
        <f>'ERROR FINAL'!#REF!</f>
        <v>#REF!</v>
      </c>
      <c r="B709" s="62" t="e">
        <f>'ERROR FINAL'!#REF!</f>
        <v>#REF!</v>
      </c>
      <c r="C709" s="63" t="e">
        <f>'ERROR FINAL'!#REF!</f>
        <v>#REF!</v>
      </c>
      <c r="D709" s="64" t="e">
        <f>'ERROR FINAL'!#REF!</f>
        <v>#REF!</v>
      </c>
      <c r="E709" s="65" t="e">
        <f>'ERROR FINAL'!#REF!</f>
        <v>#REF!</v>
      </c>
      <c r="F709" s="66" t="e">
        <f>'ERROR FINAL'!#REF!</f>
        <v>#REF!</v>
      </c>
      <c r="G709" s="66" t="e">
        <f>'ERROR FINAL'!#REF!</f>
        <v>#REF!</v>
      </c>
      <c r="H709" s="67" t="e">
        <f>IF('ERROR FINAL'!#REF!="CONFORME","CONFORME","NO CONFORME")</f>
        <v>#REF!</v>
      </c>
      <c r="I709" s="68" t="e">
        <f t="shared" si="12"/>
        <v>#REF!</v>
      </c>
    </row>
    <row r="710" spans="1:9" x14ac:dyDescent="0.25">
      <c r="A710" s="61" t="e">
        <f>'ERROR FINAL'!#REF!</f>
        <v>#REF!</v>
      </c>
      <c r="B710" s="62" t="e">
        <f>'ERROR FINAL'!#REF!</f>
        <v>#REF!</v>
      </c>
      <c r="C710" s="63" t="e">
        <f>'ERROR FINAL'!#REF!</f>
        <v>#REF!</v>
      </c>
      <c r="D710" s="64" t="e">
        <f>'ERROR FINAL'!#REF!</f>
        <v>#REF!</v>
      </c>
      <c r="E710" s="65" t="e">
        <f>'ERROR FINAL'!#REF!</f>
        <v>#REF!</v>
      </c>
      <c r="F710" s="66" t="e">
        <f>'ERROR FINAL'!#REF!</f>
        <v>#REF!</v>
      </c>
      <c r="G710" s="66" t="e">
        <f>'ERROR FINAL'!#REF!</f>
        <v>#REF!</v>
      </c>
      <c r="H710" s="67" t="e">
        <f>IF('ERROR FINAL'!#REF!="CONFORME","CONFORME","NO CONFORME")</f>
        <v>#REF!</v>
      </c>
      <c r="I710" s="68" t="e">
        <f t="shared" si="12"/>
        <v>#REF!</v>
      </c>
    </row>
    <row r="711" spans="1:9" x14ac:dyDescent="0.25">
      <c r="A711" s="61" t="e">
        <f>'ERROR FINAL'!#REF!</f>
        <v>#REF!</v>
      </c>
      <c r="B711" s="62" t="e">
        <f>'ERROR FINAL'!#REF!</f>
        <v>#REF!</v>
      </c>
      <c r="C711" s="63" t="e">
        <f>'ERROR FINAL'!#REF!</f>
        <v>#REF!</v>
      </c>
      <c r="D711" s="64" t="e">
        <f>'ERROR FINAL'!#REF!</f>
        <v>#REF!</v>
      </c>
      <c r="E711" s="65" t="e">
        <f>'ERROR FINAL'!#REF!</f>
        <v>#REF!</v>
      </c>
      <c r="F711" s="66" t="e">
        <f>'ERROR FINAL'!#REF!</f>
        <v>#REF!</v>
      </c>
      <c r="G711" s="66" t="e">
        <f>'ERROR FINAL'!#REF!</f>
        <v>#REF!</v>
      </c>
      <c r="H711" s="67" t="e">
        <f>IF('ERROR FINAL'!#REF!="CONFORME","CONFORME","NO CONFORME")</f>
        <v>#REF!</v>
      </c>
      <c r="I711" s="68" t="e">
        <f t="shared" si="12"/>
        <v>#REF!</v>
      </c>
    </row>
    <row r="712" spans="1:9" x14ac:dyDescent="0.25">
      <c r="A712" s="61" t="e">
        <f>'ERROR FINAL'!#REF!</f>
        <v>#REF!</v>
      </c>
      <c r="B712" s="62" t="e">
        <f>'ERROR FINAL'!#REF!</f>
        <v>#REF!</v>
      </c>
      <c r="C712" s="63" t="e">
        <f>'ERROR FINAL'!#REF!</f>
        <v>#REF!</v>
      </c>
      <c r="D712" s="64" t="e">
        <f>'ERROR FINAL'!#REF!</f>
        <v>#REF!</v>
      </c>
      <c r="E712" s="65" t="e">
        <f>'ERROR FINAL'!#REF!</f>
        <v>#REF!</v>
      </c>
      <c r="F712" s="66" t="e">
        <f>'ERROR FINAL'!#REF!</f>
        <v>#REF!</v>
      </c>
      <c r="G712" s="66" t="e">
        <f>'ERROR FINAL'!#REF!</f>
        <v>#REF!</v>
      </c>
      <c r="H712" s="67" t="e">
        <f>IF('ERROR FINAL'!#REF!="CONFORME","CONFORME","NO CONFORME")</f>
        <v>#REF!</v>
      </c>
      <c r="I712" s="68" t="e">
        <f t="shared" si="12"/>
        <v>#REF!</v>
      </c>
    </row>
    <row r="713" spans="1:9" x14ac:dyDescent="0.25">
      <c r="A713" s="61" t="e">
        <f>'ERROR FINAL'!#REF!</f>
        <v>#REF!</v>
      </c>
      <c r="B713" s="62" t="e">
        <f>'ERROR FINAL'!#REF!</f>
        <v>#REF!</v>
      </c>
      <c r="C713" s="63" t="e">
        <f>'ERROR FINAL'!#REF!</f>
        <v>#REF!</v>
      </c>
      <c r="D713" s="64" t="e">
        <f>'ERROR FINAL'!#REF!</f>
        <v>#REF!</v>
      </c>
      <c r="E713" s="65" t="e">
        <f>'ERROR FINAL'!#REF!</f>
        <v>#REF!</v>
      </c>
      <c r="F713" s="66" t="e">
        <f>'ERROR FINAL'!#REF!</f>
        <v>#REF!</v>
      </c>
      <c r="G713" s="66" t="e">
        <f>'ERROR FINAL'!#REF!</f>
        <v>#REF!</v>
      </c>
      <c r="H713" s="67" t="e">
        <f>IF('ERROR FINAL'!#REF!="CONFORME","CONFORME","NO CONFORME")</f>
        <v>#REF!</v>
      </c>
      <c r="I713" s="68" t="e">
        <f t="shared" si="12"/>
        <v>#REF!</v>
      </c>
    </row>
    <row r="714" spans="1:9" x14ac:dyDescent="0.25">
      <c r="A714" s="61" t="e">
        <f>'ERROR FINAL'!#REF!</f>
        <v>#REF!</v>
      </c>
      <c r="B714" s="62" t="e">
        <f>'ERROR FINAL'!#REF!</f>
        <v>#REF!</v>
      </c>
      <c r="C714" s="63" t="e">
        <f>'ERROR FINAL'!#REF!</f>
        <v>#REF!</v>
      </c>
      <c r="D714" s="64" t="e">
        <f>'ERROR FINAL'!#REF!</f>
        <v>#REF!</v>
      </c>
      <c r="E714" s="65" t="e">
        <f>'ERROR FINAL'!#REF!</f>
        <v>#REF!</v>
      </c>
      <c r="F714" s="66" t="e">
        <f>'ERROR FINAL'!#REF!</f>
        <v>#REF!</v>
      </c>
      <c r="G714" s="66" t="e">
        <f>'ERROR FINAL'!#REF!</f>
        <v>#REF!</v>
      </c>
      <c r="H714" s="67" t="e">
        <f>IF('ERROR FINAL'!#REF!="CONFORME","CONFORME","NO CONFORME")</f>
        <v>#REF!</v>
      </c>
      <c r="I714" s="68" t="e">
        <f t="shared" si="12"/>
        <v>#REF!</v>
      </c>
    </row>
    <row r="715" spans="1:9" x14ac:dyDescent="0.25">
      <c r="A715" s="61" t="e">
        <f>'ERROR FINAL'!#REF!</f>
        <v>#REF!</v>
      </c>
      <c r="B715" s="62" t="e">
        <f>'ERROR FINAL'!#REF!</f>
        <v>#REF!</v>
      </c>
      <c r="C715" s="63" t="e">
        <f>'ERROR FINAL'!#REF!</f>
        <v>#REF!</v>
      </c>
      <c r="D715" s="64" t="e">
        <f>'ERROR FINAL'!#REF!</f>
        <v>#REF!</v>
      </c>
      <c r="E715" s="65" t="e">
        <f>'ERROR FINAL'!#REF!</f>
        <v>#REF!</v>
      </c>
      <c r="F715" s="66" t="e">
        <f>'ERROR FINAL'!#REF!</f>
        <v>#REF!</v>
      </c>
      <c r="G715" s="66" t="e">
        <f>'ERROR FINAL'!#REF!</f>
        <v>#REF!</v>
      </c>
      <c r="H715" s="67" t="e">
        <f>IF('ERROR FINAL'!#REF!="CONFORME","CONFORME","NO CONFORME")</f>
        <v>#REF!</v>
      </c>
      <c r="I715" s="68" t="e">
        <f t="shared" si="12"/>
        <v>#REF!</v>
      </c>
    </row>
    <row r="716" spans="1:9" x14ac:dyDescent="0.25">
      <c r="A716" s="61" t="e">
        <f>'ERROR FINAL'!#REF!</f>
        <v>#REF!</v>
      </c>
      <c r="B716" s="62" t="e">
        <f>'ERROR FINAL'!#REF!</f>
        <v>#REF!</v>
      </c>
      <c r="C716" s="63" t="e">
        <f>'ERROR FINAL'!#REF!</f>
        <v>#REF!</v>
      </c>
      <c r="D716" s="64" t="e">
        <f>'ERROR FINAL'!#REF!</f>
        <v>#REF!</v>
      </c>
      <c r="E716" s="65" t="e">
        <f>'ERROR FINAL'!#REF!</f>
        <v>#REF!</v>
      </c>
      <c r="F716" s="66" t="e">
        <f>'ERROR FINAL'!#REF!</f>
        <v>#REF!</v>
      </c>
      <c r="G716" s="66" t="e">
        <f>'ERROR FINAL'!#REF!</f>
        <v>#REF!</v>
      </c>
      <c r="H716" s="67" t="e">
        <f>IF('ERROR FINAL'!#REF!="CONFORME","CONFORME","NO CONFORME")</f>
        <v>#REF!</v>
      </c>
      <c r="I716" s="68" t="e">
        <f t="shared" si="12"/>
        <v>#REF!</v>
      </c>
    </row>
    <row r="717" spans="1:9" x14ac:dyDescent="0.25">
      <c r="A717" s="61" t="e">
        <f>'ERROR FINAL'!#REF!</f>
        <v>#REF!</v>
      </c>
      <c r="B717" s="62" t="e">
        <f>'ERROR FINAL'!#REF!</f>
        <v>#REF!</v>
      </c>
      <c r="C717" s="63" t="e">
        <f>'ERROR FINAL'!#REF!</f>
        <v>#REF!</v>
      </c>
      <c r="D717" s="64" t="e">
        <f>'ERROR FINAL'!#REF!</f>
        <v>#REF!</v>
      </c>
      <c r="E717" s="65" t="e">
        <f>'ERROR FINAL'!#REF!</f>
        <v>#REF!</v>
      </c>
      <c r="F717" s="66" t="e">
        <f>'ERROR FINAL'!#REF!</f>
        <v>#REF!</v>
      </c>
      <c r="G717" s="66" t="e">
        <f>'ERROR FINAL'!#REF!</f>
        <v>#REF!</v>
      </c>
      <c r="H717" s="67" t="e">
        <f>IF('ERROR FINAL'!#REF!="CONFORME","CONFORME","NO CONFORME")</f>
        <v>#REF!</v>
      </c>
      <c r="I717" s="68" t="e">
        <f t="shared" si="12"/>
        <v>#REF!</v>
      </c>
    </row>
    <row r="718" spans="1:9" x14ac:dyDescent="0.25">
      <c r="A718" s="61" t="e">
        <f>'ERROR FINAL'!#REF!</f>
        <v>#REF!</v>
      </c>
      <c r="B718" s="62" t="e">
        <f>'ERROR FINAL'!#REF!</f>
        <v>#REF!</v>
      </c>
      <c r="C718" s="63" t="e">
        <f>'ERROR FINAL'!#REF!</f>
        <v>#REF!</v>
      </c>
      <c r="D718" s="64" t="e">
        <f>'ERROR FINAL'!#REF!</f>
        <v>#REF!</v>
      </c>
      <c r="E718" s="65" t="e">
        <f>'ERROR FINAL'!#REF!</f>
        <v>#REF!</v>
      </c>
      <c r="F718" s="66" t="e">
        <f>'ERROR FINAL'!#REF!</f>
        <v>#REF!</v>
      </c>
      <c r="G718" s="66" t="e">
        <f>'ERROR FINAL'!#REF!</f>
        <v>#REF!</v>
      </c>
      <c r="H718" s="67" t="e">
        <f>IF('ERROR FINAL'!#REF!="CONFORME","CONFORME","NO CONFORME")</f>
        <v>#REF!</v>
      </c>
      <c r="I718" s="68" t="e">
        <f t="shared" si="12"/>
        <v>#REF!</v>
      </c>
    </row>
    <row r="719" spans="1:9" x14ac:dyDescent="0.25">
      <c r="A719" s="61" t="e">
        <f>'ERROR FINAL'!#REF!</f>
        <v>#REF!</v>
      </c>
      <c r="B719" s="62" t="e">
        <f>'ERROR FINAL'!#REF!</f>
        <v>#REF!</v>
      </c>
      <c r="C719" s="63" t="e">
        <f>'ERROR FINAL'!#REF!</f>
        <v>#REF!</v>
      </c>
      <c r="D719" s="64" t="e">
        <f>'ERROR FINAL'!#REF!</f>
        <v>#REF!</v>
      </c>
      <c r="E719" s="65" t="e">
        <f>'ERROR FINAL'!#REF!</f>
        <v>#REF!</v>
      </c>
      <c r="F719" s="66" t="e">
        <f>'ERROR FINAL'!#REF!</f>
        <v>#REF!</v>
      </c>
      <c r="G719" s="66" t="e">
        <f>'ERROR FINAL'!#REF!</f>
        <v>#REF!</v>
      </c>
      <c r="H719" s="67" t="e">
        <f>IF('ERROR FINAL'!#REF!="CONFORME","CONFORME","NO CONFORME")</f>
        <v>#REF!</v>
      </c>
      <c r="I719" s="68" t="e">
        <f t="shared" si="12"/>
        <v>#REF!</v>
      </c>
    </row>
    <row r="720" spans="1:9" x14ac:dyDescent="0.25">
      <c r="A720" s="61" t="e">
        <f>'ERROR FINAL'!#REF!</f>
        <v>#REF!</v>
      </c>
      <c r="B720" s="62" t="e">
        <f>'ERROR FINAL'!#REF!</f>
        <v>#REF!</v>
      </c>
      <c r="C720" s="63" t="e">
        <f>'ERROR FINAL'!#REF!</f>
        <v>#REF!</v>
      </c>
      <c r="D720" s="64" t="e">
        <f>'ERROR FINAL'!#REF!</f>
        <v>#REF!</v>
      </c>
      <c r="E720" s="65" t="e">
        <f>'ERROR FINAL'!#REF!</f>
        <v>#REF!</v>
      </c>
      <c r="F720" s="66" t="e">
        <f>'ERROR FINAL'!#REF!</f>
        <v>#REF!</v>
      </c>
      <c r="G720" s="66" t="e">
        <f>'ERROR FINAL'!#REF!</f>
        <v>#REF!</v>
      </c>
      <c r="H720" s="67" t="e">
        <f>IF('ERROR FINAL'!#REF!="CONFORME","CONFORME","NO CONFORME")</f>
        <v>#REF!</v>
      </c>
      <c r="I720" s="68" t="e">
        <f t="shared" si="12"/>
        <v>#REF!</v>
      </c>
    </row>
    <row r="721" spans="1:9" x14ac:dyDescent="0.25">
      <c r="A721" s="61" t="e">
        <f>'ERROR FINAL'!#REF!</f>
        <v>#REF!</v>
      </c>
      <c r="B721" s="62" t="e">
        <f>'ERROR FINAL'!#REF!</f>
        <v>#REF!</v>
      </c>
      <c r="C721" s="63" t="e">
        <f>'ERROR FINAL'!#REF!</f>
        <v>#REF!</v>
      </c>
      <c r="D721" s="64" t="e">
        <f>'ERROR FINAL'!#REF!</f>
        <v>#REF!</v>
      </c>
      <c r="E721" s="65" t="e">
        <f>'ERROR FINAL'!#REF!</f>
        <v>#REF!</v>
      </c>
      <c r="F721" s="66" t="e">
        <f>'ERROR FINAL'!#REF!</f>
        <v>#REF!</v>
      </c>
      <c r="G721" s="66" t="e">
        <f>'ERROR FINAL'!#REF!</f>
        <v>#REF!</v>
      </c>
      <c r="H721" s="67" t="e">
        <f>IF('ERROR FINAL'!#REF!="CONFORME","CONFORME","NO CONFORME")</f>
        <v>#REF!</v>
      </c>
      <c r="I721" s="68" t="e">
        <f t="shared" si="12"/>
        <v>#REF!</v>
      </c>
    </row>
    <row r="722" spans="1:9" x14ac:dyDescent="0.25">
      <c r="A722" s="61" t="e">
        <f>'ERROR FINAL'!#REF!</f>
        <v>#REF!</v>
      </c>
      <c r="B722" s="62" t="e">
        <f>'ERROR FINAL'!#REF!</f>
        <v>#REF!</v>
      </c>
      <c r="C722" s="63" t="e">
        <f>'ERROR FINAL'!#REF!</f>
        <v>#REF!</v>
      </c>
      <c r="D722" s="64" t="e">
        <f>'ERROR FINAL'!#REF!</f>
        <v>#REF!</v>
      </c>
      <c r="E722" s="65" t="e">
        <f>'ERROR FINAL'!#REF!</f>
        <v>#REF!</v>
      </c>
      <c r="F722" s="66" t="e">
        <f>'ERROR FINAL'!#REF!</f>
        <v>#REF!</v>
      </c>
      <c r="G722" s="66" t="e">
        <f>'ERROR FINAL'!#REF!</f>
        <v>#REF!</v>
      </c>
      <c r="H722" s="67" t="e">
        <f>IF('ERROR FINAL'!#REF!="CONFORME","CONFORME","NO CONFORME")</f>
        <v>#REF!</v>
      </c>
      <c r="I722" s="68" t="e">
        <f t="shared" si="12"/>
        <v>#REF!</v>
      </c>
    </row>
    <row r="723" spans="1:9" x14ac:dyDescent="0.25">
      <c r="A723" s="61" t="e">
        <f>'ERROR FINAL'!#REF!</f>
        <v>#REF!</v>
      </c>
      <c r="B723" s="62" t="e">
        <f>'ERROR FINAL'!#REF!</f>
        <v>#REF!</v>
      </c>
      <c r="C723" s="63" t="e">
        <f>'ERROR FINAL'!#REF!</f>
        <v>#REF!</v>
      </c>
      <c r="D723" s="64" t="e">
        <f>'ERROR FINAL'!#REF!</f>
        <v>#REF!</v>
      </c>
      <c r="E723" s="65" t="e">
        <f>'ERROR FINAL'!#REF!</f>
        <v>#REF!</v>
      </c>
      <c r="F723" s="66" t="e">
        <f>'ERROR FINAL'!#REF!</f>
        <v>#REF!</v>
      </c>
      <c r="G723" s="66" t="e">
        <f>'ERROR FINAL'!#REF!</f>
        <v>#REF!</v>
      </c>
      <c r="H723" s="67" t="e">
        <f>IF('ERROR FINAL'!#REF!="CONFORME","CONFORME","NO CONFORME")</f>
        <v>#REF!</v>
      </c>
      <c r="I723" s="68" t="e">
        <f t="shared" si="12"/>
        <v>#REF!</v>
      </c>
    </row>
    <row r="724" spans="1:9" x14ac:dyDescent="0.25">
      <c r="A724" s="61" t="e">
        <f>'ERROR FINAL'!#REF!</f>
        <v>#REF!</v>
      </c>
      <c r="B724" s="62" t="e">
        <f>'ERROR FINAL'!#REF!</f>
        <v>#REF!</v>
      </c>
      <c r="C724" s="63" t="e">
        <f>'ERROR FINAL'!#REF!</f>
        <v>#REF!</v>
      </c>
      <c r="D724" s="64" t="e">
        <f>'ERROR FINAL'!#REF!</f>
        <v>#REF!</v>
      </c>
      <c r="E724" s="65" t="e">
        <f>'ERROR FINAL'!#REF!</f>
        <v>#REF!</v>
      </c>
      <c r="F724" s="66" t="e">
        <f>'ERROR FINAL'!#REF!</f>
        <v>#REF!</v>
      </c>
      <c r="G724" s="66" t="e">
        <f>'ERROR FINAL'!#REF!</f>
        <v>#REF!</v>
      </c>
      <c r="H724" s="67" t="e">
        <f>IF('ERROR FINAL'!#REF!="CONFORME","CONFORME","NO CONFORME")</f>
        <v>#REF!</v>
      </c>
      <c r="I724" s="68" t="e">
        <f t="shared" si="12"/>
        <v>#REF!</v>
      </c>
    </row>
    <row r="725" spans="1:9" x14ac:dyDescent="0.25">
      <c r="A725" s="61" t="e">
        <f>'ERROR FINAL'!#REF!</f>
        <v>#REF!</v>
      </c>
      <c r="B725" s="62" t="e">
        <f>'ERROR FINAL'!#REF!</f>
        <v>#REF!</v>
      </c>
      <c r="C725" s="63" t="e">
        <f>'ERROR FINAL'!#REF!</f>
        <v>#REF!</v>
      </c>
      <c r="D725" s="64" t="e">
        <f>'ERROR FINAL'!#REF!</f>
        <v>#REF!</v>
      </c>
      <c r="E725" s="65" t="e">
        <f>'ERROR FINAL'!#REF!</f>
        <v>#REF!</v>
      </c>
      <c r="F725" s="66" t="e">
        <f>'ERROR FINAL'!#REF!</f>
        <v>#REF!</v>
      </c>
      <c r="G725" s="66" t="e">
        <f>'ERROR FINAL'!#REF!</f>
        <v>#REF!</v>
      </c>
      <c r="H725" s="67" t="e">
        <f>IF('ERROR FINAL'!#REF!="CONFORME","CONFORME","NO CONFORME")</f>
        <v>#REF!</v>
      </c>
      <c r="I725" s="68" t="e">
        <f t="shared" si="12"/>
        <v>#REF!</v>
      </c>
    </row>
  </sheetData>
  <autoFilter ref="A3:I725" xr:uid="{057B2BB3-A01F-4A2E-A1BA-70AB13F542EB}"/>
  <mergeCells count="10">
    <mergeCell ref="E3:E5"/>
    <mergeCell ref="F3:F5"/>
    <mergeCell ref="G3:G5"/>
    <mergeCell ref="I3:I5"/>
    <mergeCell ref="H3:H5"/>
    <mergeCell ref="A1:B1"/>
    <mergeCell ref="A3:A5"/>
    <mergeCell ref="B3:B5"/>
    <mergeCell ref="C3:C5"/>
    <mergeCell ref="D3:D5"/>
  </mergeCells>
  <conditionalFormatting sqref="E6:F725">
    <cfRule type="cellIs" dxfId="13" priority="4" operator="between">
      <formula>-2.044</formula>
      <formula>-100</formula>
    </cfRule>
    <cfRule type="cellIs" dxfId="12" priority="5" operator="between">
      <formula>2.044</formula>
      <formula>100</formula>
    </cfRule>
  </conditionalFormatting>
  <conditionalFormatting sqref="E6:G725">
    <cfRule type="cellIs" dxfId="11" priority="6" operator="between">
      <formula>100.01</formula>
      <formula>100000000</formula>
    </cfRule>
    <cfRule type="cellIs" dxfId="10" priority="7" operator="lessThanOrEqual">
      <formula>-100.01</formula>
    </cfRule>
  </conditionalFormatting>
  <conditionalFormatting sqref="G6:G725">
    <cfRule type="cellIs" dxfId="9" priority="2" operator="between">
      <formula>-5.044</formula>
      <formula>-100</formula>
    </cfRule>
    <cfRule type="cellIs" dxfId="8" priority="3" operator="between">
      <formula>5.044</formula>
      <formula>100</formula>
    </cfRule>
  </conditionalFormatting>
  <conditionalFormatting sqref="H6:H725">
    <cfRule type="cellIs" dxfId="7" priority="1" operator="equal">
      <formula>"NO CONFORME"</formula>
    </cfRule>
  </conditionalFormatting>
  <pageMargins left="0.23622047244094488" right="0.23622047244094488" top="0" bottom="0" header="0.31496062992125984" footer="0.31496062992125984"/>
  <pageSetup paperSize="9" scale="1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D27AC-5280-4AF3-A2E3-25424ACB74A8}">
  <sheetPr>
    <pageSetUpPr fitToPage="1"/>
  </sheetPr>
  <dimension ref="A1:I6"/>
  <sheetViews>
    <sheetView workbookViewId="0">
      <selection activeCell="F15" sqref="F15"/>
    </sheetView>
  </sheetViews>
  <sheetFormatPr baseColWidth="10" defaultRowHeight="13.2" x14ac:dyDescent="0.25"/>
  <sheetData>
    <row r="1" spans="1:9" ht="21" x14ac:dyDescent="0.25">
      <c r="A1" s="344"/>
      <c r="B1" s="344"/>
      <c r="E1">
        <f>Hoja1!F1</f>
        <v>0</v>
      </c>
      <c r="F1">
        <f>Hoja1!G1</f>
        <v>0</v>
      </c>
    </row>
    <row r="2" spans="1:9" ht="12.75" customHeight="1" thickBot="1" x14ac:dyDescent="0.3"/>
    <row r="3" spans="1:9" x14ac:dyDescent="0.25">
      <c r="A3" s="345" t="s">
        <v>21</v>
      </c>
      <c r="B3" s="347" t="s">
        <v>26</v>
      </c>
      <c r="C3" s="349" t="s">
        <v>10</v>
      </c>
      <c r="D3" s="351" t="s">
        <v>39</v>
      </c>
      <c r="E3" s="353" t="s">
        <v>38</v>
      </c>
      <c r="F3" s="353" t="s">
        <v>37</v>
      </c>
      <c r="G3" s="353" t="s">
        <v>36</v>
      </c>
      <c r="H3" s="355" t="s">
        <v>4</v>
      </c>
      <c r="I3" s="355" t="s">
        <v>35</v>
      </c>
    </row>
    <row r="4" spans="1:9" x14ac:dyDescent="0.25">
      <c r="A4" s="346"/>
      <c r="B4" s="348"/>
      <c r="C4" s="350"/>
      <c r="D4" s="352"/>
      <c r="E4" s="354"/>
      <c r="F4" s="354"/>
      <c r="G4" s="354"/>
      <c r="H4" s="356"/>
      <c r="I4" s="356"/>
    </row>
    <row r="5" spans="1:9" ht="13.8" thickBot="1" x14ac:dyDescent="0.3">
      <c r="A5" s="346"/>
      <c r="B5" s="348"/>
      <c r="C5" s="350"/>
      <c r="D5" s="352"/>
      <c r="E5" s="354"/>
      <c r="F5" s="354"/>
      <c r="G5" s="354"/>
      <c r="H5" s="356"/>
      <c r="I5" s="356"/>
    </row>
    <row r="6" spans="1:9" x14ac:dyDescent="0.25">
      <c r="A6" s="81"/>
      <c r="B6" s="82"/>
      <c r="C6" s="83"/>
      <c r="D6" s="84"/>
      <c r="E6" s="85"/>
      <c r="F6" s="86"/>
      <c r="G6" s="86"/>
      <c r="H6" s="87"/>
      <c r="I6" s="88"/>
    </row>
  </sheetData>
  <mergeCells count="10">
    <mergeCell ref="A1:B1"/>
    <mergeCell ref="F3:F5"/>
    <mergeCell ref="G3:G5"/>
    <mergeCell ref="H3:H5"/>
    <mergeCell ref="I3:I5"/>
    <mergeCell ref="A3:A5"/>
    <mergeCell ref="B3:B5"/>
    <mergeCell ref="C3:C5"/>
    <mergeCell ref="D3:D5"/>
    <mergeCell ref="E3:E5"/>
  </mergeCells>
  <conditionalFormatting sqref="E6:F6">
    <cfRule type="cellIs" dxfId="6" priority="4" operator="between">
      <formula>-2.044</formula>
      <formula>-100</formula>
    </cfRule>
    <cfRule type="cellIs" dxfId="5" priority="5" operator="between">
      <formula>2.044</formula>
      <formula>100</formula>
    </cfRule>
  </conditionalFormatting>
  <conditionalFormatting sqref="E6:G6">
    <cfRule type="cellIs" dxfId="4" priority="6" operator="between">
      <formula>100.01</formula>
      <formula>100000000</formula>
    </cfRule>
    <cfRule type="cellIs" dxfId="3" priority="7" operator="lessThanOrEqual">
      <formula>-100.01</formula>
    </cfRule>
  </conditionalFormatting>
  <conditionalFormatting sqref="G6">
    <cfRule type="cellIs" dxfId="2" priority="2" operator="between">
      <formula>-5.044</formula>
      <formula>-100</formula>
    </cfRule>
    <cfRule type="cellIs" dxfId="1" priority="3" operator="between">
      <formula>5.044</formula>
      <formula>100</formula>
    </cfRule>
  </conditionalFormatting>
  <conditionalFormatting sqref="H6">
    <cfRule type="cellIs" dxfId="0" priority="1" operator="equal">
      <formula>"NO CONFORME"</formula>
    </cfRule>
  </conditionalFormatting>
  <pageMargins left="0.23622047244094491" right="0.23622047244094491" top="0.74803149606299213" bottom="0.74803149606299213" header="0.31496062992125984" footer="0.31496062992125984"/>
  <pageSetup paperSize="9" scale="9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ERROR FINAL</vt:lpstr>
      <vt:lpstr>Hoja1</vt:lpstr>
      <vt:lpstr>Hoja2 (2)</vt:lpstr>
      <vt:lpstr>Hoja2</vt:lpstr>
      <vt:lpstr>Hoja2!Títulos_a_imprimir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Banco03</dc:creator>
  <cp:lastModifiedBy>Banco03</cp:lastModifiedBy>
  <cp:lastPrinted>2024-05-14T19:47:51Z</cp:lastPrinted>
  <dcterms:created xsi:type="dcterms:W3CDTF">2004-07-20T12:46:03Z</dcterms:created>
  <dcterms:modified xsi:type="dcterms:W3CDTF">2025-09-20T16:55:19Z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96 96 1366 768</vt:lpwstr>
  </property>
</Properties>
</file>