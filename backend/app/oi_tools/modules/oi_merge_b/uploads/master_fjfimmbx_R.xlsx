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548" windowWidth="23256" windowHeight="13896" tabRatio="753" firstSheet="0" activeTab="0" autoFilterDateGrouping="1"/>
  </bookViews>
  <sheets>
    <sheet name="ERROR FINAL" sheetId="1" state="visible" r:id="rId1"/>
    <sheet name="Hoja1" sheetId="2" state="visible" r:id="rId2"/>
    <sheet name="Hoja2" sheetId="3" state="visible" r:id="rId3"/>
    <sheet name="Hoja2 (2)" sheetId="4" state="visible" r:id="rId4"/>
    <sheet name="Historial de cambios" sheetId="5" state="visible" r:id="rId5"/>
  </sheets>
  <definedNames>
    <definedName name="_xlnm._FilterDatabase" localSheetId="0" hidden="1">'ERROR FINAL'!$A$8:$BL$19</definedName>
    <definedName name="_xlnm._FilterDatabase" localSheetId="1" hidden="1">'Hoja1'!$B$3:$H$3</definedName>
    <definedName name="_xlnm._FilterDatabase" localSheetId="2" hidden="1">'Hoja2'!$A$5:$I$18</definedName>
    <definedName name="_xlnm.Print_Titles" localSheetId="3">'Hoja2 (2)'!$1:$5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#,##0.0"/>
    <numFmt numFmtId="168" formatCode="h:mm:ss;@"/>
    <numFmt numFmtId="169" formatCode="#,##0.000"/>
    <numFmt numFmtId="170" formatCode="yyyy\-mm\-dd;@"/>
    <numFmt numFmtId="171" formatCode="_ * #,##0.00_ ;_ * \-#,##0.00_ ;_ * &quot;-&quot;??_ ;_ @_ "/>
  </numFmts>
  <fonts count="3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6"/>
    </font>
    <font>
      <name val="Arial"/>
      <family val="2"/>
      <b val="1"/>
      <sz val="10"/>
      <u val="single"/>
    </font>
    <font>
      <name val="Arial"/>
      <family val="2"/>
      <color rgb="FF000000"/>
      <sz val="11"/>
    </font>
  </fonts>
  <fills count="1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top style="thick"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/>
    <xf numFmtId="0" fontId="9" fillId="0" borderId="0"/>
    <xf numFmtId="0" fontId="9" fillId="0" borderId="0"/>
    <xf numFmtId="0" fontId="9" fillId="0" borderId="0"/>
  </cellStyleXfs>
  <cellXfs count="397">
    <xf numFmtId="0" fontId="0" fillId="0" borderId="0" pivotButton="0" quotePrefix="0" xfId="0"/>
    <xf numFmtId="0" fontId="9" fillId="0" borderId="0" pivotButton="0" quotePrefix="0" xfId="2"/>
    <xf numFmtId="0" fontId="10" fillId="0" borderId="0" applyAlignment="1" pivotButton="0" quotePrefix="0" xfId="2">
      <alignment horizontal="left" vertical="center"/>
    </xf>
    <xf numFmtId="0" fontId="10" fillId="0" borderId="0" applyAlignment="1" pivotButton="0" quotePrefix="0" xfId="2">
      <alignment shrinkToFit="1"/>
    </xf>
    <xf numFmtId="0" fontId="11" fillId="0" borderId="0" applyAlignment="1" pivotButton="0" quotePrefix="0" xfId="2">
      <alignment textRotation="90" shrinkToFit="1"/>
    </xf>
    <xf numFmtId="0" fontId="8" fillId="0" borderId="0" pivotButton="0" quotePrefix="0" xfId="4"/>
    <xf numFmtId="0" fontId="10" fillId="0" borderId="0" applyAlignment="1" pivotButton="0" quotePrefix="0" xfId="4">
      <alignment shrinkToFit="1"/>
    </xf>
    <xf numFmtId="0" fontId="10" fillId="0" borderId="0" applyAlignment="1" pivotButton="0" quotePrefix="0" xfId="4">
      <alignment horizontal="center" shrinkToFit="1"/>
    </xf>
    <xf numFmtId="0" fontId="12" fillId="0" borderId="0" applyAlignment="1" pivotButton="0" quotePrefix="0" xfId="4">
      <alignment shrinkToFit="1"/>
    </xf>
    <xf numFmtId="1" fontId="10" fillId="3" borderId="1" applyAlignment="1" pivotButton="0" quotePrefix="0" xfId="2">
      <alignment horizontal="center" shrinkToFit="1"/>
    </xf>
    <xf numFmtId="4" fontId="10" fillId="4" borderId="1" applyAlignment="1" pivotButton="0" quotePrefix="0" xfId="2">
      <alignment horizontal="center" shrinkToFit="1"/>
    </xf>
    <xf numFmtId="1" fontId="10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10" fillId="10" borderId="1" applyAlignment="1" pivotButton="0" quotePrefix="0" xfId="2">
      <alignment horizontal="center" shrinkToFit="1"/>
    </xf>
    <xf numFmtId="0" fontId="10" fillId="0" borderId="0" applyAlignment="1" pivotButton="0" quotePrefix="0" xfId="2">
      <alignment horizontal="center" shrinkToFit="1"/>
    </xf>
    <xf numFmtId="1" fontId="10" fillId="0" borderId="0" applyAlignment="1" pivotButton="0" quotePrefix="0" xfId="2">
      <alignment vertical="center" shrinkToFit="1"/>
    </xf>
    <xf numFmtId="1" fontId="10" fillId="0" borderId="0" applyAlignment="1" pivotButton="0" quotePrefix="0" xfId="2">
      <alignment shrinkToFit="1"/>
    </xf>
    <xf numFmtId="164" fontId="10" fillId="0" borderId="0" applyAlignment="1" pivotButton="0" quotePrefix="0" xfId="2">
      <alignment shrinkToFit="1"/>
    </xf>
    <xf numFmtId="4" fontId="10" fillId="0" borderId="0" applyAlignment="1" pivotButton="0" quotePrefix="0" xfId="2">
      <alignment shrinkToFit="1"/>
    </xf>
    <xf numFmtId="2" fontId="10" fillId="0" borderId="0" applyAlignment="1" pivotButton="0" quotePrefix="0" xfId="2">
      <alignment shrinkToFit="1"/>
    </xf>
    <xf numFmtId="0" fontId="12" fillId="0" borderId="0" applyAlignment="1" pivotButton="0" quotePrefix="0" xfId="2">
      <alignment shrinkToFit="1"/>
    </xf>
    <xf numFmtId="0" fontId="10" fillId="0" borderId="1" applyAlignment="1" pivotButton="0" quotePrefix="0" xfId="4">
      <alignment horizontal="center" shrinkToFit="1"/>
    </xf>
    <xf numFmtId="0" fontId="8" fillId="0" borderId="0" applyAlignment="1" pivotButton="0" quotePrefix="0" xfId="4">
      <alignment horizontal="center"/>
    </xf>
    <xf numFmtId="0" fontId="9" fillId="0" borderId="0" applyAlignment="1" pivotButton="0" quotePrefix="0" xfId="2">
      <alignment horizontal="center"/>
    </xf>
    <xf numFmtId="0" fontId="7" fillId="0" borderId="0" applyAlignment="1" pivotButton="0" quotePrefix="0" xfId="4">
      <alignment horizontal="center"/>
    </xf>
    <xf numFmtId="164" fontId="11" fillId="13" borderId="1" applyAlignment="1" pivotButton="0" quotePrefix="0" xfId="4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0" fontId="11" fillId="13" borderId="1" applyAlignment="1" pivotButton="0" quotePrefix="0" xfId="4">
      <alignment horizontal="center" shrinkToFit="1"/>
    </xf>
    <xf numFmtId="166" fontId="10" fillId="0" borderId="0" applyAlignment="1" pivotButton="0" quotePrefix="0" xfId="2">
      <alignment horizontal="center" shrinkToFit="1"/>
    </xf>
    <xf numFmtId="4" fontId="10" fillId="0" borderId="0" applyAlignment="1" pivotButton="0" quotePrefix="0" xfId="2">
      <alignment horizontal="center" shrinkToFit="1"/>
    </xf>
    <xf numFmtId="4" fontId="10" fillId="3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164" fontId="11" fillId="3" borderId="1" applyAlignment="1" pivotButton="0" quotePrefix="0" xfId="2">
      <alignment horizontal="center" shrinkToFit="1"/>
    </xf>
    <xf numFmtId="0" fontId="8" fillId="0" borderId="16" applyAlignment="1" pivotButton="0" quotePrefix="0" xfId="4">
      <alignment vertical="center"/>
    </xf>
    <xf numFmtId="0" fontId="8" fillId="0" borderId="9" applyAlignment="1" pivotButton="0" quotePrefix="0" xfId="4">
      <alignment vertical="center"/>
    </xf>
    <xf numFmtId="0" fontId="8" fillId="0" borderId="17" applyAlignment="1" pivotButton="0" quotePrefix="0" xfId="4">
      <alignment vertical="center"/>
    </xf>
    <xf numFmtId="0" fontId="8" fillId="0" borderId="19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0" fontId="8" fillId="0" borderId="18" applyAlignment="1" pivotButton="0" quotePrefix="0" xfId="4">
      <alignment vertical="center"/>
    </xf>
    <xf numFmtId="0" fontId="8" fillId="0" borderId="20" applyAlignment="1" pivotButton="0" quotePrefix="0" xfId="4">
      <alignment vertical="center"/>
    </xf>
    <xf numFmtId="0" fontId="8" fillId="0" borderId="15" applyAlignment="1" pivotButton="0" quotePrefix="0" xfId="4">
      <alignment vertical="center"/>
    </xf>
    <xf numFmtId="0" fontId="8" fillId="0" borderId="21" applyAlignment="1" pivotButton="0" quotePrefix="0" xfId="4">
      <alignment vertical="center"/>
    </xf>
    <xf numFmtId="0" fontId="27" fillId="0" borderId="0" applyAlignment="1" pivotButton="0" quotePrefix="0" xfId="2">
      <alignment horizontal="left" vertical="center"/>
    </xf>
    <xf numFmtId="4" fontId="10" fillId="3" borderId="1" applyAlignment="1" pivotButton="0" quotePrefix="0" xfId="3">
      <alignment horizontal="center" shrinkToFit="1"/>
    </xf>
    <xf numFmtId="164" fontId="11" fillId="3" borderId="5" applyAlignment="1" pivotButton="0" quotePrefix="0" xfId="2">
      <alignment horizontal="center" shrinkToFit="1"/>
    </xf>
    <xf numFmtId="0" fontId="10" fillId="0" borderId="0" applyAlignment="1" pivotButton="0" quotePrefix="0" xfId="0">
      <alignment horizontal="center"/>
    </xf>
    <xf numFmtId="1" fontId="10" fillId="3" borderId="23" applyAlignment="1" pivotButton="0" quotePrefix="0" xfId="2">
      <alignment horizontal="center" shrinkToFit="1"/>
    </xf>
    <xf numFmtId="4" fontId="10" fillId="4" borderId="30" applyAlignment="1" pivotButton="0" quotePrefix="0" xfId="2">
      <alignment horizontal="center" shrinkToFit="1"/>
    </xf>
    <xf numFmtId="4" fontId="10" fillId="10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0" fontId="10" fillId="0" borderId="25" applyAlignment="1" pivotButton="0" quotePrefix="0" xfId="2">
      <alignment horizontal="center" shrinkToFit="1"/>
    </xf>
    <xf numFmtId="0" fontId="10" fillId="0" borderId="34" applyAlignment="1" pivotButton="0" quotePrefix="0" xfId="4">
      <alignment horizontal="center" shrinkToFit="1"/>
    </xf>
    <xf numFmtId="0" fontId="20" fillId="7" borderId="41" applyAlignment="1" pivotButton="0" quotePrefix="0" xfId="3">
      <alignment horizontal="center" vertical="center" shrinkToFit="1"/>
    </xf>
    <xf numFmtId="0" fontId="10" fillId="0" borderId="4" applyAlignment="1" pivotButton="0" quotePrefix="0" xfId="4">
      <alignment horizontal="center" shrinkToFit="1"/>
    </xf>
    <xf numFmtId="0" fontId="10" fillId="0" borderId="1" applyAlignment="1" pivotButton="0" quotePrefix="0" xfId="2">
      <alignment horizontal="center" shrinkToFit="1"/>
    </xf>
    <xf numFmtId="0" fontId="12" fillId="7" borderId="1" applyAlignment="1" pivotButton="0" quotePrefix="0" xfId="3">
      <alignment horizontal="center" vertical="center" shrinkToFit="1"/>
    </xf>
    <xf numFmtId="0" fontId="10" fillId="0" borderId="1" applyAlignment="1" pivotButton="0" quotePrefix="0" xfId="2">
      <alignment shrinkToFit="1"/>
    </xf>
    <xf numFmtId="0" fontId="0" fillId="11" borderId="5" applyAlignment="1" pivotButton="0" quotePrefix="0" xfId="0">
      <alignment horizontal="center"/>
    </xf>
    <xf numFmtId="165" fontId="10" fillId="11" borderId="30" applyAlignment="1" pivotButton="0" quotePrefix="0" xfId="2">
      <alignment horizontal="center" shrinkToFit="1"/>
    </xf>
    <xf numFmtId="1" fontId="10" fillId="11" borderId="30" applyAlignment="1" pivotButton="0" quotePrefix="0" xfId="4">
      <alignment horizontal="center" vertical="center" shrinkToFit="1"/>
    </xf>
    <xf numFmtId="1" fontId="10" fillId="3" borderId="30" applyAlignment="1" pivotButton="0" quotePrefix="0" xfId="2">
      <alignment horizontal="center" shrinkToFit="1"/>
    </xf>
    <xf numFmtId="0" fontId="0" fillId="11" borderId="30" applyAlignment="1" pivotButton="0" quotePrefix="0" xfId="0">
      <alignment horizontal="center"/>
    </xf>
    <xf numFmtId="1" fontId="23" fillId="3" borderId="2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4" fontId="10" fillId="3" borderId="30" applyAlignment="1" pivotButton="0" quotePrefix="0" xfId="3">
      <alignment horizontal="center" shrinkToFit="1"/>
    </xf>
    <xf numFmtId="4" fontId="10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" fontId="0" fillId="0" borderId="1" applyAlignment="1" pivotButton="0" quotePrefix="0" xfId="0">
      <alignment horizontal="center"/>
    </xf>
    <xf numFmtId="1" fontId="10" fillId="0" borderId="1" applyAlignment="1" pivotButton="0" quotePrefix="0" xfId="20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" fontId="23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0" fontId="10" fillId="0" borderId="1" applyAlignment="1" pivotButton="0" quotePrefix="0" xfId="21">
      <alignment horizontal="center" shrinkToFit="1"/>
    </xf>
    <xf numFmtId="0" fontId="0" fillId="0" borderId="1" applyAlignment="1" pivotButton="0" quotePrefix="0" xfId="0">
      <alignment horizontal="center"/>
    </xf>
    <xf numFmtId="0" fontId="30" fillId="0" borderId="22" applyAlignment="1" pivotButton="0" quotePrefix="0" xfId="0">
      <alignment horizontal="center" vertical="center"/>
    </xf>
    <xf numFmtId="1" fontId="23" fillId="3" borderId="42" applyAlignment="1" pivotButton="0" quotePrefix="0" xfId="2">
      <alignment horizontal="center" shrinkToFit="1"/>
    </xf>
    <xf numFmtId="1" fontId="23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5" fontId="10" fillId="11" borderId="34" applyAlignment="1" pivotButton="0" quotePrefix="0" xfId="2">
      <alignment horizontal="center" shrinkToFit="1"/>
    </xf>
    <xf numFmtId="1" fontId="10" fillId="11" borderId="34" applyAlignment="1" pivotButton="0" quotePrefix="0" xfId="4">
      <alignment horizontal="center" vertical="center" shrinkToFit="1"/>
    </xf>
    <xf numFmtId="1" fontId="10" fillId="3" borderId="34" applyAlignment="1" pivotButton="0" quotePrefix="0" xfId="2">
      <alignment horizontal="center" shrinkToFit="1"/>
    </xf>
    <xf numFmtId="0" fontId="0" fillId="11" borderId="34" applyAlignment="1" pivotButton="0" quotePrefix="0" xfId="0">
      <alignment horizontal="center"/>
    </xf>
    <xf numFmtId="164" fontId="11" fillId="3" borderId="34" applyAlignment="1" pivotButton="0" quotePrefix="0" xfId="2">
      <alignment horizontal="center" shrinkToFit="1"/>
    </xf>
    <xf numFmtId="1" fontId="23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4" fontId="10" fillId="3" borderId="34" applyAlignment="1" pivotButton="0" quotePrefix="0" xfId="3">
      <alignment horizontal="center" shrinkToFit="1"/>
    </xf>
    <xf numFmtId="4" fontId="10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9" fontId="2" fillId="14" borderId="30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9" fontId="2" fillId="3" borderId="1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9" fontId="2" fillId="3" borderId="34" applyAlignment="1" pivotButton="0" quotePrefix="0" xfId="2">
      <alignment horizontal="center" shrinkToFit="1"/>
    </xf>
    <xf numFmtId="169" fontId="10" fillId="14" borderId="30" applyAlignment="1" pivotButton="0" quotePrefix="0" xfId="2">
      <alignment horizontal="center" shrinkToFit="1"/>
    </xf>
    <xf numFmtId="169" fontId="10" fillId="3" borderId="1" applyAlignment="1" pivotButton="0" quotePrefix="0" xfId="2">
      <alignment horizontal="center" shrinkToFit="1"/>
    </xf>
    <xf numFmtId="169" fontId="10" fillId="3" borderId="34" applyAlignment="1" pivotButton="0" quotePrefix="0" xfId="2">
      <alignment horizontal="center" shrinkToFit="1"/>
    </xf>
    <xf numFmtId="170" fontId="10" fillId="0" borderId="14" applyAlignment="1" pivotButton="0" quotePrefix="0" xfId="23">
      <alignment horizontal="center" vertical="center"/>
    </xf>
    <xf numFmtId="0" fontId="10" fillId="0" borderId="1" applyAlignment="1" pivotButton="0" quotePrefix="0" xfId="3">
      <alignment horizontal="center"/>
    </xf>
    <xf numFmtId="0" fontId="10" fillId="0" borderId="0" pivotButton="0" quotePrefix="0" xfId="3"/>
    <xf numFmtId="170" fontId="10" fillId="0" borderId="1" applyAlignment="1" pivotButton="0" quotePrefix="0" xfId="3">
      <alignment horizontal="center"/>
    </xf>
    <xf numFmtId="0" fontId="26" fillId="12" borderId="12" applyAlignment="1" pivotButton="0" quotePrefix="0" xfId="0">
      <alignment horizontal="center" vertical="center"/>
    </xf>
    <xf numFmtId="0" fontId="8" fillId="0" borderId="1" applyAlignment="1" pivotButton="0" quotePrefix="0" xfId="4">
      <alignment horizontal="center"/>
    </xf>
    <xf numFmtId="166" fontId="8" fillId="0" borderId="1" applyAlignment="1" pivotButton="0" quotePrefix="0" xfId="4">
      <alignment horizontal="center"/>
    </xf>
    <xf numFmtId="0" fontId="10" fillId="0" borderId="1" applyAlignment="1" pivotButton="0" quotePrefix="0" xfId="3">
      <alignment horizontal="center" wrapText="1"/>
    </xf>
    <xf numFmtId="4" fontId="27" fillId="10" borderId="12" applyAlignment="1" pivotButton="0" quotePrefix="0" xfId="24">
      <alignment horizontal="center" vertical="center" shrinkToFit="1"/>
    </xf>
    <xf numFmtId="4" fontId="27" fillId="10" borderId="13" applyAlignment="1" pivotButton="0" quotePrefix="0" xfId="24">
      <alignment horizontal="center" vertical="center" shrinkToFit="1"/>
    </xf>
    <xf numFmtId="0" fontId="10" fillId="0" borderId="16" applyAlignment="1" pivotButton="0" quotePrefix="0" xfId="23">
      <alignment horizontal="center" vertical="center"/>
    </xf>
    <xf numFmtId="0" fontId="10" fillId="0" borderId="17" applyAlignment="1" pivotButton="0" quotePrefix="0" xfId="23">
      <alignment horizontal="center" vertical="center"/>
    </xf>
    <xf numFmtId="0" fontId="10" fillId="0" borderId="12" applyAlignment="1" pivotButton="0" quotePrefix="0" xfId="23">
      <alignment horizontal="center" vertical="center"/>
    </xf>
    <xf numFmtId="0" fontId="10" fillId="0" borderId="13" applyAlignment="1" pivotButton="0" quotePrefix="0" xfId="23">
      <alignment horizontal="center" vertical="center"/>
    </xf>
    <xf numFmtId="0" fontId="11" fillId="0" borderId="8" applyAlignment="1" pivotButton="0" quotePrefix="0" xfId="4">
      <alignment horizontal="left" vertical="center"/>
    </xf>
    <xf numFmtId="0" fontId="11" fillId="0" borderId="13" applyAlignment="1" pivotButton="0" quotePrefix="0" xfId="4">
      <alignment horizontal="left" vertical="center"/>
    </xf>
    <xf numFmtId="1" fontId="11" fillId="9" borderId="30" applyAlignment="1" pivotButton="0" quotePrefix="0" xfId="4">
      <alignment horizontal="center" vertical="center" textRotation="90" shrinkToFit="1"/>
    </xf>
    <xf numFmtId="1" fontId="11" fillId="9" borderId="4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1" fillId="5" borderId="3" applyAlignment="1" pivotButton="0" quotePrefix="0" xfId="4">
      <alignment horizontal="center" vertical="center" textRotation="90" shrinkToFit="1"/>
    </xf>
    <xf numFmtId="164" fontId="11" fillId="5" borderId="35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9" applyAlignment="1" pivotButton="0" quotePrefix="0" xfId="4">
      <alignment horizontal="center" vertical="center" textRotation="90" wrapText="1" shrinkToFit="1"/>
    </xf>
    <xf numFmtId="164" fontId="11" fillId="5" borderId="10" applyAlignment="1" pivotButton="0" quotePrefix="0" xfId="4">
      <alignment horizontal="center" vertical="center" textRotation="90" shrinkToFit="1"/>
    </xf>
    <xf numFmtId="164" fontId="11" fillId="5" borderId="11" applyAlignment="1" pivotButton="0" quotePrefix="0" xfId="4">
      <alignment horizontal="center" vertical="center" textRotation="90" shrinkToFit="1"/>
    </xf>
    <xf numFmtId="164" fontId="11" fillId="5" borderId="37" applyAlignment="1" pivotButton="0" quotePrefix="0" xfId="4">
      <alignment horizontal="center" vertical="center" textRotation="90" shrinkToFit="1"/>
    </xf>
    <xf numFmtId="1" fontId="11" fillId="9" borderId="25" applyAlignment="1" pivotButton="0" quotePrefix="0" xfId="4">
      <alignment horizontal="center" vertical="center" textRotation="90" wrapText="1" shrinkToFit="1"/>
    </xf>
    <xf numFmtId="1" fontId="11" fillId="9" borderId="26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9" borderId="24" applyAlignment="1" pivotButton="0" quotePrefix="0" xfId="4">
      <alignment horizontal="center" vertical="center" textRotation="90" wrapText="1" shrinkToFit="1"/>
    </xf>
    <xf numFmtId="3" fontId="14" fillId="6" borderId="2" applyAlignment="1" pivotButton="0" quotePrefix="0" xfId="4">
      <alignment horizontal="center" vertical="center"/>
    </xf>
    <xf numFmtId="3" fontId="14" fillId="6" borderId="1" applyAlignment="1" pivotButton="0" quotePrefix="0" xfId="4">
      <alignment horizontal="center" vertical="center"/>
    </xf>
    <xf numFmtId="3" fontId="14" fillId="6" borderId="3" applyAlignment="1" pivotButton="0" quotePrefix="0" xfId="4">
      <alignment horizontal="center" vertical="center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1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textRotation="90" shrinkToFit="1"/>
    </xf>
    <xf numFmtId="3" fontId="14" fillId="6" borderId="6" applyAlignment="1" pivotButton="0" quotePrefix="0" xfId="4">
      <alignment horizontal="center" vertical="center" wrapText="1"/>
    </xf>
    <xf numFmtId="3" fontId="14" fillId="6" borderId="5" applyAlignment="1" pivotButton="0" quotePrefix="0" xfId="4">
      <alignment horizontal="center" vertical="center" wrapText="1"/>
    </xf>
    <xf numFmtId="3" fontId="14" fillId="6" borderId="7" applyAlignment="1" pivotButton="0" quotePrefix="0" xfId="4">
      <alignment horizontal="center" vertical="center" wrapText="1"/>
    </xf>
    <xf numFmtId="3" fontId="14" fillId="6" borderId="2" applyAlignment="1" pivotButton="0" quotePrefix="0" xfId="4">
      <alignment horizontal="center" vertical="center" wrapText="1"/>
    </xf>
    <xf numFmtId="3" fontId="14" fillId="6" borderId="1" applyAlignment="1" pivotButton="0" quotePrefix="0" xfId="4">
      <alignment horizontal="center" vertical="center" wrapText="1"/>
    </xf>
    <xf numFmtId="3" fontId="14" fillId="6" borderId="3" applyAlignment="1" pivotButton="0" quotePrefix="0" xfId="4">
      <alignment horizontal="center" vertical="center" wrapText="1"/>
    </xf>
    <xf numFmtId="164" fontId="10" fillId="5" borderId="6" applyAlignment="1" pivotButton="0" quotePrefix="0" xfId="4">
      <alignment horizontal="center" wrapText="1" shrinkToFit="1"/>
    </xf>
    <xf numFmtId="164" fontId="10" fillId="5" borderId="7" applyAlignment="1" pivotButton="0" quotePrefix="0" xfId="4">
      <alignment horizontal="center" wrapText="1" shrinkToFit="1"/>
    </xf>
    <xf numFmtId="164" fontId="10" fillId="5" borderId="2" applyAlignment="1" pivotButton="0" quotePrefix="0" xfId="4">
      <alignment horizontal="center" wrapText="1" shrinkToFit="1"/>
    </xf>
    <xf numFmtId="164" fontId="10" fillId="5" borderId="3" applyAlignment="1" pivotButton="0" quotePrefix="0" xfId="4">
      <alignment horizontal="center" wrapText="1" shrinkToFit="1"/>
    </xf>
    <xf numFmtId="0" fontId="25" fillId="0" borderId="16" applyAlignment="1" pivotButton="0" quotePrefix="0" xfId="4">
      <alignment horizontal="center" vertical="center" wrapText="1"/>
    </xf>
    <xf numFmtId="0" fontId="25" fillId="0" borderId="9" applyAlignment="1" pivotButton="0" quotePrefix="0" xfId="4">
      <alignment horizontal="center" vertical="center" wrapText="1"/>
    </xf>
    <xf numFmtId="0" fontId="25" fillId="0" borderId="17" applyAlignment="1" pivotButton="0" quotePrefix="0" xfId="4">
      <alignment horizontal="center" vertical="center" wrapText="1"/>
    </xf>
    <xf numFmtId="0" fontId="25" fillId="0" borderId="12" applyAlignment="1" pivotButton="0" quotePrefix="0" xfId="4">
      <alignment horizontal="center" vertical="center" wrapText="1"/>
    </xf>
    <xf numFmtId="0" fontId="25" fillId="0" borderId="8" applyAlignment="1" pivotButton="0" quotePrefix="0" xfId="4">
      <alignment horizontal="center" vertical="center" wrapText="1"/>
    </xf>
    <xf numFmtId="0" fontId="25" fillId="0" borderId="13" applyAlignment="1" pivotButton="0" quotePrefix="0" xfId="4">
      <alignment horizontal="center" vertical="center" wrapText="1"/>
    </xf>
    <xf numFmtId="0" fontId="17" fillId="0" borderId="12" applyAlignment="1" pivotButton="0" quotePrefix="0" xfId="4">
      <alignment horizontal="center" vertical="center" wrapText="1"/>
    </xf>
    <xf numFmtId="0" fontId="17" fillId="0" borderId="8" applyAlignment="1" pivotButton="0" quotePrefix="0" xfId="4">
      <alignment horizontal="center" vertical="center" wrapText="1"/>
    </xf>
    <xf numFmtId="0" fontId="17" fillId="0" borderId="13" applyAlignment="1" pivotButton="0" quotePrefix="0" xfId="4">
      <alignment horizontal="center" vertical="center" wrapText="1"/>
    </xf>
    <xf numFmtId="0" fontId="18" fillId="0" borderId="16" applyAlignment="1" pivotButton="0" quotePrefix="0" xfId="4">
      <alignment horizontal="center" vertical="center" wrapText="1"/>
    </xf>
    <xf numFmtId="0" fontId="18" fillId="0" borderId="9" applyAlignment="1" pivotButton="0" quotePrefix="0" xfId="4">
      <alignment horizontal="center" vertical="center" wrapText="1"/>
    </xf>
    <xf numFmtId="0" fontId="18" fillId="0" borderId="17" applyAlignment="1" pivotButton="0" quotePrefix="0" xfId="4">
      <alignment horizontal="center" vertical="center" wrapText="1"/>
    </xf>
    <xf numFmtId="0" fontId="18" fillId="0" borderId="20" applyAlignment="1" pivotButton="0" quotePrefix="0" xfId="4">
      <alignment horizontal="center" vertical="center" wrapText="1"/>
    </xf>
    <xf numFmtId="0" fontId="18" fillId="0" borderId="15" applyAlignment="1" pivotButton="0" quotePrefix="0" xfId="4">
      <alignment horizontal="center" vertical="center" wrapText="1"/>
    </xf>
    <xf numFmtId="0" fontId="18" fillId="0" borderId="21" applyAlignment="1" pivotButton="0" quotePrefix="0" xfId="4">
      <alignment horizontal="center" vertical="center" wrapText="1"/>
    </xf>
    <xf numFmtId="164" fontId="11" fillId="4" borderId="1" applyAlignment="1" pivotButton="0" quotePrefix="0" xfId="4">
      <alignment horizontal="center" vertical="center" shrinkToFit="1"/>
    </xf>
    <xf numFmtId="164" fontId="11" fillId="5" borderId="31" applyAlignment="1" pivotButton="0" quotePrefix="0" xfId="4">
      <alignment horizontal="center" vertical="center" shrinkToFit="1"/>
    </xf>
    <xf numFmtId="164" fontId="11" fillId="5" borderId="32" applyAlignment="1" pivotButton="0" quotePrefix="0" xfId="4">
      <alignment horizontal="center" vertical="center" shrinkToFit="1"/>
    </xf>
    <xf numFmtId="164" fontId="11" fillId="5" borderId="36" applyAlignment="1" pivotButton="0" quotePrefix="0" xfId="4">
      <alignment horizontal="center" vertical="center" shrinkToFit="1"/>
    </xf>
    <xf numFmtId="0" fontId="21" fillId="12" borderId="22" applyAlignment="1" pivotButton="0" quotePrefix="0" xfId="4">
      <alignment horizontal="center" shrinkToFit="1"/>
    </xf>
    <xf numFmtId="0" fontId="21" fillId="12" borderId="1" applyAlignment="1" pivotButton="0" quotePrefix="0" xfId="4">
      <alignment horizontal="center" shrinkToFit="1"/>
    </xf>
    <xf numFmtId="4" fontId="22" fillId="0" borderId="14" applyAlignment="1" pivotButton="0" quotePrefix="0" xfId="4">
      <alignment horizontal="center" vertical="center" shrinkToFit="1"/>
    </xf>
    <xf numFmtId="4" fontId="22" fillId="0" borderId="12" applyAlignment="1" pivotButton="0" quotePrefix="0" xfId="4">
      <alignment horizontal="center" vertical="center" shrinkToFit="1"/>
    </xf>
    <xf numFmtId="4" fontId="22" fillId="0" borderId="8" applyAlignment="1" pivotButton="0" quotePrefix="0" xfId="4">
      <alignment horizontal="center" vertical="center" shrinkToFit="1"/>
    </xf>
    <xf numFmtId="4" fontId="22" fillId="0" borderId="13" applyAlignment="1" pivotButton="0" quotePrefix="0" xfId="4">
      <alignment horizontal="center" vertical="center" shrinkToFit="1"/>
    </xf>
    <xf numFmtId="164" fontId="11" fillId="10" borderId="34" applyAlignment="1" pivotButton="0" quotePrefix="0" xfId="4">
      <alignment horizontal="center" vertical="center" textRotation="1" shrinkToFit="1"/>
    </xf>
    <xf numFmtId="3" fontId="14" fillId="6" borderId="6" applyAlignment="1" pivotButton="0" quotePrefix="0" xfId="4">
      <alignment horizontal="center" vertical="center"/>
    </xf>
    <xf numFmtId="3" fontId="14" fillId="6" borderId="5" applyAlignment="1" pivotButton="0" quotePrefix="0" xfId="4">
      <alignment horizontal="center" vertical="center"/>
    </xf>
    <xf numFmtId="3" fontId="14" fillId="6" borderId="7" applyAlignment="1" pivotButton="0" quotePrefix="0" xfId="4">
      <alignment horizontal="center" vertical="center"/>
    </xf>
    <xf numFmtId="164" fontId="11" fillId="10" borderId="39" applyAlignment="1" pivotButton="0" quotePrefix="0" xfId="4">
      <alignment horizontal="center" vertical="center" textRotation="1" shrinkToFit="1"/>
    </xf>
    <xf numFmtId="164" fontId="11" fillId="10" borderId="40" applyAlignment="1" pivotButton="0" quotePrefix="0" xfId="4">
      <alignment horizontal="center" vertical="center" textRotation="1" shrinkToFit="1"/>
    </xf>
    <xf numFmtId="164" fontId="11" fillId="10" borderId="38" applyAlignment="1" pivotButton="0" quotePrefix="0" xfId="4">
      <alignment horizontal="center" vertical="center" textRotation="1" shrinkToFit="1"/>
    </xf>
    <xf numFmtId="0" fontId="11" fillId="10" borderId="14" applyAlignment="1" pivotButton="0" quotePrefix="0" xfId="4">
      <alignment horizontal="left" vertical="center"/>
    </xf>
    <xf numFmtId="166" fontId="22" fillId="0" borderId="14" applyAlignment="1" pivotButton="0" quotePrefix="0" xfId="4">
      <alignment horizontal="left" vertical="center"/>
    </xf>
    <xf numFmtId="0" fontId="11" fillId="10" borderId="12" applyAlignment="1" pivotButton="0" quotePrefix="0" xfId="4">
      <alignment horizontal="left" vertical="center"/>
    </xf>
    <xf numFmtId="0" fontId="11" fillId="10" borderId="8" applyAlignment="1" pivotButton="0" quotePrefix="0" xfId="4">
      <alignment horizontal="left" vertical="center"/>
    </xf>
    <xf numFmtId="0" fontId="11" fillId="10" borderId="13" applyAlignment="1" pivotButton="0" quotePrefix="0" xfId="4">
      <alignment horizontal="left" vertical="center"/>
    </xf>
    <xf numFmtId="0" fontId="22" fillId="0" borderId="27" applyAlignment="1" pivotButton="0" quotePrefix="0" xfId="4">
      <alignment horizontal="left" vertical="center"/>
    </xf>
    <xf numFmtId="4" fontId="11" fillId="10" borderId="27" applyAlignment="1" pivotButton="0" quotePrefix="0" xfId="4">
      <alignment horizontal="center" vertical="center" shrinkToFit="1"/>
    </xf>
    <xf numFmtId="4" fontId="11" fillId="10" borderId="12" applyAlignment="1" pivotButton="0" quotePrefix="0" xfId="4">
      <alignment horizontal="left" vertical="center" shrinkToFit="1"/>
    </xf>
    <xf numFmtId="4" fontId="11" fillId="10" borderId="8" applyAlignment="1" pivotButton="0" quotePrefix="0" xfId="4">
      <alignment horizontal="left" vertical="center" shrinkToFit="1"/>
    </xf>
    <xf numFmtId="4" fontId="11" fillId="10" borderId="13" applyAlignment="1" pivotButton="0" quotePrefix="0" xfId="4">
      <alignment horizontal="left" vertical="center" shrinkToFit="1"/>
    </xf>
    <xf numFmtId="4" fontId="11" fillId="10" borderId="12" applyAlignment="1" pivotButton="0" quotePrefix="0" xfId="4">
      <alignment horizontal="center" vertical="center" shrinkToFit="1"/>
    </xf>
    <xf numFmtId="4" fontId="11" fillId="10" borderId="8" applyAlignment="1" pivotButton="0" quotePrefix="0" xfId="4">
      <alignment horizontal="center" vertical="center" shrinkToFit="1"/>
    </xf>
    <xf numFmtId="4" fontId="11" fillId="10" borderId="13" applyAlignment="1" pivotButton="0" quotePrefix="0" xfId="4">
      <alignment horizontal="center" vertical="center" shrinkToFit="1"/>
    </xf>
    <xf numFmtId="3" fontId="14" fillId="0" borderId="28" applyAlignment="1" pivotButton="0" quotePrefix="0" xfId="19">
      <alignment horizontal="center" vertical="center" wrapText="1"/>
    </xf>
    <xf numFmtId="3" fontId="14" fillId="0" borderId="29" applyAlignment="1" pivotButton="0" quotePrefix="0" xfId="19">
      <alignment horizontal="center" vertical="center" wrapText="1"/>
    </xf>
    <xf numFmtId="164" fontId="11" fillId="0" borderId="28" applyAlignment="1" pivotButton="0" quotePrefix="0" xfId="19">
      <alignment horizontal="center" vertical="center" shrinkToFit="1"/>
    </xf>
    <xf numFmtId="164" fontId="11" fillId="0" borderId="29" applyAlignment="1" pivotButton="0" quotePrefix="0" xfId="19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9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4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6" applyAlignment="1" pivotButton="0" quotePrefix="0" xfId="19">
      <alignment horizontal="center" vertical="center" textRotation="90" shrinkToFit="1"/>
    </xf>
    <xf numFmtId="3" fontId="11" fillId="0" borderId="28" applyAlignment="1" pivotButton="0" quotePrefix="0" xfId="19">
      <alignment horizontal="center" vertical="center" wrapText="1"/>
    </xf>
    <xf numFmtId="3" fontId="11" fillId="0" borderId="29" applyAlignment="1" pivotButton="0" quotePrefix="0" xfId="19">
      <alignment horizontal="center" vertical="center"/>
    </xf>
    <xf numFmtId="3" fontId="14" fillId="0" borderId="28" applyAlignment="1" pivotButton="0" quotePrefix="0" xfId="22">
      <alignment horizontal="center" vertical="center" wrapText="1"/>
    </xf>
    <xf numFmtId="3" fontId="14" fillId="0" borderId="29" applyAlignment="1" pivotButton="0" quotePrefix="0" xfId="22">
      <alignment horizontal="center" vertical="center" wrapText="1"/>
    </xf>
    <xf numFmtId="164" fontId="11" fillId="0" borderId="28" applyAlignment="1" pivotButton="0" quotePrefix="0" xfId="22">
      <alignment horizontal="center" vertical="center" shrinkToFit="1"/>
    </xf>
    <xf numFmtId="164" fontId="11" fillId="0" borderId="29" applyAlignment="1" pivotButton="0" quotePrefix="0" xfId="22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9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4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6" applyAlignment="1" pivotButton="0" quotePrefix="0" xfId="22">
      <alignment horizontal="center" vertical="center" textRotation="90" shrinkToFit="1"/>
    </xf>
    <xf numFmtId="3" fontId="11" fillId="0" borderId="28" applyAlignment="1" pivotButton="0" quotePrefix="0" xfId="22">
      <alignment horizontal="center" vertical="center" wrapText="1"/>
    </xf>
    <xf numFmtId="3" fontId="11" fillId="0" borderId="29" applyAlignment="1" pivotButton="0" quotePrefix="0" xfId="22">
      <alignment horizontal="center" vertical="center"/>
    </xf>
    <xf numFmtId="164" fontId="10" fillId="0" borderId="0" applyAlignment="1" pivotButton="0" quotePrefix="0" xfId="2">
      <alignment shrinkToFit="1"/>
    </xf>
    <xf numFmtId="166" fontId="10" fillId="0" borderId="0" applyAlignment="1" pivotButton="0" quotePrefix="0" xfId="2">
      <alignment horizontal="center" shrinkToFit="1"/>
    </xf>
    <xf numFmtId="0" fontId="17" fillId="0" borderId="14" applyAlignment="1" pivotButton="0" quotePrefix="0" xfId="4">
      <alignment horizontal="center" vertical="center" wrapText="1"/>
    </xf>
    <xf numFmtId="0" fontId="0" fillId="0" borderId="8" pivotButton="0" quotePrefix="0" xfId="0"/>
    <xf numFmtId="0" fontId="0" fillId="0" borderId="13" pivotButton="0" quotePrefix="0" xfId="0"/>
    <xf numFmtId="0" fontId="25" fillId="0" borderId="28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7" pivotButton="0" quotePrefix="0" xfId="0"/>
    <xf numFmtId="0" fontId="18" fillId="0" borderId="14" applyAlignment="1" pivotButton="0" quotePrefix="0" xfId="4">
      <alignment horizontal="center" vertical="center" wrapText="1"/>
    </xf>
    <xf numFmtId="0" fontId="25" fillId="0" borderId="14" applyAlignment="1" pivotButton="0" quotePrefix="0" xfId="4">
      <alignment horizontal="center" vertical="center" wrapText="1"/>
    </xf>
    <xf numFmtId="166" fontId="8" fillId="0" borderId="1" applyAlignment="1" pivotButton="0" quotePrefix="0" xfId="4">
      <alignment horizontal="center"/>
    </xf>
    <xf numFmtId="0" fontId="0" fillId="0" borderId="20" pivotButton="0" quotePrefix="0" xfId="0"/>
    <xf numFmtId="0" fontId="0" fillId="0" borderId="15" pivotButton="0" quotePrefix="0" xfId="0"/>
    <xf numFmtId="0" fontId="0" fillId="0" borderId="21" pivotButton="0" quotePrefix="0" xfId="0"/>
    <xf numFmtId="166" fontId="22" fillId="0" borderId="14" applyAlignment="1" pivotButton="0" quotePrefix="0" xfId="4">
      <alignment horizontal="left" vertical="center"/>
    </xf>
    <xf numFmtId="4" fontId="11" fillId="10" borderId="14" applyAlignment="1" pivotButton="0" quotePrefix="0" xfId="4">
      <alignment horizontal="left" vertical="center" shrinkToFit="1"/>
    </xf>
    <xf numFmtId="4" fontId="11" fillId="10" borderId="14" applyAlignment="1" pivotButton="0" quotePrefix="0" xfId="4">
      <alignment horizontal="center" vertical="center" shrinkToFit="1"/>
    </xf>
    <xf numFmtId="4" fontId="27" fillId="10" borderId="14" applyAlignment="1" pivotButton="0" quotePrefix="0" xfId="24">
      <alignment horizontal="center" vertical="center" shrinkToFit="1"/>
    </xf>
    <xf numFmtId="0" fontId="10" fillId="0" borderId="28" applyAlignment="1" pivotButton="0" quotePrefix="0" xfId="23">
      <alignment horizontal="center" vertical="center"/>
    </xf>
    <xf numFmtId="170" fontId="10" fillId="0" borderId="14" applyAlignment="1" pivotButton="0" quotePrefix="0" xfId="23">
      <alignment horizontal="center" vertical="center"/>
    </xf>
    <xf numFmtId="0" fontId="10" fillId="0" borderId="14" applyAlignment="1" pivotButton="0" quotePrefix="0" xfId="23">
      <alignment horizontal="center" vertical="center"/>
    </xf>
    <xf numFmtId="164" fontId="11" fillId="5" borderId="10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0" fillId="5" borderId="6" applyAlignment="1" pivotButton="0" quotePrefix="0" xfId="4">
      <alignment horizontal="center" wrapText="1" shrinkToFit="1"/>
    </xf>
    <xf numFmtId="0" fontId="0" fillId="0" borderId="42" pivotButton="0" quotePrefix="0" xfId="0"/>
    <xf numFmtId="0" fontId="0" fillId="0" borderId="48" pivotButton="0" quotePrefix="0" xfId="0"/>
    <xf numFmtId="0" fontId="0" fillId="0" borderId="49" pivotButton="0" quotePrefix="0" xfId="0"/>
    <xf numFmtId="164" fontId="11" fillId="5" borderId="31" applyAlignment="1" pivotButton="0" quotePrefix="0" xfId="4">
      <alignment horizontal="center" vertical="center" shrinkToFit="1"/>
    </xf>
    <xf numFmtId="0" fontId="0" fillId="0" borderId="19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4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8" pivotButton="0" quotePrefix="0" xfId="0"/>
    <xf numFmtId="0" fontId="0" fillId="0" borderId="46" pivotButton="0" quotePrefix="0" xfId="0"/>
    <xf numFmtId="0" fontId="0" fillId="0" borderId="22" pivotButton="0" quotePrefix="0" xfId="0"/>
    <xf numFmtId="0" fontId="0" fillId="0" borderId="51" pivotButton="0" quotePrefix="0" xfId="0"/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textRotation="1" shrinkToFit="1"/>
    </xf>
    <xf numFmtId="0" fontId="0" fillId="0" borderId="40" pivotButton="0" quotePrefix="0" xfId="0"/>
    <xf numFmtId="0" fontId="0" fillId="0" borderId="38" pivotButton="0" quotePrefix="0" xfId="0"/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0" fontId="0" fillId="0" borderId="45" pivotButton="0" quotePrefix="0" xfId="0"/>
    <xf numFmtId="164" fontId="11" fillId="13" borderId="1" applyAlignment="1" pivotButton="0" quotePrefix="0" xfId="4">
      <alignment horizontal="center" vertical="center" shrinkToFit="1"/>
    </xf>
    <xf numFmtId="164" fontId="11" fillId="4" borderId="1" applyAlignment="1" pivotButton="0" quotePrefix="0" xfId="4">
      <alignment horizontal="center" vertical="center" shrinkToFit="1"/>
    </xf>
    <xf numFmtId="165" fontId="10" fillId="11" borderId="30" applyAlignment="1" pivotButton="0" quotePrefix="0" xfId="2">
      <alignment horizontal="center" shrinkToFit="1"/>
    </xf>
    <xf numFmtId="164" fontId="11" fillId="3" borderId="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164" fontId="11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5" fontId="10" fillId="11" borderId="34" applyAlignment="1" pivotButton="0" quotePrefix="0" xfId="2">
      <alignment horizontal="center" shrinkToFit="1"/>
    </xf>
    <xf numFmtId="164" fontId="11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8" applyAlignment="1" pivotButton="0" quotePrefix="0" xfId="19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8" applyAlignment="1" pivotButton="0" quotePrefix="0" xfId="22">
      <alignment horizontal="center" vertical="center" shrinkToFit="1"/>
    </xf>
    <xf numFmtId="170" fontId="10" fillId="0" borderId="1" applyAlignment="1" pivotButton="0" quotePrefix="0" xfId="3">
      <alignment horizontal="center"/>
    </xf>
    <xf numFmtId="1" fontId="13" fillId="3" borderId="53" applyAlignment="1" pivotButton="0" quotePrefix="0" xfId="2">
      <alignment horizontal="center" shrinkToFit="1"/>
    </xf>
    <xf numFmtId="165" fontId="13" fillId="11" borderId="4" applyAlignment="1" pivotButton="0" quotePrefix="0" xfId="2">
      <alignment horizontal="center" shrinkToFit="1"/>
    </xf>
    <xf numFmtId="1" fontId="13" fillId="11" borderId="4" applyAlignment="1" pivotButton="0" quotePrefix="0" xfId="4">
      <alignment horizontal="center" vertical="center" shrinkToFit="1"/>
    </xf>
    <xf numFmtId="1" fontId="13" fillId="3" borderId="4" applyAlignment="1" pivotButton="0" quotePrefix="0" xfId="2">
      <alignment horizontal="center" shrinkToFit="1"/>
    </xf>
    <xf numFmtId="0" fontId="0" fillId="11" borderId="22" applyAlignment="1" pivotButton="0" quotePrefix="0" xfId="0">
      <alignment horizontal="center"/>
    </xf>
    <xf numFmtId="164" fontId="11" fillId="0" borderId="22" applyAlignment="1" pivotButton="0" quotePrefix="0" xfId="2">
      <alignment horizontal="center" shrinkToFit="1"/>
    </xf>
    <xf numFmtId="166" fontId="23" fillId="3" borderId="41" applyAlignment="1" pivotButton="0" quotePrefix="0" xfId="2">
      <alignment horizontal="center" shrinkToFit="1"/>
    </xf>
    <xf numFmtId="1" fontId="23" fillId="3" borderId="22" applyAlignment="1" pivotButton="0" quotePrefix="0" xfId="2">
      <alignment horizontal="center" shrinkToFit="1"/>
    </xf>
    <xf numFmtId="167" fontId="23" fillId="14" borderId="22" applyAlignment="1" pivotButton="0" quotePrefix="0" xfId="2">
      <alignment horizontal="center" shrinkToFit="1"/>
    </xf>
    <xf numFmtId="169" fontId="23" fillId="14" borderId="22" applyAlignment="1" pivotButton="0" quotePrefix="0" xfId="2">
      <alignment horizontal="center" shrinkToFit="1"/>
    </xf>
    <xf numFmtId="4" fontId="13" fillId="3" borderId="22" applyAlignment="1" pivotButton="0" quotePrefix="0" xfId="3">
      <alignment horizontal="center" shrinkToFit="1"/>
    </xf>
    <xf numFmtId="4" fontId="13" fillId="14" borderId="22" applyAlignment="1" pivotButton="0" quotePrefix="0" xfId="2">
      <alignment horizontal="center" shrinkToFit="1"/>
    </xf>
    <xf numFmtId="168" fontId="13" fillId="14" borderId="22" applyAlignment="1" pivotButton="0" quotePrefix="0" xfId="2">
      <alignment horizontal="center" shrinkToFit="1"/>
    </xf>
    <xf numFmtId="4" fontId="13" fillId="4" borderId="22" applyAlignment="1" pivotButton="0" quotePrefix="0" xfId="2">
      <alignment horizontal="center" shrinkToFit="1"/>
    </xf>
    <xf numFmtId="4" fontId="13" fillId="10" borderId="22" applyAlignment="1" pivotButton="0" quotePrefix="0" xfId="2">
      <alignment horizontal="center" shrinkToFit="1"/>
    </xf>
    <xf numFmtId="166" fontId="13" fillId="2" borderId="22" applyAlignment="1" pivotButton="0" quotePrefix="0" xfId="2">
      <alignment horizontal="center" shrinkToFit="1"/>
    </xf>
    <xf numFmtId="167" fontId="16" fillId="14" borderId="22" applyAlignment="1" pivotButton="0" quotePrefix="0" xfId="2">
      <alignment horizontal="center" shrinkToFit="1"/>
    </xf>
    <xf numFmtId="169" fontId="16" fillId="0" borderId="22" applyAlignment="1" pivotButton="0" quotePrefix="0" xfId="2">
      <alignment horizontal="center" shrinkToFit="1"/>
    </xf>
    <xf numFmtId="169" fontId="9" fillId="14" borderId="22" applyAlignment="1" pivotButton="0" quotePrefix="0" xfId="2">
      <alignment horizontal="center" shrinkToFit="1"/>
    </xf>
    <xf numFmtId="167" fontId="15" fillId="2" borderId="22" applyAlignment="1" pivotButton="0" quotePrefix="0" xfId="2">
      <alignment horizontal="center" vertical="center" shrinkToFit="1"/>
    </xf>
    <xf numFmtId="169" fontId="13" fillId="14" borderId="22" applyAlignment="1" pivotButton="0" quotePrefix="0" xfId="2">
      <alignment horizontal="center" shrinkToFit="1"/>
    </xf>
    <xf numFmtId="0" fontId="13" fillId="0" borderId="51" applyAlignment="1" pivotButton="0" quotePrefix="0" xfId="2">
      <alignment horizontal="center" shrinkToFit="1"/>
    </xf>
    <xf numFmtId="0" fontId="13" fillId="0" borderId="0" applyAlignment="1" pivotButton="0" quotePrefix="0" xfId="4">
      <alignment horizontal="center" shrinkToFit="1"/>
    </xf>
    <xf numFmtId="0" fontId="13" fillId="0" borderId="1" applyAlignment="1" pivotButton="0" quotePrefix="0" xfId="4">
      <alignment horizontal="center" shrinkToFit="1"/>
    </xf>
    <xf numFmtId="0" fontId="12" fillId="7" borderId="47" applyAlignment="1" pivotButton="0" quotePrefix="0" xfId="3">
      <alignment horizontal="center" vertical="center" shrinkToFit="1"/>
    </xf>
    <xf numFmtId="0" fontId="20" fillId="7" borderId="47" applyAlignment="1" pivotButton="0" quotePrefix="0" xfId="3">
      <alignment horizontal="center" vertical="center" shrinkToFit="1"/>
    </xf>
    <xf numFmtId="0" fontId="13" fillId="0" borderId="0" applyAlignment="1" pivotButton="0" quotePrefix="0" xfId="2">
      <alignment horizontal="center" shrinkToFit="1"/>
    </xf>
    <xf numFmtId="0" fontId="13" fillId="0" borderId="22" applyAlignment="1" pivotButton="0" quotePrefix="0" xfId="4">
      <alignment horizontal="center" shrinkToFit="1"/>
    </xf>
    <xf numFmtId="1" fontId="13" fillId="3" borderId="2" applyAlignment="1" pivotButton="0" quotePrefix="0" xfId="2">
      <alignment horizontal="center" shrinkToFit="1"/>
    </xf>
    <xf numFmtId="165" fontId="13" fillId="11" borderId="1" applyAlignment="1" pivotButton="0" quotePrefix="0" xfId="2">
      <alignment horizontal="center" shrinkToFit="1"/>
    </xf>
    <xf numFmtId="1" fontId="13" fillId="11" borderId="1" applyAlignment="1" pivotButton="0" quotePrefix="0" xfId="4">
      <alignment horizontal="center" vertical="center" shrinkToFit="1"/>
    </xf>
    <xf numFmtId="1" fontId="13" fillId="3" borderId="1" applyAlignment="1" pivotButton="0" quotePrefix="0" xfId="2">
      <alignment horizontal="center" shrinkToFit="1"/>
    </xf>
    <xf numFmtId="164" fontId="11" fillId="0" borderId="1" applyAlignment="1" pivotButton="0" quotePrefix="0" xfId="2">
      <alignment horizontal="center" shrinkToFit="1"/>
    </xf>
    <xf numFmtId="166" fontId="23" fillId="3" borderId="1" applyAlignment="1" pivotButton="0" quotePrefix="0" xfId="2">
      <alignment horizontal="center" shrinkToFit="1"/>
    </xf>
    <xf numFmtId="169" fontId="23" fillId="3" borderId="1" applyAlignment="1" pivotButton="0" quotePrefix="0" xfId="2">
      <alignment horizontal="center" shrinkToFit="1"/>
    </xf>
    <xf numFmtId="4" fontId="13" fillId="3" borderId="1" applyAlignment="1" pivotButton="0" quotePrefix="0" xfId="3">
      <alignment horizontal="center" shrinkToFit="1"/>
    </xf>
    <xf numFmtId="4" fontId="13" fillId="3" borderId="1" applyAlignment="1" pivotButton="0" quotePrefix="0" xfId="2">
      <alignment horizontal="center" shrinkToFit="1"/>
    </xf>
    <xf numFmtId="168" fontId="13" fillId="8" borderId="1" applyAlignment="1" pivotButton="0" quotePrefix="0" xfId="2">
      <alignment horizontal="center" shrinkToFit="1"/>
    </xf>
    <xf numFmtId="4" fontId="13" fillId="4" borderId="1" applyAlignment="1" pivotButton="0" quotePrefix="0" xfId="2">
      <alignment horizontal="center" shrinkToFit="1"/>
    </xf>
    <xf numFmtId="4" fontId="13" fillId="10" borderId="1" applyAlignment="1" pivotButton="0" quotePrefix="0" xfId="2">
      <alignment horizontal="center" shrinkToFit="1"/>
    </xf>
    <xf numFmtId="166" fontId="13" fillId="2" borderId="1" applyAlignment="1" pivotButton="0" quotePrefix="0" xfId="2">
      <alignment horizontal="center" shrinkToFit="1"/>
    </xf>
    <xf numFmtId="169" fontId="16" fillId="3" borderId="1" applyAlignment="1" pivotButton="0" quotePrefix="0" xfId="2">
      <alignment horizontal="center" shrinkToFit="1"/>
    </xf>
    <xf numFmtId="169" fontId="9" fillId="3" borderId="1" applyAlignment="1" pivotButton="0" quotePrefix="0" xfId="2">
      <alignment horizontal="center" shrinkToFit="1"/>
    </xf>
    <xf numFmtId="169" fontId="9" fillId="8" borderId="1" applyAlignment="1" pivotButton="0" quotePrefix="0" xfId="2">
      <alignment horizontal="center" shrinkToFit="1"/>
    </xf>
    <xf numFmtId="169" fontId="13" fillId="3" borderId="1" applyAlignment="1" pivotButton="0" quotePrefix="0" xfId="2">
      <alignment horizontal="center" shrinkToFit="1"/>
    </xf>
    <xf numFmtId="0" fontId="13" fillId="0" borderId="3" applyAlignment="1" pivotButton="0" quotePrefix="0" xfId="2">
      <alignment horizontal="center" shrinkToFit="1"/>
    </xf>
    <xf numFmtId="1" fontId="13" fillId="3" borderId="54" applyAlignment="1" pivotButton="0" quotePrefix="0" xfId="2">
      <alignment horizontal="center" shrinkToFit="1"/>
    </xf>
    <xf numFmtId="165" fontId="13" fillId="11" borderId="55" applyAlignment="1" pivotButton="0" quotePrefix="0" xfId="2">
      <alignment horizontal="center" shrinkToFit="1"/>
    </xf>
    <xf numFmtId="1" fontId="13" fillId="11" borderId="55" applyAlignment="1" pivotButton="0" quotePrefix="0" xfId="4">
      <alignment horizontal="center" vertical="center" shrinkToFit="1"/>
    </xf>
    <xf numFmtId="1" fontId="13" fillId="3" borderId="55" applyAlignment="1" pivotButton="0" quotePrefix="0" xfId="2">
      <alignment horizontal="center" shrinkToFit="1"/>
    </xf>
    <xf numFmtId="0" fontId="0" fillId="11" borderId="55" applyAlignment="1" pivotButton="0" quotePrefix="0" xfId="0">
      <alignment horizontal="center"/>
    </xf>
    <xf numFmtId="164" fontId="11" fillId="0" borderId="55" applyAlignment="1" pivotButton="0" quotePrefix="0" xfId="2">
      <alignment horizontal="center" shrinkToFit="1"/>
    </xf>
    <xf numFmtId="166" fontId="23" fillId="3" borderId="55" applyAlignment="1" pivotButton="0" quotePrefix="0" xfId="2">
      <alignment horizontal="center" shrinkToFit="1"/>
    </xf>
    <xf numFmtId="1" fontId="23" fillId="3" borderId="55" applyAlignment="1" pivotButton="0" quotePrefix="0" xfId="2">
      <alignment horizontal="center" shrinkToFit="1"/>
    </xf>
    <xf numFmtId="167" fontId="23" fillId="3" borderId="55" applyAlignment="1" pivotButton="0" quotePrefix="0" xfId="2">
      <alignment horizontal="center" shrinkToFit="1"/>
    </xf>
    <xf numFmtId="169" fontId="23" fillId="3" borderId="55" applyAlignment="1" pivotButton="0" quotePrefix="0" xfId="2">
      <alignment horizontal="center" shrinkToFit="1"/>
    </xf>
    <xf numFmtId="4" fontId="13" fillId="3" borderId="55" applyAlignment="1" pivotButton="0" quotePrefix="0" xfId="3">
      <alignment horizontal="center" shrinkToFit="1"/>
    </xf>
    <xf numFmtId="4" fontId="13" fillId="3" borderId="55" applyAlignment="1" pivotButton="0" quotePrefix="0" xfId="2">
      <alignment horizontal="center" shrinkToFit="1"/>
    </xf>
    <xf numFmtId="168" fontId="13" fillId="8" borderId="55" applyAlignment="1" pivotButton="0" quotePrefix="0" xfId="2">
      <alignment horizontal="center" shrinkToFit="1"/>
    </xf>
    <xf numFmtId="4" fontId="13" fillId="4" borderId="55" applyAlignment="1" pivotButton="0" quotePrefix="0" xfId="2">
      <alignment horizontal="center" shrinkToFit="1"/>
    </xf>
    <xf numFmtId="4" fontId="13" fillId="10" borderId="55" applyAlignment="1" pivotButton="0" quotePrefix="0" xfId="2">
      <alignment horizontal="center" shrinkToFit="1"/>
    </xf>
    <xf numFmtId="166" fontId="13" fillId="2" borderId="55" applyAlignment="1" pivotButton="0" quotePrefix="0" xfId="2">
      <alignment horizontal="center" shrinkToFit="1"/>
    </xf>
    <xf numFmtId="167" fontId="16" fillId="3" borderId="55" applyAlignment="1" pivotButton="0" quotePrefix="0" xfId="2">
      <alignment horizontal="center" shrinkToFit="1"/>
    </xf>
    <xf numFmtId="169" fontId="16" fillId="3" borderId="55" applyAlignment="1" pivotButton="0" quotePrefix="0" xfId="2">
      <alignment horizontal="center" shrinkToFit="1"/>
    </xf>
    <xf numFmtId="169" fontId="9" fillId="3" borderId="55" applyAlignment="1" pivotButton="0" quotePrefix="0" xfId="2">
      <alignment horizontal="center" shrinkToFit="1"/>
    </xf>
    <xf numFmtId="169" fontId="9" fillId="8" borderId="55" applyAlignment="1" pivotButton="0" quotePrefix="0" xfId="2">
      <alignment horizontal="center" shrinkToFit="1"/>
    </xf>
    <xf numFmtId="167" fontId="15" fillId="2" borderId="55" applyAlignment="1" pivotButton="0" quotePrefix="0" xfId="2">
      <alignment horizontal="center" vertical="center" shrinkToFit="1"/>
    </xf>
    <xf numFmtId="169" fontId="13" fillId="3" borderId="55" applyAlignment="1" pivotButton="0" quotePrefix="0" xfId="2">
      <alignment horizontal="center" shrinkToFit="1"/>
    </xf>
    <xf numFmtId="0" fontId="13" fillId="0" borderId="56" applyAlignment="1" pivotButton="0" quotePrefix="0" xfId="2">
      <alignment horizontal="center" shrinkToFit="1"/>
    </xf>
    <xf numFmtId="0" fontId="13" fillId="0" borderId="15" applyAlignment="1" pivotButton="0" quotePrefix="0" xfId="4">
      <alignment horizontal="center" shrinkToFit="1"/>
    </xf>
    <xf numFmtId="0" fontId="13" fillId="0" borderId="55" applyAlignment="1" pivotButton="0" quotePrefix="0" xfId="4">
      <alignment horizontal="center" shrinkToFit="1"/>
    </xf>
    <xf numFmtId="0" fontId="12" fillId="7" borderId="57" applyAlignment="1" pivotButton="0" quotePrefix="0" xfId="3">
      <alignment horizontal="center" vertical="center" shrinkToFit="1"/>
    </xf>
    <xf numFmtId="0" fontId="20" fillId="7" borderId="57" applyAlignment="1" pivotButton="0" quotePrefix="0" xfId="3">
      <alignment horizontal="center" vertical="center" shrinkToFit="1"/>
    </xf>
    <xf numFmtId="0" fontId="13" fillId="0" borderId="15" applyAlignment="1" pivotButton="0" quotePrefix="0" xfId="2">
      <alignment horizontal="center" shrinkToFit="1"/>
    </xf>
    <xf numFmtId="164" fontId="11" fillId="0" borderId="59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Normal 3 2 2 2 2" xfId="19"/>
    <cellStyle name="Normal 3 2 6" xfId="20"/>
    <cellStyle name="Normal 3 7" xfId="21"/>
    <cellStyle name="Normal 3 2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3" xfId="39"/>
  </cellStyles>
  <dxfs count="21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strike val="0"/>
        <color rgb="FFFFFF00"/>
      </font>
      <fill>
        <patternFill>
          <bgColor rgb="FFFF0000"/>
        </patternFill>
      </fill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252956</xdr:colOff>
      <xdr:row>2</xdr:row>
      <xdr:rowOff>254929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N240" /><sheetViews><sheetView tabSelected="1" zoomScale="65" zoomScaleNormal="65" workbookViewId="0"><selection activeCell="AF8" sqref="AF8" /></sheetView></sheetViews><sheetFormatPr baseColWidth="10" defaultColWidth="7.140625" defaultRowHeight="12.75" /><cols><col width="3.5703125" customWidth="1" style="14" min="1" max="1" /><col width="10.85546875" customWidth="1" style="3" min="2" max="2" /><col width="11" customWidth="1" style="15" min="3" max="3" /><col width="4.28515625" customWidth="1" style="16" min="4" max="4" /><col width="3.85546875" customWidth="1" style="3" min="5" max="5" /><col width="12.7109375" customWidth="1" style="229" min="6" max="6" /><col width="15.28515625" customWidth="1" style="229" min="7" max="7" /><col width="4.5703125" customWidth="1" style="229" min="8" max="8" /><col width="4.7109375" customWidth="1" style="229" min="9" max="9" /><col width="4.5703125" customWidth="1" style="230" min="10" max="10" /><col width="3.7109375" customWidth="1" style="29" min="11" max="11" /><col width="3.28515625" customWidth="1" style="29" min="12" max="12" /><col width="9.85546875" customWidth="1" style="18" min="13" max="13" /><col width="9.5703125" customWidth="1" style="18" min="14" max="14" /><col width="6.28515625" customWidth="1" style="18" min="15" max="15" /><col width="8.28515625" customWidth="1" style="18" min="16" max="16" /><col width="4" customWidth="1" style="18" min="17" max="17" /><col width="5.7109375" customWidth="1" style="18" min="18" max="18" /><col width="6.42578125" customWidth="1" style="19" min="19" max="19" /><col width="8.85546875" customWidth="1" style="19" min="20" max="20" /><col width="6.5703125" customWidth="1" style="19" min="21" max="21" /><col width="5.42578125" customWidth="1" style="18" min="22" max="22" /><col width="3.5703125" customWidth="1" style="18" min="23" max="23" /><col width="4" customWidth="1" style="18" min="24" max="24" /><col width="9.7109375" customWidth="1" style="18" min="25" max="25" /><col width="9.42578125" customWidth="1" style="18" min="26" max="26" /><col width="7.7109375" customWidth="1" style="18" min="27" max="27" /><col width="9.42578125" customWidth="1" style="18" min="28" max="28" /><col width="4.28515625" customWidth="1" style="18" min="29" max="29" /><col width="7" customWidth="1" style="18" min="30" max="30" /><col width="4.42578125" customWidth="1" style="18" min="31" max="31" /><col width="6.140625" customWidth="1" style="18" min="32" max="32" /><col width="6" customWidth="1" style="18" min="33" max="33" /><col width="5.140625" customWidth="1" style="18" min="34" max="34" /><col width="4.42578125" customWidth="1" style="18" min="35" max="36" /><col width="9.85546875" customWidth="1" style="18" min="37" max="37" /><col width="9.140625" customWidth="1" style="18" min="38" max="38" /><col width="6.7109375" customWidth="1" style="18" min="39" max="39" /><col width="8.42578125" customWidth="1" style="18" min="40" max="40" /><col width="5.7109375" customWidth="1" style="18" min="41" max="41" /><col width="8.85546875" customWidth="1" style="20" min="42" max="42" /><col width="4.5703125" customWidth="1" style="8" min="43" max="43" /><col width="6.140625" customWidth="1" style="6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4" min="51" max="51" /><col width="16" customWidth="1" style="14" min="52" max="53" /><col width="15" bestFit="1" customWidth="1" style="14" min="54" max="54" /><col width="15.140625" customWidth="1" style="14" min="55" max="55" /><col width="4.42578125" customWidth="1" style="14" min="56" max="56" /><col width="5.5703125" customWidth="1" style="14" min="57" max="57" /><col width="4.28515625" customWidth="1" style="14" min="58" max="58" /><col width="18.28515625" customWidth="1" style="14" min="59" max="59" /><col width="7.140625" customWidth="1" style="14" min="60" max="60" /><col width="6.85546875" customWidth="1" style="14" min="61" max="61" /><col width="9" customWidth="1" style="14" min="62" max="62" /><col width="11" customWidth="1" style="14" min="63" max="63" /><col width="13.140625" customWidth="1" style="14" min="64" max="64" /><col width="7.140625" customWidth="1" style="3" min="65" max="16384" /></cols><sheetData><row r="1" ht="26.25" customFormat="1" customHeight="1" s="1" thickBot="1"><c r="A1" s="42" t="n" /><c r="B1" s="43" t="n" /><c r="C1" s="43" t="n" /><c r="D1" s="44" t="n" /><c r="E1" s="231" t="inlineStr"><is><t>FORMATO</t></is></c><c r="F1" s="232" t="n" /><c r="G1" s="232" t="n" /><c r="H1" s="232" t="n" /><c r="I1" s="232" t="n" /><c r="J1" s="232" t="n" /><c r="K1" s="232" t="n" /><c r="L1" s="232" t="n" /><c r="M1" s="232" t="n" /><c r="N1" s="232" t="n" /><c r="O1" s="232" t="n" /><c r="P1" s="232" t="n" /><c r="Q1" s="232" t="n" /><c r="R1" s="232" t="n" /><c r="S1" s="232" t="n" /><c r="T1" s="232" t="n" /><c r="U1" s="232" t="n" /><c r="V1" s="232" t="n" /><c r="W1" s="232" t="n" /><c r="X1" s="232" t="n" /><c r="Y1" s="232" t="n" /><c r="Z1" s="232" t="n" /><c r="AA1" s="232" t="n" /><c r="AB1" s="232" t="n" /><c r="AC1" s="232" t="n" /><c r="AD1" s="232" t="n" /><c r="AE1" s="232" t="n" /><c r="AF1" s="232" t="n" /><c r="AG1" s="232" t="n" /><c r="AH1" s="232" t="n" /><c r="AI1" s="232" t="n" /><c r="AJ1" s="232" t="n" /><c r="AK1" s="232" t="n" /><c r="AL1" s="232" t="n" /><c r="AM1" s="232" t="n" /><c r="AN1" s="232" t="n" /><c r="AO1" s="233" t="n" /><c r="AP1" s="234" t="inlineStr"><is><t>Código: F05-GA-PR-01</t></is></c><c r="AQ1" s="235" t="n" /><c r="AR1" s="235" t="n" /><c r="AS1" s="235" t="n" /><c r="AT1" s="236" t="n" /><c r="AU1" s="5" t="n" /><c r="AV1" s="5" t="n" /><c r="AW1" s="5" t="n" /><c r="AX1" s="117" t="inlineStr"><is><t>Q3/Q1</t></is></c><c r="AY1" s="118" t="n"><v>100</v></c><c r="AZ1" s="118" t="n"><v>125</v></c><c r="BA1" s="118" t="n"><v>160</v></c><c r="BB1" s="118" t="n"><v>200</v></c><c r="BC1" s="118" t="n"><v>400</v></c><c r="BD1" s="118" t="n"><v>500</v></c><c r="BE1" s="22" t="n" /><c r="BF1" s="22" t="n" /><c r="BG1" s="22" t="n" /><c r="BH1" s="22" t="n" /><c r="BI1" s="22" t="n" /><c r="BJ1" s="23" t="n" /><c r="BK1" s="23" t="n" /><c r="BL1" s="23" t="n" /></row><row r="2" ht="21.75" customFormat="1" customHeight="1" s="1" thickBot="1"><c r="A2" s="45" t="n" /><c r="B2" s="46" t="n" /><c r="C2" s="46" t="n" /><c r="D2" s="47" t="n" /><c r="E2" s="237" t="inlineStr"><is><t xml:space="preserve">  INGRESO DE DATOS DE LA VERIFICACIÓN INICIAL DE MEDIDORES EN LA COMPUTADORA</t></is></c><c r="F2" s="235" t="n" /><c r="G2" s="235" t="n" /><c r="H2" s="235" t="n" /><c r="I2" s="235" t="n" /><c r="J2" s="235" t="n" /><c r="K2" s="235" t="n" /><c r="L2" s="235" t="n" /><c r="M2" s="235" t="n" /><c r="N2" s="235" t="n" /><c r="O2" s="235" t="n" /><c r="P2" s="235" t="n" /><c r="Q2" s="235" t="n" /><c r="R2" s="235" t="n" /><c r="S2" s="235" t="n" /><c r="T2" s="235" t="n" /><c r="U2" s="235" t="n" /><c r="V2" s="235" t="n" /><c r="W2" s="235" t="n" /><c r="X2" s="235" t="n" /><c r="Y2" s="235" t="n" /><c r="Z2" s="235" t="n" /><c r="AA2" s="235" t="n" /><c r="AB2" s="235" t="n" /><c r="AC2" s="235" t="n" /><c r="AD2" s="235" t="n" /><c r="AE2" s="235" t="n" /><c r="AF2" s="235" t="n" /><c r="AG2" s="235" t="n" /><c r="AH2" s="235" t="n" /><c r="AI2" s="235" t="n" /><c r="AJ2" s="235" t="n" /><c r="AK2" s="235" t="n" /><c r="AL2" s="235" t="n" /><c r="AM2" s="235" t="n" /><c r="AN2" s="235" t="n" /><c r="AO2" s="236" t="n" /><c r="AP2" s="238" t="inlineStr"><is><t>Versión: 08</t></is></c><c r="AQ2" s="232" t="n" /><c r="AR2" s="232" t="n" /><c r="AS2" s="232" t="n" /><c r="AT2" s="233" t="n" /><c r="AU2" s="5" t="n" /><c r="AV2" s="5" t="n" /><c r="AW2" s="5" t="n" /><c r="AX2" s="117" t="inlineStr"><is><t>Q3 (m3/h):</t></is></c><c r="AY2" s="118" t="n"><v>1.6</v></c><c r="AZ2" s="118" t="n"><v>2.5</v></c><c r="BA2" s="239" t="n"><v>4</v></c><c r="BB2" s="118" t="n"><v>6.3</v></c><c r="BC2" s="118" t="n" /><c r="BD2" s="118" t="n" /><c r="BE2" s="22" t="n" /><c r="BF2" s="24" t="n" /><c r="BG2" s="22" t="n" /><c r="BH2" s="22" t="n" /><c r="BI2" s="22" t="n" /><c r="BJ2" s="23" t="n" /><c r="BK2" s="23" t="n" /><c r="BL2" s="23" t="n" /></row><row r="3" ht="26.25" customFormat="1" customHeight="1" s="1" thickBot="1"><c r="A3" s="48" t="n" /><c r="B3" s="49" t="n" /><c r="C3" s="49" t="n" /><c r="D3" s="50" t="n" /><c r="E3" s="240" t="n" /><c r="F3" s="241" t="n" /><c r="G3" s="241" t="n" /><c r="H3" s="241" t="n" /><c r="I3" s="241" t="n" /><c r="J3" s="241" t="n" /><c r="K3" s="241" t="n" /><c r="L3" s="241" t="n" /><c r="M3" s="241" t="n" /><c r="N3" s="241" t="n" /><c r="O3" s="241" t="n" /><c r="P3" s="241" t="n" /><c r="Q3" s="241" t="n" /><c r="R3" s="241" t="n" /><c r="S3" s="241" t="n" /><c r="T3" s="241" t="n" /><c r="U3" s="241" t="n" /><c r="V3" s="241" t="n" /><c r="W3" s="241" t="n" /><c r="X3" s="241" t="n" /><c r="Y3" s="241" t="n" /><c r="Z3" s="241" t="n" /><c r="AA3" s="241" t="n" /><c r="AB3" s="241" t="n" /><c r="AC3" s="241" t="n" /><c r="AD3" s="241" t="n" /><c r="AE3" s="241" t="n" /><c r="AF3" s="241" t="n" /><c r="AG3" s="241" t="n" /><c r="AH3" s="241" t="n" /><c r="AI3" s="241" t="n" /><c r="AJ3" s="241" t="n" /><c r="AK3" s="241" t="n" /><c r="AL3" s="241" t="n" /><c r="AM3" s="241" t="n" /><c r="AN3" s="241" t="n" /><c r="AO3" s="242" t="n" /><c r="AP3" s="238" t="inlineStr"><is><t>Fecha de Vigencia:  2024-05-14</t></is></c><c r="AQ3" s="232" t="n" /><c r="AR3" s="232" t="n" /><c r="AS3" s="232" t="n" /><c r="AT3" s="233" t="n" /><c r="AU3" s="5" t="n" /><c r="AV3" s="5" t="n" /><c r="AW3" s="5" t="n" /><c r="AY3" s="22" t="n" /><c r="AZ3" s="22" t="n" /><c r="BA3" s="22" t="n" /><c r="BB3" s="22" t="n" /><c r="BC3" s="22" t="n" /><c r="BD3" s="22" t="n" /><c r="BE3" s="22" t="n" /><c r="BF3" s="24" t="n" /><c r="BG3" s="22" t="n" /><c r="BH3" s="22" t="n" /><c r="BI3" s="22" t="n" /><c r="BJ3" s="23" t="n" /><c r="BK3" s="23" t="n" /><c r="BL3" s="23" t="n" /></row><row r="4" ht="24.75" customFormat="1" customHeight="1" s="1" thickBot="1"><c r="A4" s="191" t="inlineStr"><is><t>Q3 (m3/h):</t></is></c><c r="B4" s="232" t="n" /><c r="C4" s="232" t="n" /><c r="D4" s="233" t="n" /><c r="E4" s="243" t="n"><v>2.5</v></c><c r="F4" s="232" t="n" /><c r="G4" s="232" t="n" /><c r="H4" s="232" t="n" /><c r="I4" s="233" t="n" /><c r="J4" s="191" t="inlineStr"><is><t>Alcance Q3/Q1:</t></is></c><c r="K4" s="232" t="n" /><c r="L4" s="232" t="n" /><c r="M4" s="232" t="n" /><c r="N4" s="233" t="n" /><c r="O4" s="196" t="n"><v>160</v></c><c r="P4" s="241" t="n" /><c r="Q4" s="241" t="n" /><c r="R4" s="242" t="n" /><c r="S4" s="244" t="inlineStr"><is><t>MAXIMO ERROR PERMISIBLE (EMP):</t></is></c><c r="T4" s="232" t="n" /><c r="U4" s="232" t="n" /><c r="V4" s="232" t="n" /><c r="W4" s="232" t="n" /><c r="X4" s="232" t="n" /><c r="Y4" s="232" t="n" /><c r="Z4" s="233" t="n" /><c r="AA4" s="197" t="inlineStr"><is><t>Q3</t></is></c><c r="AB4" s="242" t="n" /><c r="AC4" s="245" t="inlineStr"><is><t>Q2</t></is></c><c r="AD4" s="232" t="n" /><c r="AE4" s="233" t="n" /><c r="AF4" s="245" t="inlineStr"><is><t>Q1</t></is></c><c r="AG4" s="232" t="n" /><c r="AH4" s="233" t="n" /><c r="AI4" s="2" t="n" /><c r="AJ4" s="51" t="n" /><c r="AK4" s="2" t="n" /><c r="AL4" s="2" t="n" /><c r="AM4" s="2" t="n" /><c r="AN4" s="246" t="inlineStr"><is><t>Revisado por:</t></is></c><c r="AO4" s="233" t="n" /><c r="AP4" s="247" t="inlineStr"><is><t>Luisa Valdivia</t></is></c><c r="AQ4" s="236" t="n" /><c r="AR4" s="246" t="inlineStr"><is><t>Fecha:</t></is></c><c r="AS4" s="233" t="n" /><c r="AT4" s="248" t="n" /><c r="AU4" s="5" t="n" /><c r="AV4" s="5" t="n" /><c r="AW4" s="5" t="n" /><c r="AY4" s="22" t="n" /><c r="AZ4" s="22" t="n" /><c r="BA4" s="22" t="n" /><c r="BB4" s="22" t="n" /><c r="BC4" s="22" t="n" /><c r="BD4" s="22" t="n" /><c r="BE4" s="22" t="n" /><c r="BF4" s="22" t="n" /><c r="BG4" s="22" t="n" /><c r="BH4" s="22" t="n" /><c r="BI4" s="22" t="n" /><c r="BJ4" s="23" t="n" /><c r="BK4" s="23" t="n" /><c r="BL4" s="23" t="n" /></row><row r="5" ht="27" customFormat="1" customHeight="1" s="2" thickBot="1"><c r="A5" s="128" t="inlineStr"><is><t>Presión Estática    0=conforme; 1 = Daño Físico;   2 = Fuga (-) ;  3 = Picado; 4 = Desfasado; 5 = Paralizado</t></is></c><c r="B5" s="232" t="n" /><c r="C5" s="232" t="n" /><c r="D5" s="232" t="n" /><c r="E5" s="232" t="n" /><c r="F5" s="232" t="n" /><c r="G5" s="232" t="n" /><c r="H5" s="232" t="n" /><c r="I5" s="232" t="n" /><c r="J5" s="232" t="n" /><c r="K5" s="232" t="n" /><c r="L5" s="232" t="n" /><c r="M5" s="232" t="n" /><c r="N5" s="232" t="n" /><c r="O5" s="232" t="n" /><c r="P5" s="232" t="n" /><c r="Q5" s="232" t="n" /><c r="R5" s="232" t="n" /><c r="S5" s="232" t="n" /><c r="T5" s="232" t="n" /><c r="U5" s="232" t="n" /><c r="V5" s="232" t="n" /><c r="W5" s="232" t="n" /><c r="X5" s="232" t="n" /><c r="Y5" s="232" t="n" /><c r="Z5" s="233" t="n" /><c r="AA5" s="180" t="inlineStr"><is><t xml:space="preserve">(±) 2% </t></is></c><c r="AB5" s="233" t="n" /><c r="AC5" s="180" t="inlineStr"><is><t>(±) 2%</t></is></c><c r="AD5" s="232" t="n" /><c r="AE5" s="233" t="n" /><c r="AF5" s="180" t="inlineStr"><is><t>(±) 5%</t></is></c><c r="AG5" s="232" t="n" /><c r="AH5" s="233" t="n" /><c r="AN5" s="246" t="inlineStr"><is><t>Aprobado por:</t></is></c><c r="AO5" s="233" t="n" /><c r="AP5" s="249" t="inlineStr"><is><t>John Oyola</t></is></c><c r="AQ5" s="233" t="n" /><c r="AR5" s="246" t="inlineStr"><is><t>Fecha:</t></is></c><c r="AS5" s="233" t="n" /><c r="AT5" s="248" t="n" /><c r="AU5" s="5" t="n" /><c r="AV5" s="5" t="n" /><c r="AW5" s="5" t="n" /><c r="AY5" s="22" t="n" /><c r="AZ5" s="22" t="n" /><c r="BA5" s="22" t="n" /><c r="BB5" s="22" t="n" /><c r="BC5" s="22" t="n" /><c r="BD5" s="22" t="n" /><c r="BE5" s="22" t="n" /><c r="BF5" s="22" t="n" /><c r="BG5" s="22" t="n" /><c r="BH5" s="22" t="n" /><c r="BI5" s="22" t="n" /><c r="BJ5" s="23" t="n" /><c r="BK5" s="23" t="n" /><c r="BL5" s="23" t="n" /></row><row r="6" ht="18.75" customHeight="1"><c r="A6" s="250" t="inlineStr"><is><t>Item</t></is></c><c r="B6" s="139" t="inlineStr"><is><t xml:space="preserve">Fecha de Ensayo presion estatica </t></is></c><c r="C6" s="251" t="inlineStr"><is><t>Fecha de Ensayo errores de indicacion</t></is></c><c r="D6" s="252" t="inlineStr"><is><t>N° de banco de ensayo</t></is></c><c r="E6" s="129" t="inlineStr"><is><t>1' Técnico</t></is></c><c r="F6" s="253" t="inlineStr"><is><t>Nro de ceritificado</t></is></c><c r="G6" s="254" t="inlineStr"><is><t># Medidor</t></is></c><c r="H6" s="255" t="inlineStr"><is><t>Presión Estática</t></is></c><c r="I6" s="256" t="n" /><c r="J6" s="149"><f>+E4*1000</f><v /></c><c r="K6" s="257" t="n" /><c r="L6" s="257" t="n" /><c r="M6" s="257" t="n" /><c r="N6" s="257" t="n" /><c r="O6" s="257" t="n" /><c r="P6" s="257" t="n" /><c r="Q6" s="257" t="n" /><c r="R6" s="257" t="n" /><c r="S6" s="257" t="n" /><c r="T6" s="257" t="n" /><c r="U6" s="258" t="n" /><c r="V6" s="185"><f>AH6*1.6</f><v /></c><c r="W6" s="257" t="n" /><c r="X6" s="257" t="n" /><c r="Y6" s="257" t="n" /><c r="Z6" s="257" t="n" /><c r="AA6" s="257" t="n" /><c r="AB6" s="257" t="n" /><c r="AC6" s="257" t="n" /><c r="AD6" s="257" t="n" /><c r="AE6" s="257" t="n" /><c r="AF6" s="257" t="n" /><c r="AG6" s="258" t="n" /><c r="AH6" s="185"><f>J6/O4</f><v /></c><c r="AI6" s="257" t="n" /><c r="AJ6" s="257" t="n" /><c r="AK6" s="257" t="n" /><c r="AL6" s="257" t="n" /><c r="AM6" s="257" t="n" /><c r="AN6" s="257" t="n" /><c r="AO6" s="257" t="n" /><c r="AP6" s="257" t="n" /><c r="AQ6" s="257" t="n" /><c r="AR6" s="257" t="n" /><c r="AS6" s="258" t="n" /><c r="AT6" s="259" t="inlineStr"><is><t>Estado</t></is></c><c r="AU6" s="6" t="n" /><c r="AV6" s="6" t="n" /><c r="AW6" s="6" t="n" /><c r="AY6" s="22" t="n" /><c r="AZ6" s="22" t="n" /><c r="BA6" s="22" t="n" /><c r="BB6" s="7" t="n" /><c r="BC6" s="7" t="n" /><c r="BD6" s="7" t="n" /><c r="BE6" s="7" t="n" /><c r="BF6" s="7" t="n" /><c r="BG6" s="7" t="n" /><c r="BH6" s="7" t="n" /><c r="BI6" s="7" t="n" /><c r="BJ6" s="7" t="n" /></row><row r="7" ht="25.5" customHeight="1"><c r="A7" s="260" t="n" /><c r="B7" s="261" t="n" /><c r="C7" s="262" t="n" /><c r="D7" s="263" t="n" /><c r="E7" s="264" t="n" /><c r="F7" s="264" t="n" /><c r="G7" s="261" t="n" /><c r="H7" s="265" t="n" /><c r="I7" s="266" t="n" /><c r="J7" s="152" t="inlineStr"><is><t>Q3</t></is></c><c r="K7" s="267" t="n" /><c r="L7" s="267" t="n" /><c r="M7" s="267" t="n" /><c r="N7" s="267" t="n" /><c r="O7" s="267" t="n" /><c r="P7" s="267" t="n" /><c r="Q7" s="267" t="n" /><c r="R7" s="267" t="n" /><c r="S7" s="267" t="n" /><c r="T7" s="267" t="n" /><c r="U7" s="268" t="n" /><c r="V7" s="143" t="inlineStr"><is><t>Q2</t></is></c><c r="W7" s="267" t="n" /><c r="X7" s="267" t="n" /><c r="Y7" s="267" t="n" /><c r="Z7" s="267" t="n" /><c r="AA7" s="267" t="n" /><c r="AB7" s="267" t="n" /><c r="AC7" s="267" t="n" /><c r="AD7" s="267" t="n" /><c r="AE7" s="267" t="n" /><c r="AF7" s="267" t="n" /><c r="AG7" s="268" t="n" /><c r="AH7" s="143" t="inlineStr"><is><t>Q1</t></is></c><c r="AI7" s="267" t="n" /><c r="AJ7" s="267" t="n" /><c r="AK7" s="267" t="n" /><c r="AL7" s="267" t="n" /><c r="AM7" s="267" t="n" /><c r="AN7" s="267" t="n" /><c r="AO7" s="267" t="n" /><c r="AP7" s="267" t="n" /><c r="AQ7" s="267" t="n" /><c r="AR7" s="267" t="n" /><c r="AS7" s="268" t="n" /><c r="AT7" s="269" t="n" /><c r="AU7" s="6" t="n" /><c r="AV7" s="6" t="n" /><c r="AW7" s="6" t="n" /><c r="AX7" s="6" t="n" /><c r="AY7" s="178" t="inlineStr"><is><t>RANGOS ACEPTABLES DE CAUDAL</t></is></c><c r="AZ7" s="270" t="n" /><c r="BA7" s="266" t="n" /><c r="BB7" s="7" t="n" /><c r="BC7" s="7" t="n" /><c r="BD7" s="7" t="n" /><c r="BE7" s="7" t="n" /><c r="BF7" s="7" t="n" /><c r="BG7" s="7" t="n" /><c r="BH7" s="7" t="n" /><c r="BI7" s="7" t="n" /><c r="BJ7" s="7" t="n" /></row><row r="8" ht="83.25" customFormat="1" customHeight="1" s="4" thickBot="1"><c r="A8" s="265" t="n" /><c r="B8" s="261" t="n" /><c r="C8" s="262" t="n" /><c r="D8" s="263" t="n" /><c r="E8" s="264" t="n" /><c r="F8" s="271" t="n" /><c r="G8" s="272" t="n" /><c r="H8" s="273" t="inlineStr"><is><t>Presión (bar)</t></is></c><c r="I8" s="274" t="inlineStr"><is><t>Estado</t></is></c><c r="J8" s="275" t="inlineStr"><is><t>Temperatura</t></is></c><c r="K8" s="276" t="inlineStr"><is><t>Presión Entrada</t></is></c><c r="L8" s="276" t="inlineStr"><is><t>Presión Salida</t></is></c><c r="M8" s="277" t="inlineStr"><is><t>L.I.</t></is></c><c r="N8" s="277" t="inlineStr"><is><t>L.F.</t></is></c><c r="O8" s="278" t="inlineStr"><is><t>Vol. P</t></is></c><c r="P8" s="279" t="inlineStr"><is><t>Tiempo</t></is></c><c r="Q8" s="280" t="n" /><c r="R8" s="280" t="n" /><c r="S8" s="281" t="n" /><c r="T8" s="282" t="inlineStr"><is><t>Q3</t></is></c><c r="U8" s="283" t="inlineStr"><is><t>E %</t></is></c><c r="V8" s="275" t="inlineStr"><is><t>Temperatura</t></is></c><c r="W8" s="276" t="inlineStr"><is><t>Presión Entrada</t></is></c><c r="X8" s="276" t="inlineStr"><is><t>Presión Salida</t></is></c><c r="Y8" s="277" t="inlineStr"><is><t>L.I.</t></is></c><c r="Z8" s="277" t="inlineStr"><is><t>L.F.</t></is></c><c r="AA8" s="278" t="inlineStr"><is><t>Vol. P</t></is></c><c r="AB8" s="279" t="inlineStr"><is><t>Tiempo</t></is></c><c r="AC8" s="280" t="n" /><c r="AD8" s="280" t="n" /><c r="AE8" s="281" t="n" /><c r="AF8" s="282" t="inlineStr"><is><t>Q2</t></is></c><c r="AG8" s="283" t="inlineStr"><is><t>E %</t></is></c><c r="AH8" s="275" t="inlineStr"><is><t>Temperatura</t></is></c><c r="AI8" s="276" t="inlineStr"><is><t>Presión Entrada</t></is></c><c r="AJ8" s="276" t="inlineStr"><is><t>Presión Salida</t></is></c><c r="AK8" s="277" t="inlineStr"><is><t>L.I.</t></is></c><c r="AL8" s="277" t="inlineStr"><is><t>L.F.</t></is></c><c r="AM8" s="278" t="inlineStr"><is><t>Vol. P</t></is></c><c r="AN8" s="279" t="inlineStr"><is><t>Tiempo</t></is></c><c r="AO8" s="280" t="n" /><c r="AP8" s="280" t="n" /><c r="AQ8" s="281" t="n" /><c r="AR8" s="282" t="inlineStr"><is><t>Q1</t></is></c><c r="AS8" s="283" t="inlineStr"><is><t>E %</t></is></c><c r="AT8" s="284" t="n" /><c r="AU8" s="7" t="n" /><c r="AV8" s="7" t="n" /><c r="AW8" s="7" t="n" /><c r="AX8" s="285" t="inlineStr"><is><t>Caudal</t></is></c><c r="AY8" s="27" t="inlineStr"><is><t>Q1</t></is></c><c r="AZ8" s="27" t="inlineStr"><is><t>Q2</t></is></c><c r="BA8" s="27" t="inlineStr"><is><t>Q3</t></is></c><c r="BB8" s="286" t="inlineStr"><is><t>Ley Signos y Errores</t></is></c><c r="BC8" s="267" t="n" /><c r="BD8" s="267" t="n" /><c r="BE8" s="267" t="n" /><c r="BF8" s="267" t="n" /><c r="BG8" s="267" t="n" /><c r="BH8" s="267" t="n" /><c r="BI8" s="267" t="n" /><c r="BJ8" s="267" t="n" /><c r="BK8" s="267" t="n" /><c r="BL8" s="268" t="n" /></row><row r="9" ht="15" customHeight="1"><c r="A9" s="322" t="n"><v>1</v></c><c r="B9" s="323" t="n"><v>45903</v></c><c r="C9" s="323"><f>B9</f><v /></c><c r="D9" s="324" t="n"><v>3</v></c><c r="E9" s="325" t="n"><v>13</v></c><c r="F9" s="326" t="n" /><c r="G9" s="327" t="inlineStr"><is><t>QA24366445</t></is></c><c r="H9" s="328" t="n"><v>16</v></c><c r="I9" s="329" t="n"><v>0</v></c><c r="J9" s="330" t="n"><v>20</v></c><c r="K9" s="331" t="n"><v>8.193</v></c><c r="L9" s="331" t="n"><v>0.556</v></c><c r="M9" s="332" t="n"><v>707.1</v></c><c r="N9" s="332" t="n"><v>807.8099999999999</v></c><c r="O9" s="333" t="n"><v>100.5</v></c><c r="P9" s="334" t="inlineStr"><is><t>2,32,940</t></is></c><c r="Q9" s="335"><f>LEFT(P9,1)</f><v /></c><c r="R9" s="335"><f>RIGHT(P9,6)</f><v /></c><c r="S9" s="335"><f>+(Q9*60+R9)/(60*60)</f><v /></c><c r="T9" s="336"><f>+O9/S9</f><v /></c><c r="U9" s="337"><f>+(((N9-M9-O9)/O9)*100)</f><v /></c><c r="V9" s="338" t="n"><v>19.7</v></c><c r="W9" s="339" t="n"><v>1.082</v></c><c r="X9" s="339" t="n"><v>1.071</v></c><c r="Y9" s="332" t="n"><v>826.15</v></c><c r="Z9" s="332" t="n"><v>831.23</v></c><c r="AA9" s="340" t="n"><v>5.02</v></c><c r="AB9" s="334" t="inlineStr"><is><t>8,44,920</t></is></c><c r="AC9" s="335"><f>LEFT(AB9,2)</f><v /></c><c r="AD9" s="335"><f>RIGHT(AB9,6)</f><v /></c><c r="AE9" s="335"><f>+(AC9*60+AD9)/(60*60)</f><v /></c><c r="AF9" s="336"><f>+AA9/AE9</f><v /></c><c r="AG9" s="341"><f>+(((Z9-Y9-AA9)/AA9)*100)</f><v /></c><c r="AH9" s="338" t="n"><v>19.8</v></c><c r="AI9" s="339" t="n"><v>1.094</v></c><c r="AJ9" s="339" t="n"><v>1.085</v></c><c r="AK9" s="332"><f>Z9</f><v /></c><c r="AL9" s="332" t="n"><v>833.25</v></c><c r="AM9" s="342" t="n"><v>2.01</v></c><c r="AN9" s="334" t="inlineStr"><is><t>5,38,900</t></is></c><c r="AO9" s="335"><f>LEFT(AN9,2)</f><v /></c><c r="AP9" s="335"><f>RIGHT(AN9,6)</f><v /></c><c r="AQ9" s="335"><f>+(AO9*60+AP9)/(60*60)</f><v /></c><c r="AR9" s="336"><f>+AM9/AQ9</f><v /></c><c r="AS9" s="341"><f>+(((AL9-AK9-AM9)/AM9)*100)</f><v /></c><c r="AT9" s="343"><f>IF(I9&gt;=1,"NO CONFORME",IF(BK9="SIGDIFERENTES",BC9,BL9))</f><v /></c><c r="AU9" s="344"><f>B9&lt;=C9</f><v /></c><c r="AV9" s="344"><f>N9&lt;Y9</f><v /></c><c r="AW9" s="344"><f>Z9&lt;=AK9</f><v /></c><c r="AX9" s="344"><f>IF(I9&gt;=1,"Qcorrecto",IF(AND(AY9="aceptable",AZ9="aceptable",BA9="aceptable"),"Qcorrecto","Qincorrecto"))</f><v /></c><c r="AY9" s="345"><f>IF(AR9&lt;$AH$6,"error",IF(AR9&gt;$AH$6*1.1,"error","aceptable"))</f><v /></c><c r="AZ9" s="345"><f>IF(AF9&lt;$V$6,"error",IF(AF9&gt;$V$6*1.1,"error","aceptable"))</f><v /></c><c r="BA9" s="345"><f>IF(T9&lt;$J$6*0.9,"error",IF(T9&gt;$J$6,"error","aceptable"))</f><v /></c><c r="BB9" s="346"><f>(IF(ABS(U9)&lt;1.05,"CONFORME",IF(ABS(AG9)&lt;1.05,"CONFORME",IF(ABS(AS9)&lt;2.55,"CONFORME","NO CONFORME"))))</f><v /></c><c r="BC9" s="347"><f>(IF(ABS(U9)&gt;2.05,"NO CONFORME",IF(ABS(AG9)&gt;2.05,"NO CONFORME",IF(ABS(AS9)&gt;5.05,"NO CONFORME","CONFORME"))))</f><v /></c><c r="BD9" s="348"><f>SIGN(U9)</f><v /></c><c r="BE9" s="348"><f>SIGN(AG9)</f><v /></c><c r="BF9" s="348"><f>SIGN(AS9)</f><v /></c><c r="BG9" s="348"><f>CONCATENATE(BD9,BE9,BF9)</f><v /></c><c r="BH9" s="348"><f>IF(BG9="111","SI","SD")</f><v /></c><c r="BI9" s="348"><f>IF(BG9="-1-1-1","SI","SD")</f><v /></c><c r="BJ9" s="348"><f>OR(BH9="SI",BI9="SI")</f><v /></c><c r="BK9" s="348"><f>IF(BJ9=FALSE,"SIGDIFERENTES","SIGIGUALES")</f><v /></c><c r="BL9" s="349"><f>IF(BC9="NO CONFORME","NO CONFORME",IF(BB9="CONFORME","CONFORME","NO CONFORME"))</f><v /></c></row><row r="10" ht="15" customFormat="1" customHeight="1" s="66" thickBot="1"><c r="A10" s="350" t="n"><v>2</v></c><c r="B10" s="351"><f>B9</f><v /></c><c r="C10" s="351"><f>C9</f><v /></c><c r="D10" s="352"><f>D9</f><v /></c><c r="E10" s="353"><f>E9</f><v /></c><c r="F10" s="12" t="n" /><c r="G10" s="354" t="inlineStr"><is><t>QA24366708</t></is></c><c r="H10" s="355"><f>H9</f><v /></c><c r="I10" s="90"><f>I9</f><v /></c><c r="J10" s="298"><f>J9</f><v /></c><c r="K10" s="356"><f>K9</f><v /></c><c r="L10" s="356"><f>L9</f><v /></c><c r="M10" s="357" t="n"><v>885.88</v></c><c r="N10" s="357" t="n"><v>987.52</v></c><c r="O10" s="358"><f>O9</f><v /></c><c r="P10" s="359"><f>P9</f><v /></c><c r="Q10" s="360"><f>LEFT(P10,1)</f><v /></c><c r="R10" s="360"><f>RIGHT(P10,6)</f><v /></c><c r="S10" s="360"><f>+(Q10*60+R10)/(60*60)</f><v /></c><c r="T10" s="361"><f>+O10/S10</f><v /></c><c r="U10" s="362"><f>+(((N10-M10-O10)/O10)*100)</f><v /></c><c r="V10" s="301"><f>V9</f><v /></c><c r="W10" s="363"><f>W9</f><v /></c><c r="X10" s="363"><f>X9</f><v /></c><c r="Y10" s="357" t="n"><v>1006.1</v></c><c r="Z10" s="357" t="n"><v>1011.2</v></c><c r="AA10" s="364"><f>AA9</f><v /></c><c r="AB10" s="365"><f>AB9</f><v /></c><c r="AC10" s="360"><f>LEFT(AB10,2)</f><v /></c><c r="AD10" s="360"><f>RIGHT(AB10,6)</f><v /></c><c r="AE10" s="360"><f>+(AC10*60+AD10)/(60*60)</f><v /></c><c r="AF10" s="361"><f>+AA10/AE10</f><v /></c><c r="AG10" s="303"><f>+(((Z10-Y10-AA10)/AA10)*100)</f><v /></c><c r="AH10" s="301"><f>AH9</f><v /></c><c r="AI10" s="363"><f>AI9</f><v /></c><c r="AJ10" s="363"><f>AJ9</f><v /></c><c r="AK10" s="357"><f>+Z10</f><v /></c><c r="AL10" s="357" t="n"><v>1013.26</v></c><c r="AM10" s="366"><f>AM9</f><v /></c><c r="AN10" s="359"><f>AN9</f><v /></c><c r="AO10" s="360"><f>LEFT(AN10,2)</f><v /></c><c r="AP10" s="360"><f>RIGHT(AN10,6)</f><v /></c><c r="AQ10" s="360"><f>+(AO10*60+AP10)/(60*60)</f><v /></c><c r="AR10" s="361"><f>+AM10/AQ10</f><v /></c><c r="AS10" s="303"><f>+(((AL10-AK10-AM10)/AM10)*100)</f><v /></c><c r="AT10" s="367"><f>IF(I10&gt;=1,"NO CONFORME",IF(BK10="SIGDIFERENTES",BC10,BL10))</f><v /></c><c r="AU10" s="344"><f>B10&lt;=C10</f><v /></c><c r="AV10" s="344"><f>N10&lt;Y10</f><v /></c><c r="AW10" s="344"><f>Z10&lt;=AK10</f><v /></c><c r="AX10" s="344"><f>IF(I10&gt;=1,"Qcorrecto",IF(AND(AY10="aceptable",AZ10="aceptable",BA10="aceptable"),"Qcorrecto","Qincorrecto"))</f><v /></c><c r="AY10" s="345"><f>IF(AR10&lt;$AH$6,"error",IF(AR10&gt;$AH$6*1.1,"error","aceptable"))</f><v /></c><c r="AZ10" s="345"><f>IF(AF10&lt;$V$6,"error",IF(AF10&gt;$V$6*1.1,"error","aceptable"))</f><v /></c><c r="BA10" s="345"><f>IF(T10&lt;$J$6*0.9,"error",IF(T10&gt;$J$6,"error","aceptable"))</f><v /></c><c r="BB10" s="346"><f>(IF(ABS(U10)&lt;1.05,"CONFORME",IF(ABS(AG10)&lt;1.05,"CONFORME",IF(ABS(AS10)&lt;2.55,"CONFORME","NO CONFORME"))))</f><v /></c><c r="BC10" s="347"><f>(IF(ABS(U10)&gt;2.05,"NO CONFORME",IF(ABS(AG10)&gt;2.05,"NO CONFORME",IF(ABS(AS10)&gt;5.05,"NO CONFORME","CONFORME"))))</f><v /></c><c r="BD10" s="348"><f>SIGN(U10)</f><v /></c><c r="BE10" s="348"><f>SIGN(AG10)</f><v /></c><c r="BF10" s="348"><f>SIGN(AS10)</f><v /></c><c r="BG10" s="348"><f>CONCATENATE(BD10,BE10,BF10)</f><v /></c><c r="BH10" s="348"><f>IF(BG10="111","SI","SD")</f><v /></c><c r="BI10" s="348"><f>IF(BG10="-1-1-1","SI","SD")</f><v /></c><c r="BJ10" s="348"><f>OR(BH10="SI",BI10="SI")</f><v /></c><c r="BK10" s="348"><f>IF(BJ10=FALSE,"SIGDIFERENTES","SIGIGUALES")</f><v /></c><c r="BL10" s="345"><f>IF(BC10="NO CONFORME","NO CONFORME",IF(BB10="CONFORME","CONFORME","NO CONFORME"))</f><v /></c></row><row r="11" ht="15" customHeight="1"><c r="A11" s="350" t="n"><v>3</v></c><c r="B11" s="351"><f>B10</f><v /></c><c r="C11" s="351"><f>C10</f><v /></c><c r="D11" s="352"><f>D10</f><v /></c><c r="E11" s="353"><f>E10</f><v /></c><c r="F11" s="12" t="n" /><c r="G11" s="327" t="inlineStr"><is><t>QA24366335</t></is></c><c r="H11" s="355"><f>H10</f><v /></c><c r="I11" s="90"><f>I10</f><v /></c><c r="J11" s="298"><f>J10</f><v /></c><c r="K11" s="356"><f>K10</f><v /></c><c r="L11" s="356"><f>L10</f><v /></c><c r="M11" s="357" t="n"><v>913.48</v></c><c r="N11" s="357" t="n"><v>1013.87</v></c><c r="O11" s="358"><f>O10</f><v /></c><c r="P11" s="359"><f>P10</f><v /></c><c r="Q11" s="360"><f>LEFT(P11,1)</f><v /></c><c r="R11" s="360"><f>RIGHT(P11,6)</f><v /></c><c r="S11" s="360"><f>+(Q11*60+R11)/(60*60)</f><v /></c><c r="T11" s="361"><f>+O11/S11</f><v /></c><c r="U11" s="362"><f>+(((N11-M11-O11)/O11)*100)</f><v /></c><c r="V11" s="301"><f>V10</f><v /></c><c r="W11" s="363"><f>W10</f><v /></c><c r="X11" s="363"><f>X10</f><v /></c><c r="Y11" s="357" t="n"><v>1032.03</v></c><c r="Z11" s="357" t="n"><v>1036.95</v></c><c r="AA11" s="364"><f>AA10</f><v /></c><c r="AB11" s="365"><f>AB10</f><v /></c><c r="AC11" s="360"><f>LEFT(AB11,2)</f><v /></c><c r="AD11" s="360"><f>RIGHT(AB11,6)</f><v /></c><c r="AE11" s="360"><f>+(AC11*60+AD11)/(60*60)</f><v /></c><c r="AF11" s="361"><f>+AA11/AE11</f><v /></c><c r="AG11" s="303"><f>+(((Z11-Y11-AA11)/AA11)*100)</f><v /></c><c r="AH11" s="301"><f>AH10</f><v /></c><c r="AI11" s="363"><f>AI10</f><v /></c><c r="AJ11" s="363"><f>AJ10</f><v /></c><c r="AK11" s="357"><f>+Z11</f><v /></c><c r="AL11" s="357" t="n"><v>1038.87</v></c><c r="AM11" s="366"><f>AM10</f><v /></c><c r="AN11" s="359"><f>AN10</f><v /></c><c r="AO11" s="360"><f>LEFT(AN11,2)</f><v /></c><c r="AP11" s="360"><f>RIGHT(AN11,6)</f><v /></c><c r="AQ11" s="360"><f>+(AO11*60+AP11)/(60*60)</f><v /></c><c r="AR11" s="361"><f>+AM11/AQ11</f><v /></c><c r="AS11" s="303"><f>+(((AL11-AK11-AM11)/AM11)*100)</f><v /></c><c r="AT11" s="367"><f>IF(I11&gt;=1,"NO CONFORME",IF(BK11="SIGDIFERENTES",BC11,BL11))</f><v /></c><c r="AU11" s="344"><f>B11&lt;=C11</f><v /></c><c r="AV11" s="344"><f>N11&lt;Y11</f><v /></c><c r="AW11" s="344"><f>Z11&lt;=AK11</f><v /></c><c r="AX11" s="344"><f>IF(I11&gt;=1,"Qcorrecto",IF(AND(AY11="aceptable",AZ11="aceptable",BA11="aceptable"),"Qcorrecto","Qincorrecto"))</f><v /></c><c r="AY11" s="345"><f>IF(AR11&lt;$AH$6,"error",IF(AR11&gt;$AH$6*1.1,"error","aceptable"))</f><v /></c><c r="AZ11" s="345"><f>IF(AF11&lt;$V$6,"error",IF(AF11&gt;$V$6*1.1,"error","aceptable"))</f><v /></c><c r="BA11" s="345"><f>IF(T11&lt;$J$6*0.9,"error",IF(T11&gt;$J$6,"error","aceptable"))</f><v /></c><c r="BB11" s="346"><f>(IF(ABS(U11)&lt;1.05,"CONFORME",IF(ABS(AG11)&lt;1.05,"CONFORME",IF(ABS(AS11)&lt;2.55,"CONFORME","NO CONFORME"))))</f><v /></c><c r="BC11" s="347"><f>(IF(ABS(U11)&gt;2.05,"NO CONFORME",IF(ABS(AG11)&gt;2.05,"NO CONFORME",IF(ABS(AS11)&gt;5.05,"NO CONFORME","CONFORME"))))</f><v /></c><c r="BD11" s="348"><f>SIGN(U11)</f><v /></c><c r="BE11" s="348"><f>SIGN(AG11)</f><v /></c><c r="BF11" s="348"><f>SIGN(AS11)</f><v /></c><c r="BG11" s="348"><f>CONCATENATE(BD11,BE11,BF11)</f><v /></c><c r="BH11" s="348"><f>IF(BG11="111","SI","SD")</f><v /></c><c r="BI11" s="348"><f>IF(BG11="-1-1-1","SI","SD")</f><v /></c><c r="BJ11" s="348"><f>OR(BH11="SI",BI11="SI")</f><v /></c><c r="BK11" s="348"><f>IF(BJ11=FALSE,"SIGDIFERENTES","SIGIGUALES")</f><v /></c><c r="BL11" s="345"><f>IF(BC11="NO CONFORME","NO CONFORME",IF(BB11="CONFORME","CONFORME","NO CONFORME"))</f><v /></c><c r="BM11" s="66" t="n" /><c r="BN11" s="66" t="n" /></row><row r="12" ht="15" customHeight="1" thickBot="1"><c r="A12" s="350" t="n"><v>4</v></c><c r="B12" s="351"><f>B11</f><v /></c><c r="C12" s="351"><f>C11</f><v /></c><c r="D12" s="352"><f>D11</f><v /></c><c r="E12" s="353"><f>E11</f><v /></c><c r="F12" s="12" t="n" /><c r="G12" s="354" t="inlineStr"><is><t>QA24366528</t></is></c><c r="H12" s="355"><f>H11</f><v /></c><c r="I12" s="90"><f>I11</f><v /></c><c r="J12" s="298"><f>J11</f><v /></c><c r="K12" s="356"><f>K11</f><v /></c><c r="L12" s="356"><f>L11</f><v /></c><c r="M12" s="357" t="n"><v>960.49</v></c><c r="N12" s="357" t="n"><v>1060.43</v></c><c r="O12" s="358"><f>O11</f><v /></c><c r="P12" s="359"><f>P11</f><v /></c><c r="Q12" s="360"><f>LEFT(P12,1)</f><v /></c><c r="R12" s="360"><f>RIGHT(P12,6)</f><v /></c><c r="S12" s="360"><f>+(Q12*60+R12)/(60*60)</f><v /></c><c r="T12" s="361"><f>+O12/S12</f><v /></c><c r="U12" s="362"><f>+(((N12-M12-O12)/O12)*100)</f><v /></c><c r="V12" s="301"><f>V11</f><v /></c><c r="W12" s="363"><f>W11</f><v /></c><c r="X12" s="363"><f>X11</f><v /></c><c r="Y12" s="357" t="n"><v>1078.64</v></c><c r="Z12" s="357" t="n"><v>1083.68</v></c><c r="AA12" s="364"><f>AA11</f><v /></c><c r="AB12" s="365"><f>AB11</f><v /></c><c r="AC12" s="360"><f>LEFT(AB12,2)</f><v /></c><c r="AD12" s="360"><f>RIGHT(AB12,6)</f><v /></c><c r="AE12" s="360"><f>+(AC12*60+AD12)/(60*60)</f><v /></c><c r="AF12" s="361"><f>+AA12/AE12</f><v /></c><c r="AG12" s="303"><f>+(((Z12-Y12-AA12)/AA12)*100)</f><v /></c><c r="AH12" s="301"><f>AH11</f><v /></c><c r="AI12" s="363"><f>AI11</f><v /></c><c r="AJ12" s="363"><f>AJ11</f><v /></c><c r="AK12" s="357"><f>+Z12</f><v /></c><c r="AL12" s="357" t="n"><v>1085.69</v></c><c r="AM12" s="366"><f>AM11</f><v /></c><c r="AN12" s="359"><f>AN11</f><v /></c><c r="AO12" s="360"><f>LEFT(AN12,2)</f><v /></c><c r="AP12" s="360"><f>RIGHT(AN12,6)</f><v /></c><c r="AQ12" s="360"><f>+(AO12*60+AP12)/(60*60)</f><v /></c><c r="AR12" s="361"><f>+AM12/AQ12</f><v /></c><c r="AS12" s="303"><f>+(((AL12-AK12-AM12)/AM12)*100)</f><v /></c><c r="AT12" s="367"><f>IF(I12&gt;=1,"NO CONFORME",IF(BK12="SIGDIFERENTES",BC12,BL12))</f><v /></c><c r="AU12" s="344"><f>B12&lt;=C12</f><v /></c><c r="AV12" s="344"><f>N12&lt;Y12</f><v /></c><c r="AW12" s="344"><f>Z12&lt;=AK12</f><v /></c><c r="AX12" s="344"><f>IF(I12&gt;=1,"Qcorrecto",IF(AND(AY12="aceptable",AZ12="aceptable",BA12="aceptable"),"Qcorrecto","Qincorrecto"))</f><v /></c><c r="AY12" s="345"><f>IF(AR12&lt;$AH$6,"error",IF(AR12&gt;$AH$6*1.1,"error","aceptable"))</f><v /></c><c r="AZ12" s="345"><f>IF(AF12&lt;$V$6,"error",IF(AF12&gt;$V$6*1.1,"error","aceptable"))</f><v /></c><c r="BA12" s="345"><f>IF(T12&lt;$J$6*0.9,"error",IF(T12&gt;$J$6,"error","aceptable"))</f><v /></c><c r="BB12" s="346"><f>(IF(ABS(U12)&lt;1.05,"CONFORME",IF(ABS(AG12)&lt;1.05,"CONFORME",IF(ABS(AS12)&lt;2.55,"CONFORME","NO CONFORME"))))</f><v /></c><c r="BC12" s="347"><f>(IF(ABS(U12)&gt;2.05,"NO CONFORME",IF(ABS(AG12)&gt;2.05,"NO CONFORME",IF(ABS(AS12)&gt;5.05,"NO CONFORME","CONFORME"))))</f><v /></c><c r="BD12" s="348"><f>SIGN(U12)</f><v /></c><c r="BE12" s="348"><f>SIGN(AG12)</f><v /></c><c r="BF12" s="348"><f>SIGN(AS12)</f><v /></c><c r="BG12" s="348"><f>CONCATENATE(BD12,BE12,BF12)</f><v /></c><c r="BH12" s="348"><f>IF(BG12="111","SI","SD")</f><v /></c><c r="BI12" s="348"><f>IF(BG12="-1-1-1","SI","SD")</f><v /></c><c r="BJ12" s="348"><f>OR(BH12="SI",BI12="SI")</f><v /></c><c r="BK12" s="348"><f>IF(BJ12=FALSE,"SIGDIFERENTES","SIGIGUALES")</f><v /></c><c r="BL12" s="345"><f>IF(BC12="NO CONFORME","NO CONFORME",IF(BB12="CONFORME","CONFORME","NO CONFORME"))</f><v /></c><c r="BM12" s="66" t="n" /><c r="BN12" s="66" t="n" /></row><row r="13" ht="15" customHeight="1"><c r="A13" s="350" t="n"><v>5</v></c><c r="B13" s="351"><f>B12</f><v /></c><c r="C13" s="351"><f>C12</f><v /></c><c r="D13" s="352"><f>D12</f><v /></c><c r="E13" s="353"><f>E12</f><v /></c><c r="F13" s="12" t="n" /><c r="G13" s="327" t="inlineStr"><is><t>QA24366420</t></is></c><c r="H13" s="355"><f>H12</f><v /></c><c r="I13" s="90"><f>I12</f><v /></c><c r="J13" s="298"><f>J12</f><v /></c><c r="K13" s="356"><f>K12</f><v /></c><c r="L13" s="356"><f>L12</f><v /></c><c r="M13" s="357" t="n"><v>969.75</v></c><c r="N13" s="357" t="n"><v>1069.99</v></c><c r="O13" s="358"><f>O12</f><v /></c><c r="P13" s="359"><f>P12</f><v /></c><c r="Q13" s="360"><f>LEFT(P13,1)</f><v /></c><c r="R13" s="360"><f>RIGHT(P13,6)</f><v /></c><c r="S13" s="360"><f>+(Q13*60+R13)/(60*60)</f><v /></c><c r="T13" s="361"><f>+O13/S13</f><v /></c><c r="U13" s="362"><f>+(((N13-M13-O13)/O13)*100)</f><v /></c><c r="V13" s="301"><f>V12</f><v /></c><c r="W13" s="363"><f>W12</f><v /></c><c r="X13" s="363"><f>X12</f><v /></c><c r="Y13" s="357" t="n"><v>1088.29</v></c><c r="Z13" s="357" t="n"><v>1093.3</v></c><c r="AA13" s="364"><f>AA12</f><v /></c><c r="AB13" s="365"><f>AB12</f><v /></c><c r="AC13" s="360"><f>LEFT(AB13,2)</f><v /></c><c r="AD13" s="360"><f>RIGHT(AB13,6)</f><v /></c><c r="AE13" s="360"><f>+(AC13*60+AD13)/(60*60)</f><v /></c><c r="AF13" s="361"><f>+AA13/AE13</f><v /></c><c r="AG13" s="303"><f>+(((Z13-Y13-AA13)/AA13)*100)</f><v /></c><c r="AH13" s="301"><f>AH12</f><v /></c><c r="AI13" s="363"><f>AI12</f><v /></c><c r="AJ13" s="363"><f>AJ12</f><v /></c><c r="AK13" s="357"><f>+Z13</f><v /></c><c r="AL13" s="357" t="n"><v>1095.28</v></c><c r="AM13" s="366"><f>AM12</f><v /></c><c r="AN13" s="359"><f>AN12</f><v /></c><c r="AO13" s="360"><f>LEFT(AN13,2)</f><v /></c><c r="AP13" s="360"><f>RIGHT(AN13,6)</f><v /></c><c r="AQ13" s="360"><f>+(AO13*60+AP13)/(60*60)</f><v /></c><c r="AR13" s="361"><f>+AM13/AQ13</f><v /></c><c r="AS13" s="303"><f>+(((AL13-AK13-AM13)/AM13)*100)</f><v /></c><c r="AT13" s="367"><f>IF(I13&gt;=1,"NO CONFORME",IF(BK13="SIGDIFERENTES",BC13,BL13))</f><v /></c><c r="AU13" s="344"><f>B13&lt;=C13</f><v /></c><c r="AV13" s="344"><f>N13&lt;Y13</f><v /></c><c r="AW13" s="344"><f>Z13&lt;=AK13</f><v /></c><c r="AX13" s="344"><f>IF(I13&gt;=1,"Qcorrecto",IF(AND(AY13="aceptable",AZ13="aceptable",BA13="aceptable"),"Qcorrecto","Qincorrecto"))</f><v /></c><c r="AY13" s="345"><f>IF(AR13&lt;$AH$6,"error",IF(AR13&gt;$AH$6*1.1,"error","aceptable"))</f><v /></c><c r="AZ13" s="345"><f>IF(AF13&lt;$V$6,"error",IF(AF13&gt;$V$6*1.1,"error","aceptable"))</f><v /></c><c r="BA13" s="345"><f>IF(T13&lt;$J$6*0.9,"error",IF(T13&gt;$J$6,"error","aceptable"))</f><v /></c><c r="BB13" s="346"><f>(IF(ABS(U13)&lt;1.05,"CONFORME",IF(ABS(AG13)&lt;1.05,"CONFORME",IF(ABS(AS13)&lt;2.55,"CONFORME","NO CONFORME"))))</f><v /></c><c r="BC13" s="347"><f>(IF(ABS(U13)&gt;2.05,"NO CONFORME",IF(ABS(AG13)&gt;2.05,"NO CONFORME",IF(ABS(AS13)&gt;5.05,"NO CONFORME","CONFORME"))))</f><v /></c><c r="BD13" s="348"><f>SIGN(U13)</f><v /></c><c r="BE13" s="348"><f>SIGN(AG13)</f><v /></c><c r="BF13" s="348"><f>SIGN(AS13)</f><v /></c><c r="BG13" s="348"><f>CONCATENATE(BD13,BE13,BF13)</f><v /></c><c r="BH13" s="348"><f>IF(BG13="111","SI","SD")</f><v /></c><c r="BI13" s="348"><f>IF(BG13="-1-1-1","SI","SD")</f><v /></c><c r="BJ13" s="348"><f>OR(BH13="SI",BI13="SI")</f><v /></c><c r="BK13" s="348"><f>IF(BJ13=FALSE,"SIGDIFERENTES","SIGIGUALES")</f><v /></c><c r="BL13" s="345"><f>IF(BC13="NO CONFORME","NO CONFORME",IF(BB13="CONFORME","CONFORME","NO CONFORME"))</f><v /></c><c r="BM13" s="66" t="n" /><c r="BN13" s="66" t="n" /></row><row r="14" ht="15" customHeight="1" thickBot="1"><c r="A14" s="350" t="n"><v>6</v></c><c r="B14" s="351"><f>B13</f><v /></c><c r="C14" s="351"><f>C13</f><v /></c><c r="D14" s="352"><f>D13</f><v /></c><c r="E14" s="353"><f>E13</f><v /></c><c r="F14" s="12" t="n" /><c r="G14" s="354" t="inlineStr"><is><t>QA24366388</t></is></c><c r="H14" s="355"><f>H13</f><v /></c><c r="I14" s="90"><f>I13</f><v /></c><c r="J14" s="298"><f>J13</f><v /></c><c r="K14" s="356"><f>K13</f><v /></c><c r="L14" s="356"><f>L13</f><v /></c><c r="M14" s="357" t="n"><v>982.1</v></c><c r="N14" s="357" t="n"><v>1083.03</v></c><c r="O14" s="358"><f>O13</f><v /></c><c r="P14" s="359"><f>P13</f><v /></c><c r="Q14" s="360"><f>LEFT(P14,1)</f><v /></c><c r="R14" s="360"><f>RIGHT(P14,6)</f><v /></c><c r="S14" s="360"><f>+(Q14*60+R14)/(60*60)</f><v /></c><c r="T14" s="361"><f>+O14/S14</f><v /></c><c r="U14" s="362"><f>+(((N14-M14-O14)/O14)*100)</f><v /></c><c r="V14" s="301"><f>V13</f><v /></c><c r="W14" s="363"><f>W13</f><v /></c><c r="X14" s="363"><f>X13</f><v /></c><c r="Y14" s="357" t="n"><v>1101.44</v></c><c r="Z14" s="357" t="n"><v>1106.51</v></c><c r="AA14" s="364"><f>AA13</f><v /></c><c r="AB14" s="365"><f>AB13</f><v /></c><c r="AC14" s="360"><f>LEFT(AB14,2)</f><v /></c><c r="AD14" s="360"><f>RIGHT(AB14,6)</f><v /></c><c r="AE14" s="360"><f>+(AC14*60+AD14)/(60*60)</f><v /></c><c r="AF14" s="361"><f>+AA14/AE14</f><v /></c><c r="AG14" s="303"><f>+(((Z14-Y14-AA14)/AA14)*100)</f><v /></c><c r="AH14" s="301"><f>AH13</f><v /></c><c r="AI14" s="363"><f>AI13</f><v /></c><c r="AJ14" s="363"><f>AJ13</f><v /></c><c r="AK14" s="357"><f>+Z14</f><v /></c><c r="AL14" s="357" t="n"><v>1108.55</v></c><c r="AM14" s="366"><f>AM13</f><v /></c><c r="AN14" s="359"><f>AN13</f><v /></c><c r="AO14" s="360"><f>LEFT(AN14,2)</f><v /></c><c r="AP14" s="360"><f>RIGHT(AN14,6)</f><v /></c><c r="AQ14" s="360"><f>+(AO14*60+AP14)/(60*60)</f><v /></c><c r="AR14" s="361"><f>+AM14/AQ14</f><v /></c><c r="AS14" s="303"><f>+(((AL14-AK14-AM14)/AM14)*100)</f><v /></c><c r="AT14" s="367"><f>IF(I14&gt;=1,"NO CONFORME",IF(BK14="SIGDIFERENTES",BC14,BL14))</f><v /></c><c r="AU14" s="344"><f>B14&lt;=C14</f><v /></c><c r="AV14" s="344"><f>N14&lt;Y14</f><v /></c><c r="AW14" s="344"><f>Z14&lt;=AK14</f><v /></c><c r="AX14" s="344"><f>IF(I14&gt;=1,"Qcorrecto",IF(AND(AY14="aceptable",AZ14="aceptable",BA14="aceptable"),"Qcorrecto","Qincorrecto"))</f><v /></c><c r="AY14" s="345"><f>IF(AR14&lt;$AH$6,"error",IF(AR14&gt;$AH$6*1.1,"error","aceptable"))</f><v /></c><c r="AZ14" s="345"><f>IF(AF14&lt;$V$6,"error",IF(AF14&gt;$V$6*1.1,"error","aceptable"))</f><v /></c><c r="BA14" s="345"><f>IF(T14&lt;$J$6*0.9,"error",IF(T14&gt;$J$6,"error","aceptable"))</f><v /></c><c r="BB14" s="346"><f>(IF(ABS(U14)&lt;1.05,"CONFORME",IF(ABS(AG14)&lt;1.05,"CONFORME",IF(ABS(AS14)&lt;2.55,"CONFORME","NO CONFORME"))))</f><v /></c><c r="BC14" s="347"><f>(IF(ABS(U14)&gt;2.05,"NO CONFORME",IF(ABS(AG14)&gt;2.05,"NO CONFORME",IF(ABS(AS14)&gt;5.05,"NO CONFORME","CONFORME"))))</f><v /></c><c r="BD14" s="348"><f>SIGN(U14)</f><v /></c><c r="BE14" s="348"><f>SIGN(AG14)</f><v /></c><c r="BF14" s="348"><f>SIGN(AS14)</f><v /></c><c r="BG14" s="348"><f>CONCATENATE(BD14,BE14,BF14)</f><v /></c><c r="BH14" s="348"><f>IF(BG14="111","SI","SD")</f><v /></c><c r="BI14" s="348"><f>IF(BG14="-1-1-1","SI","SD")</f><v /></c><c r="BJ14" s="348"><f>OR(BH14="SI",BI14="SI")</f><v /></c><c r="BK14" s="348"><f>IF(BJ14=FALSE,"SIGDIFERENTES","SIGIGUALES")</f><v /></c><c r="BL14" s="345"><f>IF(BC14="NO CONFORME","NO CONFORME",IF(BB14="CONFORME","CONFORME","NO CONFORME"))</f><v /></c><c r="BM14" s="66" t="n" /><c r="BN14" s="66" t="n" /></row><row r="15" ht="15" customHeight="1"><c r="A15" s="350" t="n"><v>7</v></c><c r="B15" s="351"><f>B14</f><v /></c><c r="C15" s="351"><f>C14</f><v /></c><c r="D15" s="352"><f>D14</f><v /></c><c r="E15" s="353"><f>E14</f><v /></c><c r="F15" s="12" t="n" /><c r="G15" s="327" t="inlineStr"><is><t>QA24366609</t></is></c><c r="H15" s="355"><f>H14</f><v /></c><c r="I15" s="90"><f>I14</f><v /></c><c r="J15" s="298"><f>J14</f><v /></c><c r="K15" s="356"><f>K14</f><v /></c><c r="L15" s="356"><f>L14</f><v /></c><c r="M15" s="357" t="n"><v>1022.68</v></c><c r="N15" s="357" t="n"><v>1122.93</v></c><c r="O15" s="358"><f>O14</f><v /></c><c r="P15" s="359"><f>P14</f><v /></c><c r="Q15" s="360"><f>LEFT(P15,1)</f><v /></c><c r="R15" s="360"><f>RIGHT(P15,6)</f><v /></c><c r="S15" s="360"><f>+(Q15*60+R15)/(60*60)</f><v /></c><c r="T15" s="361"><f>+O15/S15</f><v /></c><c r="U15" s="362"><f>+(((N15-M15-O15)/O15)*100)</f><v /></c><c r="V15" s="301"><f>V14</f><v /></c><c r="W15" s="363"><f>W14</f><v /></c><c r="X15" s="363"><f>X14</f><v /></c><c r="Y15" s="357" t="n"><v>1141.25</v></c><c r="Z15" s="357" t="n"><v>1146.36</v></c><c r="AA15" s="364"><f>AA14</f><v /></c><c r="AB15" s="365"><f>AB14</f><v /></c><c r="AC15" s="360"><f>LEFT(AB15,2)</f><v /></c><c r="AD15" s="360"><f>RIGHT(AB15,6)</f><v /></c><c r="AE15" s="360"><f>+(AC15*60+AD15)/(60*60)</f><v /></c><c r="AF15" s="361"><f>+AA15/AE15</f><v /></c><c r="AG15" s="303"><f>+(((Z15-Y15-AA15)/AA15)*100)</f><v /></c><c r="AH15" s="301"><f>AH14</f><v /></c><c r="AI15" s="363"><f>AI14</f><v /></c><c r="AJ15" s="363"><f>AJ14</f><v /></c><c r="AK15" s="357"><f>+Z15</f><v /></c><c r="AL15" s="357" t="n"><v>1148.37</v></c><c r="AM15" s="366"><f>AM14</f><v /></c><c r="AN15" s="359"><f>AN14</f><v /></c><c r="AO15" s="360"><f>LEFT(AN15,2)</f><v /></c><c r="AP15" s="360"><f>RIGHT(AN15,6)</f><v /></c><c r="AQ15" s="360"><f>+(AO15*60+AP15)/(60*60)</f><v /></c><c r="AR15" s="361"><f>+AM15/AQ15</f><v /></c><c r="AS15" s="303"><f>+(((AL15-AK15-AM15)/AM15)*100)</f><v /></c><c r="AT15" s="367"><f>IF(I15&gt;=1,"NO CONFORME",IF(BK15="SIGDIFERENTES",BC15,BL15))</f><v /></c><c r="AU15" s="344"><f>B15&lt;=C15</f><v /></c><c r="AV15" s="344"><f>N15&lt;Y15</f><v /></c><c r="AW15" s="344"><f>Z15&lt;=AK15</f><v /></c><c r="AX15" s="344"><f>IF(I15&gt;=1,"Qcorrecto",IF(AND(AY15="aceptable",AZ15="aceptable",BA15="aceptable"),"Qcorrecto","Qincorrecto"))</f><v /></c><c r="AY15" s="345"><f>IF(AR15&lt;$AH$6,"error",IF(AR15&gt;$AH$6*1.1,"error","aceptable"))</f><v /></c><c r="AZ15" s="345"><f>IF(AF15&lt;$V$6,"error",IF(AF15&gt;$V$6*1.1,"error","aceptable"))</f><v /></c><c r="BA15" s="345"><f>IF(T15&lt;$J$6*0.9,"error",IF(T15&gt;$J$6,"error","aceptable"))</f><v /></c><c r="BB15" s="346"><f>(IF(ABS(U15)&lt;1.05,"CONFORME",IF(ABS(AG15)&lt;1.05,"CONFORME",IF(ABS(AS15)&lt;2.55,"CONFORME","NO CONFORME"))))</f><v /></c><c r="BC15" s="347"><f>(IF(ABS(U15)&gt;2.05,"NO CONFORME",IF(ABS(AG15)&gt;2.05,"NO CONFORME",IF(ABS(AS15)&gt;5.05,"NO CONFORME","CONFORME"))))</f><v /></c><c r="BD15" s="348"><f>SIGN(U15)</f><v /></c><c r="BE15" s="348"><f>SIGN(AG15)</f><v /></c><c r="BF15" s="348"><f>SIGN(AS15)</f><v /></c><c r="BG15" s="348"><f>CONCATENATE(BD15,BE15,BF15)</f><v /></c><c r="BH15" s="348"><f>IF(BG15="111","SI","SD")</f><v /></c><c r="BI15" s="348"><f>IF(BG15="-1-1-1","SI","SD")</f><v /></c><c r="BJ15" s="348"><f>OR(BH15="SI",BI15="SI")</f><v /></c><c r="BK15" s="348"><f>IF(BJ15=FALSE,"SIGDIFERENTES","SIGIGUALES")</f><v /></c><c r="BL15" s="345"><f>IF(BC15="NO CONFORME","NO CONFORME",IF(BB15="CONFORME","CONFORME","NO CONFORME"))</f><v /></c><c r="BM15" s="66" t="n" /><c r="BN15" s="66" t="n" /></row><row r="16" ht="15" customHeight="1" thickBot="1"><c r="A16" s="350" t="n"><v>8</v></c><c r="B16" s="351"><f>B15</f><v /></c><c r="C16" s="351"><f>C15</f><v /></c><c r="D16" s="352"><f>D15</f><v /></c><c r="E16" s="353"><f>E15</f><v /></c><c r="F16" s="12" t="n" /><c r="G16" s="354" t="inlineStr"><is><t>QA24366701</t></is></c><c r="H16" s="355"><f>H15</f><v /></c><c r="I16" s="90"><f>I15</f><v /></c><c r="J16" s="298"><f>J15</f><v /></c><c r="K16" s="356"><f>K15</f><v /></c><c r="L16" s="356"><f>L15</f><v /></c><c r="M16" s="357" t="n"><v>1454.05</v></c><c r="N16" s="357" t="n"><v>1555.81</v></c><c r="O16" s="358"><f>O15</f><v /></c><c r="P16" s="359"><f>P15</f><v /></c><c r="Q16" s="360"><f>LEFT(P16,1)</f><v /></c><c r="R16" s="360"><f>RIGHT(P16,6)</f><v /></c><c r="S16" s="360"><f>+(Q16*60+R16)/(60*60)</f><v /></c><c r="T16" s="361"><f>+O16/S16</f><v /></c><c r="U16" s="362"><f>+(((N16-M16-O16)/O16)*100)</f><v /></c><c r="V16" s="301"><f>V15</f><v /></c><c r="W16" s="363"><f>W15</f><v /></c><c r="X16" s="363"><f>X15</f><v /></c><c r="Y16" s="357" t="n"><v>1574.42</v></c><c r="Z16" s="357" t="n"><v>1579.53</v></c><c r="AA16" s="364"><f>AA15</f><v /></c><c r="AB16" s="365"><f>AB15</f><v /></c><c r="AC16" s="360"><f>LEFT(AB16,2)</f><v /></c><c r="AD16" s="360"><f>RIGHT(AB16,6)</f><v /></c><c r="AE16" s="360"><f>+(AC16*60+AD16)/(60*60)</f><v /></c><c r="AF16" s="361"><f>+AA16/AE16</f><v /></c><c r="AG16" s="303"><f>+(((Z16-Y16-AA16)/AA16)*100)</f><v /></c><c r="AH16" s="301"><f>AH15</f><v /></c><c r="AI16" s="363"><f>AI15</f><v /></c><c r="AJ16" s="363"><f>AJ15</f><v /></c><c r="AK16" s="357"><f>+Z16</f><v /></c><c r="AL16" s="357" t="n"><v>1581.58</v></c><c r="AM16" s="366"><f>AM15</f><v /></c><c r="AN16" s="359"><f>AN15</f><v /></c><c r="AO16" s="360"><f>LEFT(AN16,2)</f><v /></c><c r="AP16" s="360"><f>RIGHT(AN16,6)</f><v /></c><c r="AQ16" s="360"><f>+(AO16*60+AP16)/(60*60)</f><v /></c><c r="AR16" s="361"><f>+AM16/AQ16</f><v /></c><c r="AS16" s="303"><f>+(((AL16-AK16-AM16)/AM16)*100)</f><v /></c><c r="AT16" s="367"><f>IF(I16&gt;=1,"NO CONFORME",IF(BK16="SIGDIFERENTES",BC16,BL16))</f><v /></c><c r="AU16" s="344"><f>B16&lt;=C16</f><v /></c><c r="AV16" s="344"><f>N16&lt;Y16</f><v /></c><c r="AW16" s="344"><f>Z16&lt;=AK16</f><v /></c><c r="AX16" s="344"><f>IF(I16&gt;=1,"Qcorrecto",IF(AND(AY16="aceptable",AZ16="aceptable",BA16="aceptable"),"Qcorrecto","Qincorrecto"))</f><v /></c><c r="AY16" s="345"><f>IF(AR16&lt;$AH$6,"error",IF(AR16&gt;$AH$6*1.1,"error","aceptable"))</f><v /></c><c r="AZ16" s="345"><f>IF(AF16&lt;$V$6,"error",IF(AF16&gt;$V$6*1.1,"error","aceptable"))</f><v /></c><c r="BA16" s="345"><f>IF(T16&lt;$J$6*0.9,"error",IF(T16&gt;$J$6,"error","aceptable"))</f><v /></c><c r="BB16" s="346"><f>(IF(ABS(U16)&lt;1.05,"CONFORME",IF(ABS(AG16)&lt;1.05,"CONFORME",IF(ABS(AS16)&lt;2.55,"CONFORME","NO CONFORME"))))</f><v /></c><c r="BC16" s="347"><f>(IF(ABS(U16)&gt;2.05,"NO CONFORME",IF(ABS(AG16)&gt;2.05,"NO CONFORME",IF(ABS(AS16)&gt;5.05,"NO CONFORME","CONFORME"))))</f><v /></c><c r="BD16" s="348"><f>SIGN(U16)</f><v /></c><c r="BE16" s="348"><f>SIGN(AG16)</f><v /></c><c r="BF16" s="348"><f>SIGN(AS16)</f><v /></c><c r="BG16" s="348"><f>CONCATENATE(BD16,BE16,BF16)</f><v /></c><c r="BH16" s="348"><f>IF(BG16="111","SI","SD")</f><v /></c><c r="BI16" s="348"><f>IF(BG16="-1-1-1","SI","SD")</f><v /></c><c r="BJ16" s="348"><f>OR(BH16="SI",BI16="SI")</f><v /></c><c r="BK16" s="348"><f>IF(BJ16=FALSE,"SIGDIFERENTES","SIGIGUALES")</f><v /></c><c r="BL16" s="345"><f>IF(BC16="NO CONFORME","NO CONFORME",IF(BB16="CONFORME","CONFORME","NO CONFORME"))</f><v /></c><c r="BM16" s="66" t="n" /><c r="BN16" s="66" t="n" /></row><row r="17" ht="15" customHeight="1"><c r="A17" s="350" t="n"><v>9</v></c><c r="B17" s="351"><f>B16</f><v /></c><c r="C17" s="351"><f>C16</f><v /></c><c r="D17" s="352"><f>D16</f><v /></c><c r="E17" s="353"><f>E16</f><v /></c><c r="F17" s="12" t="n" /><c r="G17" s="327" t="inlineStr"><is><t>QA24366520</t></is></c><c r="H17" s="355"><f>H16</f><v /></c><c r="I17" s="90"><f>I16</f><v /></c><c r="J17" s="298"><f>J16</f><v /></c><c r="K17" s="356"><f>K16</f><v /></c><c r="L17" s="356"><f>L16</f><v /></c><c r="M17" s="357" t="n"><v>929.74</v></c><c r="N17" s="357" t="n"><v>1029.97</v></c><c r="O17" s="358"><f>O16</f><v /></c><c r="P17" s="359"><f>P16</f><v /></c><c r="Q17" s="360"><f>LEFT(P17,1)</f><v /></c><c r="R17" s="360"><f>RIGHT(P17,6)</f><v /></c><c r="S17" s="360"><f>+(Q17*60+R17)/(60*60)</f><v /></c><c r="T17" s="361"><f>+O17/S17</f><v /></c><c r="U17" s="362"><f>+(((N17-M17-O17)/O17)*100)</f><v /></c><c r="V17" s="301"><f>V16</f><v /></c><c r="W17" s="363"><f>W16</f><v /></c><c r="X17" s="363"><f>X16</f><v /></c><c r="Y17" s="357" t="n"><v>1048.23</v></c><c r="Z17" s="357" t="n"><v>1053.23</v></c><c r="AA17" s="364"><f>AA16</f><v /></c><c r="AB17" s="365"><f>AB16</f><v /></c><c r="AC17" s="360"><f>LEFT(AB17,2)</f><v /></c><c r="AD17" s="360"><f>RIGHT(AB17,6)</f><v /></c><c r="AE17" s="360"><f>+(AC17*60+AD17)/(60*60)</f><v /></c><c r="AF17" s="361"><f>+AA17/AE17</f><v /></c><c r="AG17" s="303"><f>+(((Z17-Y17-AA17)/AA17)*100)</f><v /></c><c r="AH17" s="301"><f>AH16</f><v /></c><c r="AI17" s="363"><f>AI16</f><v /></c><c r="AJ17" s="363"><f>AJ16</f><v /></c><c r="AK17" s="357"><f>+Z17</f><v /></c><c r="AL17" s="357" t="n"><v>1055.23</v></c><c r="AM17" s="366"><f>AM16</f><v /></c><c r="AN17" s="359"><f>AN16</f><v /></c><c r="AO17" s="360"><f>LEFT(AN17,2)</f><v /></c><c r="AP17" s="360"><f>RIGHT(AN17,6)</f><v /></c><c r="AQ17" s="360"><f>+(AO17*60+AP17)/(60*60)</f><v /></c><c r="AR17" s="361"><f>+AM17/AQ17</f><v /></c><c r="AS17" s="303"><f>+(((AL17-AK17-AM17)/AM17)*100)</f><v /></c><c r="AT17" s="367"><f>IF(I17&gt;=1,"NO CONFORME",IF(BK17="SIGDIFERENTES",BC17,BL17))</f><v /></c><c r="AU17" s="344"><f>B17&lt;=C17</f><v /></c><c r="AV17" s="344"><f>N17&lt;Y17</f><v /></c><c r="AW17" s="344"><f>Z17&lt;=AK17</f><v /></c><c r="AX17" s="344"><f>IF(I17&gt;=1,"Qcorrecto",IF(AND(AY17="aceptable",AZ17="aceptable",BA17="aceptable"),"Qcorrecto","Qincorrecto"))</f><v /></c><c r="AY17" s="345"><f>IF(AR17&lt;$AH$6,"error",IF(AR17&gt;$AH$6*1.1,"error","aceptable"))</f><v /></c><c r="AZ17" s="345"><f>IF(AF17&lt;$V$6,"error",IF(AF17&gt;$V$6*1.1,"error","aceptable"))</f><v /></c><c r="BA17" s="345"><f>IF(T17&lt;$J$6*0.9,"error",IF(T17&gt;$J$6,"error","aceptable"))</f><v /></c><c r="BB17" s="346"><f>(IF(ABS(U17)&lt;1.05,"CONFORME",IF(ABS(AG17)&lt;1.05,"CONFORME",IF(ABS(AS17)&lt;2.55,"CONFORME","NO CONFORME"))))</f><v /></c><c r="BC17" s="347"><f>(IF(ABS(U17)&gt;2.05,"NO CONFORME",IF(ABS(AG17)&gt;2.05,"NO CONFORME",IF(ABS(AS17)&gt;5.05,"NO CONFORME","CONFORME"))))</f><v /></c><c r="BD17" s="348"><f>SIGN(U17)</f><v /></c><c r="BE17" s="348"><f>SIGN(AG17)</f><v /></c><c r="BF17" s="348"><f>SIGN(AS17)</f><v /></c><c r="BG17" s="348"><f>CONCATENATE(BD17,BE17,BF17)</f><v /></c><c r="BH17" s="348"><f>IF(BG17="111","SI","SD")</f><v /></c><c r="BI17" s="348"><f>IF(BG17="-1-1-1","SI","SD")</f><v /></c><c r="BJ17" s="348"><f>OR(BH17="SI",BI17="SI")</f><v /></c><c r="BK17" s="348"><f>IF(BJ17=FALSE,"SIGDIFERENTES","SIGIGUALES")</f><v /></c><c r="BL17" s="345"><f>IF(BC17="NO CONFORME","NO CONFORME",IF(BB17="CONFORME","CONFORME","NO CONFORME"))</f><v /></c><c r="BM17" s="66" t="n" /><c r="BN17" s="66" t="n" /></row><row r="18" ht="15" customHeight="1" thickBot="1"><c r="A18" s="350" t="n"><v>10</v></c><c r="B18" s="351"><f>B17</f><v /></c><c r="C18" s="351"><f>C17</f><v /></c><c r="D18" s="352"><f>D17</f><v /></c><c r="E18" s="353"><f>E17</f><v /></c><c r="F18" s="12" t="n" /><c r="G18" s="354" t="inlineStr"><is><t>QA24366537</t></is></c><c r="H18" s="355"><f>H17</f><v /></c><c r="I18" s="90"><f>I17</f><v /></c><c r="J18" s="298"><f>J17</f><v /></c><c r="K18" s="356"><f>K17</f><v /></c><c r="L18" s="356"><f>L17</f><v /></c><c r="M18" s="357" t="n"><v>1090.52</v></c><c r="N18" s="357" t="n"><v>1191.43</v></c><c r="O18" s="358"><f>O17</f><v /></c><c r="P18" s="359"><f>P17</f><v /></c><c r="Q18" s="360"><f>LEFT(P18,1)</f><v /></c><c r="R18" s="360"><f>RIGHT(P18,6)</f><v /></c><c r="S18" s="360"><f>+(Q18*60+R18)/(60*60)</f><v /></c><c r="T18" s="361"><f>+O18/S18</f><v /></c><c r="U18" s="362"><f>+(((N18-M18-O18)/O18)*100)</f><v /></c><c r="V18" s="301"><f>V17</f><v /></c><c r="W18" s="363"><f>W17</f><v /></c><c r="X18" s="363"><f>X17</f><v /></c><c r="Y18" s="357" t="n"><v>1209.8</v></c><c r="Z18" s="357" t="n"><v>1214.88</v></c><c r="AA18" s="364"><f>AA17</f><v /></c><c r="AB18" s="365"><f>AB17</f><v /></c><c r="AC18" s="360"><f>LEFT(AB18,2)</f><v /></c><c r="AD18" s="360"><f>RIGHT(AB18,6)</f><v /></c><c r="AE18" s="360"><f>+(AC18*60+AD18)/(60*60)</f><v /></c><c r="AF18" s="361"><f>+AA18/AE18</f><v /></c><c r="AG18" s="303"><f>+(((Z18-Y18-AA18)/AA18)*100)</f><v /></c><c r="AH18" s="301"><f>AH17</f><v /></c><c r="AI18" s="363"><f>AI17</f><v /></c><c r="AJ18" s="363"><f>AJ17</f><v /></c><c r="AK18" s="357"><f>+Z18</f><v /></c><c r="AL18" s="357" t="n"><v>1216.93</v></c><c r="AM18" s="366"><f>AM17</f><v /></c><c r="AN18" s="359"><f>AN17</f><v /></c><c r="AO18" s="360"><f>LEFT(AN18,2)</f><v /></c><c r="AP18" s="360"><f>RIGHT(AN18,6)</f><v /></c><c r="AQ18" s="360"><f>+(AO18*60+AP18)/(60*60)</f><v /></c><c r="AR18" s="361"><f>+AM18/AQ18</f><v /></c><c r="AS18" s="303"><f>+(((AL18-AK18-AM18)/AM18)*100)</f><v /></c><c r="AT18" s="367"><f>IF(I18&gt;=1,"NO CONFORME",IF(BK18="SIGDIFERENTES",BC18,BL18))</f><v /></c><c r="AU18" s="344"><f>B18&lt;=C18</f><v /></c><c r="AV18" s="344"><f>N18&lt;Y18</f><v /></c><c r="AW18" s="344"><f>Z18&lt;=AK18</f><v /></c><c r="AX18" s="344"><f>IF(I18&gt;=1,"Qcorrecto",IF(AND(AY18="aceptable",AZ18="aceptable",BA18="aceptable"),"Qcorrecto","Qincorrecto"))</f><v /></c><c r="AY18" s="345"><f>IF(AR18&lt;$AH$6,"error",IF(AR18&gt;$AH$6*1.1,"error","aceptable"))</f><v /></c><c r="AZ18" s="345"><f>IF(AF18&lt;$V$6,"error",IF(AF18&gt;$V$6*1.1,"error","aceptable"))</f><v /></c><c r="BA18" s="345"><f>IF(T18&lt;$J$6*0.9,"error",IF(T18&gt;$J$6,"error","aceptable"))</f><v /></c><c r="BB18" s="346"><f>(IF(ABS(U18)&lt;1.05,"CONFORME",IF(ABS(AG18)&lt;1.05,"CONFORME",IF(ABS(AS18)&lt;2.55,"CONFORME","NO CONFORME"))))</f><v /></c><c r="BC18" s="347"><f>(IF(ABS(U18)&gt;2.05,"NO CONFORME",IF(ABS(AG18)&gt;2.05,"NO CONFORME",IF(ABS(AS18)&gt;5.05,"NO CONFORME","CONFORME"))))</f><v /></c><c r="BD18" s="348"><f>SIGN(U18)</f><v /></c><c r="BE18" s="348"><f>SIGN(AG18)</f><v /></c><c r="BF18" s="348"><f>SIGN(AS18)</f><v /></c><c r="BG18" s="348"><f>CONCATENATE(BD18,BE18,BF18)</f><v /></c><c r="BH18" s="348"><f>IF(BG18="111","SI","SD")</f><v /></c><c r="BI18" s="348"><f>IF(BG18="-1-1-1","SI","SD")</f><v /></c><c r="BJ18" s="348"><f>OR(BH18="SI",BI18="SI")</f><v /></c><c r="BK18" s="348"><f>IF(BJ18=FALSE,"SIGDIFERENTES","SIGIGUALES")</f><v /></c><c r="BL18" s="345"><f>IF(BC18="NO CONFORME","NO CONFORME",IF(BB18="CONFORME","CONFORME","NO CONFORME"))</f><v /></c><c r="BM18" s="66" t="n" /><c r="BN18" s="66" t="n" /></row><row r="19" ht="15.75" customHeight="1"><c r="A19" s="350" t="n"><v>11</v></c><c r="B19" s="351"><f>B18</f><v /></c><c r="C19" s="351"><f>C18</f><v /></c><c r="D19" s="352"><f>D18</f><v /></c><c r="E19" s="353"><f>E18</f><v /></c><c r="F19" s="12" t="n" /><c r="G19" s="327" t="inlineStr"><is><t>QA24366761</t></is></c><c r="H19" s="355"><f>H18</f><v /></c><c r="I19" s="90"><f>I18</f><v /></c><c r="J19" s="298"><f>J18</f><v /></c><c r="K19" s="356"><f>K18</f><v /></c><c r="L19" s="356"><f>L18</f><v /></c><c r="M19" s="357" t="n"><v>821.05</v></c><c r="N19" s="357" t="n"><v>922.0700000000001</v></c><c r="O19" s="358"><f>O18</f><v /></c><c r="P19" s="359"><f>P18</f><v /></c><c r="Q19" s="360"><f>LEFT(P19,1)</f><v /></c><c r="R19" s="360"><f>RIGHT(P19,6)</f><v /></c><c r="S19" s="360"><f>+(Q19*60+R19)/(60*60)</f><v /></c><c r="T19" s="361"><f>+O19/S19</f><v /></c><c r="U19" s="362"><f>+(((N19-M19-O19)/O19)*100)</f><v /></c><c r="V19" s="301"><f>V18</f><v /></c><c r="W19" s="363"><f>W18</f><v /></c><c r="X19" s="363"><f>X18</f><v /></c><c r="Y19" s="357" t="n"><v>940.53</v></c><c r="Z19" s="357" t="n"><v>945.64</v></c><c r="AA19" s="364"><f>AA18</f><v /></c><c r="AB19" s="365"><f>AB18</f><v /></c><c r="AC19" s="360"><f>LEFT(AB19,2)</f><v /></c><c r="AD19" s="360"><f>RIGHT(AB19,6)</f><v /></c><c r="AE19" s="360"><f>+(AC19*60+AD19)/(60*60)</f><v /></c><c r="AF19" s="361"><f>+AA19/AE19</f><v /></c><c r="AG19" s="303"><f>+(((Z19-Y19-AA19)/AA19)*100)</f><v /></c><c r="AH19" s="301"><f>AH18</f><v /></c><c r="AI19" s="363"><f>AI18</f><v /></c><c r="AJ19" s="363"><f>AJ18</f><v /></c><c r="AK19" s="357"><f>+Z19</f><v /></c><c r="AL19" s="357" t="n"><v>947.6799999999999</v></c><c r="AM19" s="366"><f>AM18</f><v /></c><c r="AN19" s="359"><f>AN18</f><v /></c><c r="AO19" s="360"><f>LEFT(AN19,2)</f><v /></c><c r="AP19" s="360"><f>RIGHT(AN19,6)</f><v /></c><c r="AQ19" s="360"><f>+(AO19*60+AP19)/(60*60)</f><v /></c><c r="AR19" s="361"><f>+AM19/AQ19</f><v /></c><c r="AS19" s="303"><f>+(((AL19-AK19-AM19)/AM19)*100)</f><v /></c><c r="AT19" s="367"><f>IF(I19&gt;=1,"NO CONFORME",IF(BK19="SIGDIFERENTES",BC19,BL19))</f><v /></c><c r="AU19" s="344"><f>B19&lt;=C19</f><v /></c><c r="AV19" s="344"><f>N19&lt;Y19</f><v /></c><c r="AW19" s="344"><f>Z19&lt;=AK19</f><v /></c><c r="AX19" s="344"><f>IF(I19&gt;=1,"Qcorrecto",IF(AND(AY19="aceptable",AZ19="aceptable",BA19="aceptable"),"Qcorrecto","Qincorrecto"))</f><v /></c><c r="AY19" s="345"><f>IF(AR19&lt;$AH$6,"error",IF(AR19&gt;$AH$6*1.1,"error","aceptable"))</f><v /></c><c r="AZ19" s="345"><f>IF(AF19&lt;$V$6,"error",IF(AF19&gt;$V$6*1.1,"error","aceptable"))</f><v /></c><c r="BA19" s="345"><f>IF(T19&lt;$J$6*0.9,"error",IF(T19&gt;$J$6,"error","aceptable"))</f><v /></c><c r="BB19" s="346"><f>(IF(ABS(U19)&lt;1.05,"CONFORME",IF(ABS(AG19)&lt;1.05,"CONFORME",IF(ABS(AS19)&lt;2.55,"CONFORME","NO CONFORME"))))</f><v /></c><c r="BC19" s="347"><f>(IF(ABS(U19)&gt;2.05,"NO CONFORME",IF(ABS(AG19)&gt;2.05,"NO CONFORME",IF(ABS(AS19)&gt;5.05,"NO CONFORME","CONFORME"))))</f><v /></c><c r="BD19" s="348"><f>SIGN(U19)</f><v /></c><c r="BE19" s="348"><f>SIGN(AG19)</f><v /></c><c r="BF19" s="348"><f>SIGN(AS19)</f><v /></c><c r="BG19" s="348"><f>CONCATENATE(BD19,BE19,BF19)</f><v /></c><c r="BH19" s="348"><f>IF(BG19="111","SI","SD")</f><v /></c><c r="BI19" s="348"><f>IF(BG19="-1-1-1","SI","SD")</f><v /></c><c r="BJ19" s="348"><f>OR(BH19="SI",BI19="SI")</f><v /></c><c r="BK19" s="348"><f>IF(BJ19=FALSE,"SIGDIFERENTES","SIGIGUALES")</f><v /></c><c r="BL19" s="345"><f>IF(BC19="NO CONFORME","NO CONFORME",IF(BB19="CONFORME","CONFORME","NO CONFORME"))</f><v /></c><c r="BM19" s="66" t="n" /><c r="BN19" s="66" t="n" /></row><row r="20" ht="15" customHeight="1" thickBot="1"><c r="A20" s="350" t="n"><v>12</v></c><c r="B20" s="351"><f>B19</f><v /></c><c r="C20" s="351"><f>C19</f><v /></c><c r="D20" s="352"><f>D19</f><v /></c><c r="E20" s="353"><f>E19</f><v /></c><c r="F20" s="12" t="n" /><c r="G20" s="354" t="inlineStr"><is><t>QA24366702</t></is></c><c r="H20" s="355"><f>H19</f><v /></c><c r="I20" s="90"><f>I19</f><v /></c><c r="J20" s="298"><f>J19</f><v /></c><c r="K20" s="356"><f>K19</f><v /></c><c r="L20" s="356"><f>L19</f><v /></c><c r="M20" s="357" t="n"><v>1055.07</v></c><c r="N20" s="357" t="n"><v>1156.24</v></c><c r="O20" s="358"><f>O19</f><v /></c><c r="P20" s="359"><f>P19</f><v /></c><c r="Q20" s="360"><f>LEFT(P20,1)</f><v /></c><c r="R20" s="360"><f>RIGHT(P20,6)</f><v /></c><c r="S20" s="360"><f>+(Q20*60+R20)/(60*60)</f><v /></c><c r="T20" s="361"><f>+O20/S20</f><v /></c><c r="U20" s="362"><f>+(((N20-M20-O20)/O20)*100)</f><v /></c><c r="V20" s="301"><f>V19</f><v /></c><c r="W20" s="363"><f>W19</f><v /></c><c r="X20" s="363"><f>X19</f><v /></c><c r="Y20" s="357" t="n"><v>1174.78</v></c><c r="Z20" s="357" t="n"><v>1179.89</v></c><c r="AA20" s="364"><f>AA19</f><v /></c><c r="AB20" s="365"><f>AB19</f><v /></c><c r="AC20" s="360"><f>LEFT(AB20,2)</f><v /></c><c r="AD20" s="360"><f>RIGHT(AB20,6)</f><v /></c><c r="AE20" s="360"><f>+(AC20*60+AD20)/(60*60)</f><v /></c><c r="AF20" s="361"><f>+AA20/AE20</f><v /></c><c r="AG20" s="303"><f>+(((Z20-Y20-AA20)/AA20)*100)</f><v /></c><c r="AH20" s="301"><f>AH19</f><v /></c><c r="AI20" s="363"><f>AI19</f><v /></c><c r="AJ20" s="363"><f>AJ19</f><v /></c><c r="AK20" s="357"><f>+Z20</f><v /></c><c r="AL20" s="357" t="n"><v>1181.97</v></c><c r="AM20" s="366"><f>AM19</f><v /></c><c r="AN20" s="359"><f>AN19</f><v /></c><c r="AO20" s="360"><f>LEFT(AN20,2)</f><v /></c><c r="AP20" s="360"><f>RIGHT(AN20,6)</f><v /></c><c r="AQ20" s="360"><f>+(AO20*60+AP20)/(60*60)</f><v /></c><c r="AR20" s="361"><f>+AM20/AQ20</f><v /></c><c r="AS20" s="303"><f>+(((AL20-AK20-AM20)/AM20)*100)</f><v /></c><c r="AT20" s="367"><f>IF(I20&gt;=1,"NO CONFORME",IF(BK20="SIGDIFERENTES",BC20,BL20))</f><v /></c><c r="AU20" s="344"><f>B20&lt;=C20</f><v /></c><c r="AV20" s="344"><f>N20&lt;Y20</f><v /></c><c r="AW20" s="344"><f>Z20&lt;=AK20</f><v /></c><c r="AX20" s="344"><f>IF(I20&gt;=1,"Qcorrecto",IF(AND(AY20="aceptable",AZ20="aceptable",BA20="aceptable"),"Qcorrecto","Qincorrecto"))</f><v /></c><c r="AY20" s="345"><f>IF(AR20&lt;$AH$6,"error",IF(AR20&gt;$AH$6*1.1,"error","aceptable"))</f><v /></c><c r="AZ20" s="345"><f>IF(AF20&lt;$V$6,"error",IF(AF20&gt;$V$6*1.1,"error","aceptable"))</f><v /></c><c r="BA20" s="345"><f>IF(T20&lt;$J$6*0.9,"error",IF(T20&gt;$J$6,"error","aceptable"))</f><v /></c><c r="BB20" s="346"><f>(IF(ABS(U20)&lt;1.05,"CONFORME",IF(ABS(AG20)&lt;1.05,"CONFORME",IF(ABS(AS20)&lt;2.55,"CONFORME","NO CONFORME"))))</f><v /></c><c r="BC20" s="347"><f>(IF(ABS(U20)&gt;2.05,"NO CONFORME",IF(ABS(AG20)&gt;2.05,"NO CONFORME",IF(ABS(AS20)&gt;5.05,"NO CONFORME","CONFORME"))))</f><v /></c><c r="BD20" s="348"><f>SIGN(U20)</f><v /></c><c r="BE20" s="348"><f>SIGN(AG20)</f><v /></c><c r="BF20" s="348"><f>SIGN(AS20)</f><v /></c><c r="BG20" s="348"><f>CONCATENATE(BD20,BE20,BF20)</f><v /></c><c r="BH20" s="348"><f>IF(BG20="111","SI","SD")</f><v /></c><c r="BI20" s="348"><f>IF(BG20="-1-1-1","SI","SD")</f><v /></c><c r="BJ20" s="348"><f>OR(BH20="SI",BI20="SI")</f><v /></c><c r="BK20" s="348"><f>IF(BJ20=FALSE,"SIGDIFERENTES","SIGIGUALES")</f><v /></c><c r="BL20" s="345"><f>IF(BC20="NO CONFORME","NO CONFORME",IF(BB20="CONFORME","CONFORME","NO CONFORME"))</f><v /></c><c r="BM20" s="66" t="n" /><c r="BN20" s="66" t="n" /></row><row r="21" ht="15" customHeight="1"><c r="A21" s="350" t="n"><v>13</v></c><c r="B21" s="351"><f>B20</f><v /></c><c r="C21" s="351"><f>C20</f><v /></c><c r="D21" s="352"><f>D20</f><v /></c><c r="E21" s="353"><f>E20</f><v /></c><c r="F21" s="12" t="n" /><c r="G21" s="327" t="inlineStr"><is><t>QA24366704</t></is></c><c r="H21" s="355"><f>H20</f><v /></c><c r="I21" s="90"><f>I20</f><v /></c><c r="J21" s="298"><f>J20</f><v /></c><c r="K21" s="356"><f>K20</f><v /></c><c r="L21" s="356"><f>L20</f><v /></c><c r="M21" s="357" t="n"><v>948.3099999999999</v></c><c r="N21" s="357" t="n"><v>1048.81</v></c><c r="O21" s="358"><f>O20</f><v /></c><c r="P21" s="359"><f>P20</f><v /></c><c r="Q21" s="360"><f>LEFT(P21,1)</f><v /></c><c r="R21" s="360"><f>RIGHT(P21,6)</f><v /></c><c r="S21" s="360"><f>+(Q21*60+R21)/(60*60)</f><v /></c><c r="T21" s="361"><f>+O21/S21</f><v /></c><c r="U21" s="362"><f>+(((N21-M21-O21)/O21)*100)</f><v /></c><c r="V21" s="301"><f>V20</f><v /></c><c r="W21" s="363"><f>W20</f><v /></c><c r="X21" s="363"><f>X20</f><v /></c><c r="Y21" s="357" t="n"><v>1067.13</v></c><c r="Z21" s="357" t="n"><v>1072.23</v></c><c r="AA21" s="364"><f>AA20</f><v /></c><c r="AB21" s="365"><f>AB20</f><v /></c><c r="AC21" s="360"><f>LEFT(AB21,2)</f><v /></c><c r="AD21" s="360"><f>RIGHT(AB21,6)</f><v /></c><c r="AE21" s="360"><f>+(AC21*60+AD21)/(60*60)</f><v /></c><c r="AF21" s="361"><f>+AA21/AE21</f><v /></c><c r="AG21" s="303"><f>+(((Z21-Y21-AA21)/AA21)*100)</f><v /></c><c r="AH21" s="301"><f>AH20</f><v /></c><c r="AI21" s="363"><f>AI20</f><v /></c><c r="AJ21" s="363"><f>AJ20</f><v /></c><c r="AK21" s="357"><f>+Z21</f><v /></c><c r="AL21" s="357" t="n"><v>1074.25</v></c><c r="AM21" s="366"><f>AM20</f><v /></c><c r="AN21" s="359"><f>AN20</f><v /></c><c r="AO21" s="360"><f>LEFT(AN21,2)</f><v /></c><c r="AP21" s="360"><f>RIGHT(AN21,6)</f><v /></c><c r="AQ21" s="360"><f>+(AO21*60+AP21)/(60*60)</f><v /></c><c r="AR21" s="361"><f>+AM21/AQ21</f><v /></c><c r="AS21" s="303"><f>+(((AL21-AK21-AM21)/AM21)*100)</f><v /></c><c r="AT21" s="367"><f>IF(I21&gt;=1,"NO CONFORME",IF(BK21="SIGDIFERENTES",BC21,BL21))</f><v /></c><c r="AU21" s="344"><f>B21&lt;=C21</f><v /></c><c r="AV21" s="344"><f>N21&lt;Y21</f><v /></c><c r="AW21" s="344"><f>Z21&lt;=AK21</f><v /></c><c r="AX21" s="344"><f>IF(I21&gt;=1,"Qcorrecto",IF(AND(AY21="aceptable",AZ21="aceptable",BA21="aceptable"),"Qcorrecto","Qincorrecto"))</f><v /></c><c r="AY21" s="345"><f>IF(AR21&lt;$AH$6,"error",IF(AR21&gt;$AH$6*1.1,"error","aceptable"))</f><v /></c><c r="AZ21" s="345"><f>IF(AF21&lt;$V$6,"error",IF(AF21&gt;$V$6*1.1,"error","aceptable"))</f><v /></c><c r="BA21" s="345"><f>IF(T21&lt;$J$6*0.9,"error",IF(T21&gt;$J$6,"error","aceptable"))</f><v /></c><c r="BB21" s="346"><f>(IF(ABS(U21)&lt;1.05,"CONFORME",IF(ABS(AG21)&lt;1.05,"CONFORME",IF(ABS(AS21)&lt;2.55,"CONFORME","NO CONFORME"))))</f><v /></c><c r="BC21" s="347"><f>(IF(ABS(U21)&gt;2.05,"NO CONFORME",IF(ABS(AG21)&gt;2.05,"NO CONFORME",IF(ABS(AS21)&gt;5.05,"NO CONFORME","CONFORME"))))</f><v /></c><c r="BD21" s="348"><f>SIGN(U21)</f><v /></c><c r="BE21" s="348"><f>SIGN(AG21)</f><v /></c><c r="BF21" s="348"><f>SIGN(AS21)</f><v /></c><c r="BG21" s="348"><f>CONCATENATE(BD21,BE21,BF21)</f><v /></c><c r="BH21" s="348"><f>IF(BG21="111","SI","SD")</f><v /></c><c r="BI21" s="348"><f>IF(BG21="-1-1-1","SI","SD")</f><v /></c><c r="BJ21" s="348"><f>OR(BH21="SI",BI21="SI")</f><v /></c><c r="BK21" s="348"><f>IF(BJ21=FALSE,"SIGDIFERENTES","SIGIGUALES")</f><v /></c><c r="BL21" s="345"><f>IF(BC21="NO CONFORME","NO CONFORME",IF(BB21="CONFORME","CONFORME","NO CONFORME"))</f><v /></c><c r="BM21" s="66" t="n" /><c r="BN21" s="66" t="n" /></row><row r="22" ht="15.75" customHeight="1" thickBot="1"><c r="A22" s="350" t="n"><v>14</v></c><c r="B22" s="351"><f>B21</f><v /></c><c r="C22" s="351"><f>C21</f><v /></c><c r="D22" s="352"><f>D21</f><v /></c><c r="E22" s="353"><f>E21</f><v /></c><c r="F22" s="12" t="n" /><c r="G22" s="354" t="inlineStr"><is><t>QA24366764</t></is></c><c r="H22" s="355"><f>H21</f><v /></c><c r="I22" s="90"><f>I21</f><v /></c><c r="J22" s="298"><f>J21</f><v /></c><c r="K22" s="356"><f>K21</f><v /></c><c r="L22" s="356"><f>L21</f><v /></c><c r="M22" s="357" t="n"><v>792.35</v></c><c r="N22" s="357" t="n"><v>892.88</v></c><c r="O22" s="358"><f>O21</f><v /></c><c r="P22" s="359"><f>P21</f><v /></c><c r="Q22" s="360"><f>LEFT(P22,1)</f><v /></c><c r="R22" s="360"><f>RIGHT(P22,6)</f><v /></c><c r="S22" s="360"><f>+(Q22*60+R22)/(60*60)</f><v /></c><c r="T22" s="361"><f>+O22/S22</f><v /></c><c r="U22" s="362"><f>+(((N22-M22-O22)/O22)*100)</f><v /></c><c r="V22" s="301"><f>V21</f><v /></c><c r="W22" s="363"><f>W21</f><v /></c><c r="X22" s="363"><f>X21</f><v /></c><c r="Y22" s="357" t="n"><v>911.1799999999999</v></c><c r="Z22" s="357" t="n"><v>916.24</v></c><c r="AA22" s="364"><f>AA21</f><v /></c><c r="AB22" s="365"><f>AB21</f><v /></c><c r="AC22" s="360"><f>LEFT(AB22,2)</f><v /></c><c r="AD22" s="360"><f>RIGHT(AB22,6)</f><v /></c><c r="AE22" s="360"><f>+(AC22*60+AD22)/(60*60)</f><v /></c><c r="AF22" s="361"><f>+AA22/AE22</f><v /></c><c r="AG22" s="303"><f>+(((Z22-Y22-AA22)/AA22)*100)</f><v /></c><c r="AH22" s="301"><f>AH21</f><v /></c><c r="AI22" s="363"><f>AI21</f><v /></c><c r="AJ22" s="363"><f>AJ21</f><v /></c><c r="AK22" s="357"><f>+Z22</f><v /></c><c r="AL22" s="357" t="n"><v>918.25</v></c><c r="AM22" s="366"><f>AM21</f><v /></c><c r="AN22" s="359"><f>AN21</f><v /></c><c r="AO22" s="360"><f>LEFT(AN22,2)</f><v /></c><c r="AP22" s="360"><f>RIGHT(AN22,6)</f><v /></c><c r="AQ22" s="360"><f>+(AO22*60+AP22)/(60*60)</f><v /></c><c r="AR22" s="361"><f>+AM22/AQ22</f><v /></c><c r="AS22" s="303"><f>+(((AL22-AK22-AM22)/AM22)*100)</f><v /></c><c r="AT22" s="367"><f>IF(I22&gt;=1,"NO CONFORME",IF(BK22="SIGDIFERENTES",BC22,BL22))</f><v /></c><c r="AU22" s="344"><f>B22&lt;=C22</f><v /></c><c r="AV22" s="344"><f>N22&lt;Y22</f><v /></c><c r="AW22" s="344"><f>Z22&lt;=AK22</f><v /></c><c r="AX22" s="344"><f>IF(I22&gt;=1,"Qcorrecto",IF(AND(AY22="aceptable",AZ22="aceptable",BA22="aceptable"),"Qcorrecto","Qincorrecto"))</f><v /></c><c r="AY22" s="345"><f>IF(AR22&lt;$AH$6,"error",IF(AR22&gt;$AH$6*1.1,"error","aceptable"))</f><v /></c><c r="AZ22" s="345"><f>IF(AF22&lt;$V$6,"error",IF(AF22&gt;$V$6*1.1,"error","aceptable"))</f><v /></c><c r="BA22" s="345"><f>IF(T22&lt;$J$6*0.9,"error",IF(T22&gt;$J$6,"error","aceptable"))</f><v /></c><c r="BB22" s="346"><f>(IF(ABS(U22)&lt;1.05,"CONFORME",IF(ABS(AG22)&lt;1.05,"CONFORME",IF(ABS(AS22)&lt;2.55,"CONFORME","NO CONFORME"))))</f><v /></c><c r="BC22" s="347"><f>(IF(ABS(U22)&gt;2.05,"NO CONFORME",IF(ABS(AG22)&gt;2.05,"NO CONFORME",IF(ABS(AS22)&gt;5.05,"NO CONFORME","CONFORME"))))</f><v /></c><c r="BD22" s="348"><f>SIGN(U22)</f><v /></c><c r="BE22" s="348"><f>SIGN(AG22)</f><v /></c><c r="BF22" s="348"><f>SIGN(AS22)</f><v /></c><c r="BG22" s="348"><f>CONCATENATE(BD22,BE22,BF22)</f><v /></c><c r="BH22" s="348"><f>IF(BG22="111","SI","SD")</f><v /></c><c r="BI22" s="348"><f>IF(BG22="-1-1-1","SI","SD")</f><v /></c><c r="BJ22" s="348"><f>OR(BH22="SI",BI22="SI")</f><v /></c><c r="BK22" s="348"><f>IF(BJ22=FALSE,"SIGDIFERENTES","SIGIGUALES")</f><v /></c><c r="BL22" s="345"><f>IF(BC22="NO CONFORME","NO CONFORME",IF(BB22="CONFORME","CONFORME","NO CONFORME"))</f><v /></c><c r="BM22" s="66" t="n" /><c r="BN22" s="66" t="n" /></row><row r="23" ht="15" customHeight="1"><c r="A23" s="350" t="n"><v>15</v></c><c r="B23" s="351"><f>B22</f><v /></c><c r="C23" s="351"><f>C22</f><v /></c><c r="D23" s="352"><f>D22</f><v /></c><c r="E23" s="353"><f>E22</f><v /></c><c r="F23" s="12" t="n" /><c r="G23" s="327" t="inlineStr"><is><t>QA24366696</t></is></c><c r="H23" s="355"><f>H22</f><v /></c><c r="I23" s="90"><f>I22</f><v /></c><c r="J23" s="298"><f>J22</f><v /></c><c r="K23" s="356"><f>K22</f><v /></c><c r="L23" s="356"><f>L22</f><v /></c><c r="M23" s="357" t="n"><v>611.5599999999999</v></c><c r="N23" s="357" t="n"><v>711.7</v></c><c r="O23" s="358"><f>O22</f><v /></c><c r="P23" s="359"><f>P22</f><v /></c><c r="Q23" s="360"><f>LEFT(P23,1)</f><v /></c><c r="R23" s="360"><f>RIGHT(P23,6)</f><v /></c><c r="S23" s="360"><f>+(Q23*60+R23)/(60*60)</f><v /></c><c r="T23" s="361"><f>+O23/S23</f><v /></c><c r="U23" s="362"><f>+(((N23-M23-O23)/O23)*100)</f><v /></c><c r="V23" s="301"><f>V22</f><v /></c><c r="W23" s="363"><f>W22</f><v /></c><c r="X23" s="363"><f>X22</f><v /></c><c r="Y23" s="357" t="n"><v>729.96</v></c><c r="Z23" s="357" t="n"><v>735.02</v></c><c r="AA23" s="364"><f>AA22</f><v /></c><c r="AB23" s="365"><f>AB22</f><v /></c><c r="AC23" s="360"><f>LEFT(AB23,2)</f><v /></c><c r="AD23" s="360"><f>RIGHT(AB23,6)</f><v /></c><c r="AE23" s="360"><f>+(AC23*60+AD23)/(60*60)</f><v /></c><c r="AF23" s="361"><f>+AA23/AE23</f><v /></c><c r="AG23" s="303"><f>+(((Z23-Y23-AA23)/AA23)*100)</f><v /></c><c r="AH23" s="301"><f>AH22</f><v /></c><c r="AI23" s="363"><f>AI22</f><v /></c><c r="AJ23" s="363"><f>AJ22</f><v /></c><c r="AK23" s="357"><f>+Z23</f><v /></c><c r="AL23" s="357" t="n"><v>737.04</v></c><c r="AM23" s="366"><f>AM22</f><v /></c><c r="AN23" s="359"><f>AN22</f><v /></c><c r="AO23" s="360"><f>LEFT(AN23,2)</f><v /></c><c r="AP23" s="360"><f>RIGHT(AN23,6)</f><v /></c><c r="AQ23" s="360"><f>+(AO23*60+AP23)/(60*60)</f><v /></c><c r="AR23" s="361"><f>+AM23/AQ23</f><v /></c><c r="AS23" s="303"><f>+(((AL23-AK23-AM23)/AM23)*100)</f><v /></c><c r="AT23" s="367"><f>IF(I23&gt;=1,"NO CONFORME",IF(BK23="SIGDIFERENTES",BC23,BL23))</f><v /></c><c r="AU23" s="344"><f>B23&lt;=C23</f><v /></c><c r="AV23" s="344"><f>N23&lt;Y23</f><v /></c><c r="AW23" s="344"><f>Z23&lt;=AK23</f><v /></c><c r="AX23" s="344"><f>IF(I23&gt;=1,"Qcorrecto",IF(AND(AY23="aceptable",AZ23="aceptable",BA23="aceptable"),"Qcorrecto","Qincorrecto"))</f><v /></c><c r="AY23" s="345"><f>IF(AR23&lt;$AH$6,"error",IF(AR23&gt;$AH$6*1.1,"error","aceptable"))</f><v /></c><c r="AZ23" s="345"><f>IF(AF23&lt;$V$6,"error",IF(AF23&gt;$V$6*1.1,"error","aceptable"))</f><v /></c><c r="BA23" s="345"><f>IF(T23&lt;$J$6*0.9,"error",IF(T23&gt;$J$6,"error","aceptable"))</f><v /></c><c r="BB23" s="346"><f>(IF(ABS(U23)&lt;1.05,"CONFORME",IF(ABS(AG23)&lt;1.05,"CONFORME",IF(ABS(AS23)&lt;2.55,"CONFORME","NO CONFORME"))))</f><v /></c><c r="BC23" s="347"><f>(IF(ABS(U23)&gt;2.05,"NO CONFORME",IF(ABS(AG23)&gt;2.05,"NO CONFORME",IF(ABS(AS23)&gt;5.05,"NO CONFORME","CONFORME"))))</f><v /></c><c r="BD23" s="348"><f>SIGN(U23)</f><v /></c><c r="BE23" s="348"><f>SIGN(AG23)</f><v /></c><c r="BF23" s="348"><f>SIGN(AS23)</f><v /></c><c r="BG23" s="348"><f>CONCATENATE(BD23,BE23,BF23)</f><v /></c><c r="BH23" s="348"><f>IF(BG23="111","SI","SD")</f><v /></c><c r="BI23" s="348"><f>IF(BG23="-1-1-1","SI","SD")</f><v /></c><c r="BJ23" s="348"><f>OR(BH23="SI",BI23="SI")</f><v /></c><c r="BK23" s="348"><f>IF(BJ23=FALSE,"SIGDIFERENTES","SIGIGUALES")</f><v /></c><c r="BL23" s="345"><f>IF(BC23="NO CONFORME","NO CONFORME",IF(BB23="CONFORME","CONFORME","NO CONFORME"))</f><v /></c><c r="BM23" s="66" t="n" /><c r="BN23" s="66" t="n" /></row><row r="24" ht="15" customHeight="1" thickBot="1"><c r="A24" s="368" t="n"><v>16</v></c><c r="B24" s="369"><f>B23</f><v /></c><c r="C24" s="369"><f>C23</f><v /></c><c r="D24" s="370"><f>D23</f><v /></c><c r="E24" s="371"><f>E23</f><v /></c><c r="F24" s="372" t="n" /><c r="G24" s="373" t="inlineStr"><is><t>QA24366794</t></is></c><c r="H24" s="374"><f>H23</f><v /></c><c r="I24" s="375"><f>I23</f><v /></c><c r="J24" s="376"><f>J23</f><v /></c><c r="K24" s="377"><f>K23</f><v /></c><c r="L24" s="377"><f>L23</f><v /></c><c r="M24" s="378" t="n"><v>732.5700000000001</v></c><c r="N24" s="378" t="n"><v>833.46</v></c><c r="O24" s="379"><f>O23</f><v /></c><c r="P24" s="380"><f>P23</f><v /></c><c r="Q24" s="381"><f>LEFT(P24,1)</f><v /></c><c r="R24" s="381"><f>RIGHT(P24,6)</f><v /></c><c r="S24" s="381"><f>+(Q24*60+R24)/(60*60)</f><v /></c><c r="T24" s="382"><f>+O24/S24</f><v /></c><c r="U24" s="383"><f>+(((N24-M24-O24)/O24)*100)</f><v /></c><c r="V24" s="384"><f>V23</f><v /></c><c r="W24" s="385"><f>W23</f><v /></c><c r="X24" s="385"><f>X23</f><v /></c><c r="Y24" s="378" t="n"><v>851.77</v></c><c r="Z24" s="378" t="n"><v>856.83</v></c><c r="AA24" s="386"><f>AA23</f><v /></c><c r="AB24" s="387"><f>AB23</f><v /></c><c r="AC24" s="381"><f>LEFT(AB24,2)</f><v /></c><c r="AD24" s="381"><f>RIGHT(AB24,6)</f><v /></c><c r="AE24" s="381"><f>+(AC24*60+AD24)/(60*60)</f><v /></c><c r="AF24" s="382"><f>+AA24/AE24</f><v /></c><c r="AG24" s="388"><f>+(((Z24-Y24-AA24)/AA24)*100)</f><v /></c><c r="AH24" s="384"><f>AH23</f><v /></c><c r="AI24" s="385"><f>AI23</f><v /></c><c r="AJ24" s="385"><f>AJ23</f><v /></c><c r="AK24" s="378"><f>+Z24</f><v /></c><c r="AL24" s="378" t="n"><v>858.85</v></c><c r="AM24" s="389"><f>AM23</f><v /></c><c r="AN24" s="380"><f>AN23</f><v /></c><c r="AO24" s="381"><f>LEFT(AN24,2)</f><v /></c><c r="AP24" s="381"><f>RIGHT(AN24,6)</f><v /></c><c r="AQ24" s="381"><f>+(AO24*60+AP24)/(60*60)</f><v /></c><c r="AR24" s="382"><f>+AM24/AQ24</f><v /></c><c r="AS24" s="388"><f>+(((AL24-AK24-AM24)/AM24)*100)</f><v /></c><c r="AT24" s="390"><f>IF(I24&gt;=1,"NO CONFORME",IF(BK24="SIGDIFERENTES",BC24,BL24))</f><v /></c><c r="AU24" s="391"><f>B24&lt;=C24</f><v /></c><c r="AV24" s="391"><f>N24&lt;Y24</f><v /></c><c r="AW24" s="391"><f>Z24&lt;=AK24</f><v /></c><c r="AX24" s="391"><f>IF(I24&gt;=1,"Qcorrecto",IF(AND(AY24="aceptable",AZ24="aceptable",BA24="aceptable"),"Qcorrecto","Qincorrecto"))</f><v /></c><c r="AY24" s="392"><f>IF(AR24&lt;$AH$6,"error",IF(AR24&gt;$AH$6*1.1,"error","aceptable"))</f><v /></c><c r="AZ24" s="392"><f>IF(AF24&lt;$V$6,"error",IF(AF24&gt;$V$6*1.1,"error","aceptable"))</f><v /></c><c r="BA24" s="392"><f>IF(T24&lt;$J$6*0.9,"error",IF(T24&gt;$J$6,"error","aceptable"))</f><v /></c><c r="BB24" s="393"><f>(IF(ABS(U24)&lt;1.05,"CONFORME",IF(ABS(AG24)&lt;1.05,"CONFORME",IF(ABS(AS24)&lt;2.55,"CONFORME","NO CONFORME"))))</f><v /></c><c r="BC24" s="394"><f>(IF(ABS(U24)&gt;2.05,"NO CONFORME",IF(ABS(AG24)&gt;2.05,"NO CONFORME",IF(ABS(AS24)&gt;5.05,"NO CONFORME","CONFORME"))))</f><v /></c><c r="BD24" s="395"><f>SIGN(U24)</f><v /></c><c r="BE24" s="395"><f>SIGN(AG24)</f><v /></c><c r="BF24" s="395"><f>SIGN(AS24)</f><v /></c><c r="BG24" s="395"><f>CONCATENATE(BD24,BE24,BF24)</f><v /></c><c r="BH24" s="395"><f>IF(BG24="111","SI","SD")</f><v /></c><c r="BI24" s="395"><f>IF(BG24="-1-1-1","SI","SD")</f><v /></c><c r="BJ24" s="395"><f>OR(BH24="SI",BI24="SI")</f><v /></c><c r="BK24" s="395"><f>IF(BJ24=FALSE,"SIGDIFERENTES","SIGIGUALES")</f><v /></c><c r="BL24" s="392"><f>IF(BC24="NO CONFORME","NO CONFORME",IF(BB24="CONFORME","CONFORME","NO CONFORME"))</f><v /></c><c r="BM24" s="66" t="n" /><c r="BN24" s="66" t="n" /></row><row r="25" ht="15" customHeight="1"><c r="A25" s="322" t="n"><v>17</v></c><c r="B25" s="323" t="n"><v>45903</v></c><c r="C25" s="323"><f>C24</f><v /></c><c r="D25" s="324" t="n"><v>3</v></c><c r="E25" s="325" t="n"><v>11</v></c><c r="F25" s="326" t="n" /><c r="G25" s="327" t="inlineStr"><is><t>QA24366721</t></is></c><c r="H25" s="328" t="n"><v>25.6</v></c><c r="I25" s="329" t="n"><v>0</v></c><c r="J25" s="330" t="n"><v>16</v></c><c r="K25" s="331" t="n"><v>8.169</v></c><c r="L25" s="331" t="n"><v>0.879</v></c><c r="M25" s="332" t="n"><v>1072.49</v></c><c r="N25" s="332" t="n"><v>1172.68</v></c><c r="O25" s="333" t="n"><v>100.65</v></c><c r="P25" s="334" t="inlineStr"><is><t>2,31,180</t></is></c><c r="Q25" s="335"><f>LEFT(P25,1)</f><v /></c><c r="R25" s="335"><f>RIGHT(P25,6)</f><v /></c><c r="S25" s="335"><f>+(Q25*60+R25)/(60*60)</f><v /></c><c r="T25" s="336"><f>+O25/S25</f><v /></c><c r="U25" s="337"><f>+(((N25-M25-O25)/O25)*100)</f><v /></c><c r="V25" s="338" t="n"><v>19.8</v></c><c r="W25" s="339" t="n"><v>1.08</v></c><c r="X25" s="339" t="n"><v>1.075</v></c><c r="Y25" s="332" t="n"><v>1177.25</v></c><c r="Z25" s="332" t="n"><v>1182.3</v></c><c r="AA25" s="340" t="n"><v>5.015</v></c><c r="AB25" s="334" t="inlineStr"><is><t>9,05,040</t></is></c><c r="AC25" s="335"><f>LEFT(AB25,2)</f><v /></c><c r="AD25" s="335"><f>RIGHT(AB25,6)</f><v /></c><c r="AE25" s="335"><f>+(AC25*60+AD25)/(60*60)</f><v /></c><c r="AF25" s="336"><f>+AA25/AE25</f><v /></c><c r="AG25" s="341"><f>+(((Z25-Y25-AA25)/AA25)*100)</f><v /></c><c r="AH25" s="338" t="n"><v>19.6</v></c><c r="AI25" s="339" t="n"><v>1.086</v></c><c r="AJ25" s="339" t="n"><v>1.078</v></c><c r="AK25" s="332"><f>+Z25</f><v /></c><c r="AL25" s="332" t="n"><v>1184.34</v></c><c r="AM25" s="342" t="n"><v>2.006</v></c><c r="AN25" s="334" t="inlineStr"><is><t>5,40,620</t></is></c><c r="AO25" s="335"><f>LEFT(AN25,2)</f><v /></c><c r="AP25" s="335"><f>RIGHT(AN25,6)</f><v /></c><c r="AQ25" s="335"><f>+(AO25*60+AP25)/(60*60)</f><v /></c><c r="AR25" s="336"><f>+AM25/AQ25</f><v /></c><c r="AS25" s="341"><f>+(((AL25-AK25-AM25)/AM25)*100)</f><v /></c><c r="AT25" s="343"><f>IF(I25&gt;=1,"NO CONFORME",IF(BK25="SIGDIFERENTES",BC25,BL25))</f><v /></c><c r="AU25" s="344"><f>B25&lt;=C25</f><v /></c><c r="AV25" s="344"><f>N25&lt;Y25</f><v /></c><c r="AW25" s="344"><f>Z25&lt;=AK25</f><v /></c><c r="AX25" s="344"><f>IF(I25&gt;=1,"Qcorrecto",IF(AND(AY25="aceptable",AZ25="aceptable",BA25="aceptable"),"Qcorrecto","Qincorrecto"))</f><v /></c><c r="AY25" s="345"><f>IF(AR25&lt;$AH$6,"error",IF(AR25&gt;$AH$6*1.1,"error","aceptable"))</f><v /></c><c r="AZ25" s="345"><f>IF(AF25&lt;$V$6,"error",IF(AF25&gt;$V$6*1.1,"error","aceptable"))</f><v /></c><c r="BA25" s="345"><f>IF(T25&lt;$J$6*0.9,"error",IF(T25&gt;$J$6,"error","aceptable"))</f><v /></c><c r="BB25" s="346"><f>(IF(ABS(U25)&lt;1.05,"CONFORME",IF(ABS(AG25)&lt;1.05,"CONFORME",IF(ABS(AS25)&lt;2.55,"CONFORME","NO CONFORME"))))</f><v /></c><c r="BC25" s="347"><f>(IF(ABS(U25)&gt;2.05,"NO CONFORME",IF(ABS(AG25)&gt;2.05,"NO CONFORME",IF(ABS(AS25)&gt;5.05,"NO CONFORME","CONFORME"))))</f><v /></c><c r="BD25" s="348"><f>SIGN(U25)</f><v /></c><c r="BE25" s="348"><f>SIGN(AG25)</f><v /></c><c r="BF25" s="348"><f>SIGN(AS25)</f><v /></c><c r="BG25" s="348"><f>CONCATENATE(BD25,BE25,BF25)</f><v /></c><c r="BH25" s="348"><f>IF(BG25="111","SI","SD")</f><v /></c><c r="BI25" s="348"><f>IF(BG25="-1-1-1","SI","SD")</f><v /></c><c r="BJ25" s="348"><f>OR(BH25="SI",BI25="SI")</f><v /></c><c r="BK25" s="348"><f>IF(BJ25=FALSE,"SIGDIFERENTES","SIGIGUALES")</f><v /></c><c r="BL25" s="349"><f>IF(BC25="NO CONFORME","NO CONFORME",IF(BB25="CONFORME","CONFORME","NO CONFORME"))</f><v /></c><c r="BM25" s="66" t="n" /><c r="BN25" s="66" t="n" /></row><row r="26" ht="15" customHeight="1" thickBot="1"><c r="A26" s="350" t="n"><v>18</v></c><c r="B26" s="351"><f>B25</f><v /></c><c r="C26" s="351"><f>C25</f><v /></c><c r="D26" s="352"><f>D25</f><v /></c><c r="E26" s="353"><f>E25</f><v /></c><c r="F26" s="12" t="n" /><c r="G26" s="354" t="inlineStr"><is><t>QA24366496</t></is></c><c r="H26" s="355"><f>H25</f><v /></c><c r="I26" s="90"><f>I25</f><v /></c><c r="J26" s="298"><f>J25</f><v /></c><c r="K26" s="356"><f>K25</f><v /></c><c r="L26" s="356"><f>L25</f><v /></c><c r="M26" s="357" t="n"><v>745.29</v></c><c r="N26" s="357" t="n"><v>845.72</v></c><c r="O26" s="358"><f>O25</f><v /></c><c r="P26" s="359"><f>P25</f><v /></c><c r="Q26" s="360"><f>LEFT(P26,1)</f><v /></c><c r="R26" s="360"><f>RIGHT(P26,6)</f><v /></c><c r="S26" s="360"><f>+(Q26*60+R26)/(60*60)</f><v /></c><c r="T26" s="361"><f>+O26/S26</f><v /></c><c r="U26" s="362"><f>+(((N26-M26-O26)/O26)*100)</f><v /></c><c r="V26" s="301"><f>V25</f><v /></c><c r="W26" s="363"><f>W25</f><v /></c><c r="X26" s="363"><f>X25</f><v /></c><c r="Y26" s="357" t="n"><v>850.3200000000001</v></c><c r="Z26" s="357" t="n"><v>855.4</v></c><c r="AA26" s="364"><f>AA25</f><v /></c><c r="AB26" s="365"><f>AB25</f><v /></c><c r="AC26" s="360"><f>LEFT(AB26,2)</f><v /></c><c r="AD26" s="360"><f>RIGHT(AB26,6)</f><v /></c><c r="AE26" s="360"><f>+(AC26*60+AD26)/(60*60)</f><v /></c><c r="AF26" s="361"><f>+AA26/AE26</f><v /></c><c r="AG26" s="303"><f>+(((Z26-Y26-AA26)/AA26)*100)</f><v /></c><c r="AH26" s="301"><f>AH25</f><v /></c><c r="AI26" s="363"><f>AI25</f><v /></c><c r="AJ26" s="363"><f>AJ25</f><v /></c><c r="AK26" s="357"><f>+Z26</f><v /></c><c r="AL26" s="357" t="n"><v>857.4400000000001</v></c><c r="AM26" s="366"><f>AM25</f><v /></c><c r="AN26" s="359"><f>AN25</f><v /></c><c r="AO26" s="360"><f>LEFT(AN26,2)</f><v /></c><c r="AP26" s="360"><f>RIGHT(AN26,6)</f><v /></c><c r="AQ26" s="360"><f>+(AO26*60+AP26)/(60*60)</f><v /></c><c r="AR26" s="361"><f>+AM26/AQ26</f><v /></c><c r="AS26" s="303"><f>+(((AL26-AK26-AM26)/AM26)*100)</f><v /></c><c r="AT26" s="367"><f>IF(I26&gt;=1,"NO CONFORME",IF(BK26="SIGDIFERENTES",BC26,BL26))</f><v /></c><c r="AU26" s="344"><f>B26&lt;=C26</f><v /></c><c r="AV26" s="344"><f>N26&lt;Y26</f><v /></c><c r="AW26" s="344"><f>Z26&lt;=AK26</f><v /></c><c r="AX26" s="344"><f>IF(I26&gt;=1,"Qcorrecto",IF(AND(AY26="aceptable",AZ26="aceptable",BA26="aceptable"),"Qcorrecto","Qincorrecto"))</f><v /></c><c r="AY26" s="345"><f>IF(AR26&lt;$AH$6,"error",IF(AR26&gt;$AH$6*1.1,"error","aceptable"))</f><v /></c><c r="AZ26" s="345"><f>IF(AF26&lt;$V$6,"error",IF(AF26&gt;$V$6*1.1,"error","aceptable"))</f><v /></c><c r="BA26" s="345"><f>IF(T26&lt;$J$6*0.9,"error",IF(T26&gt;$J$6,"error","aceptable"))</f><v /></c><c r="BB26" s="346"><f>(IF(ABS(U26)&lt;1.05,"CONFORME",IF(ABS(AG26)&lt;1.05,"CONFORME",IF(ABS(AS26)&lt;2.55,"CONFORME","NO CONFORME"))))</f><v /></c><c r="BC26" s="347"><f>(IF(ABS(U26)&gt;2.05,"NO CONFORME",IF(ABS(AG26)&gt;2.05,"NO CONFORME",IF(ABS(AS26)&gt;5.05,"NO CONFORME","CONFORME"))))</f><v /></c><c r="BD26" s="348"><f>SIGN(U26)</f><v /></c><c r="BE26" s="348"><f>SIGN(AG26)</f><v /></c><c r="BF26" s="348"><f>SIGN(AS26)</f><v /></c><c r="BG26" s="348"><f>CONCATENATE(BD26,BE26,BF26)</f><v /></c><c r="BH26" s="348"><f>IF(BG26="111","SI","SD")</f><v /></c><c r="BI26" s="348"><f>IF(BG26="-1-1-1","SI","SD")</f><v /></c><c r="BJ26" s="348"><f>OR(BH26="SI",BI26="SI")</f><v /></c><c r="BK26" s="348"><f>IF(BJ26=FALSE,"SIGDIFERENTES","SIGIGUALES")</f><v /></c><c r="BL26" s="345"><f>IF(BC26="NO CONFORME","NO CONFORME",IF(BB26="CONFORME","CONFORME","NO CONFORME"))</f><v /></c><c r="BM26" s="66" t="n" /><c r="BN26" s="66" t="n" /></row><row r="27" ht="15" customHeight="1"><c r="A27" s="350" t="n"><v>19</v></c><c r="B27" s="351"><f>B26</f><v /></c><c r="C27" s="351"><f>C26</f><v /></c><c r="D27" s="352"><f>D26</f><v /></c><c r="E27" s="353"><f>E26</f><v /></c><c r="F27" s="12" t="n" /><c r="G27" s="327" t="inlineStr"><is><t>QA24366389</t></is></c><c r="H27" s="355"><f>H26</f><v /></c><c r="I27" s="90"><f>I26</f><v /></c><c r="J27" s="298"><f>J26</f><v /></c><c r="K27" s="356"><f>K26</f><v /></c><c r="L27" s="356"><f>L26</f><v /></c><c r="M27" s="357" t="n"><v>694.54</v></c><c r="N27" s="357" t="n"><v>794.98</v></c><c r="O27" s="358"><f>O26</f><v /></c><c r="P27" s="359"><f>P26</f><v /></c><c r="Q27" s="360"><f>LEFT(P27,1)</f><v /></c><c r="R27" s="360"><f>RIGHT(P27,6)</f><v /></c><c r="S27" s="360"><f>+(Q27*60+R27)/(60*60)</f><v /></c><c r="T27" s="361"><f>+O27/S27</f><v /></c><c r="U27" s="362"><f>+(((N27-M27-O27)/O27)*100)</f><v /></c><c r="V27" s="301"><f>V26</f><v /></c><c r="W27" s="363"><f>W26</f><v /></c><c r="X27" s="363"><f>X26</f><v /></c><c r="Y27" s="357" t="n"><v>799.59</v></c><c r="Z27" s="357" t="n"><v>804.61</v></c><c r="AA27" s="364"><f>AA26</f><v /></c><c r="AB27" s="365"><f>AB26</f><v /></c><c r="AC27" s="360"><f>LEFT(AB27,2)</f><v /></c><c r="AD27" s="360"><f>RIGHT(AB27,6)</f><v /></c><c r="AE27" s="360"><f>+(AC27*60+AD27)/(60*60)</f><v /></c><c r="AF27" s="361"><f>+AA27/AE27</f><v /></c><c r="AG27" s="303"><f>+(((Z27-Y27-AA27)/AA27)*100)</f><v /></c><c r="AH27" s="301"><f>AH26</f><v /></c><c r="AI27" s="363"><f>AI26</f><v /></c><c r="AJ27" s="363"><f>AJ26</f><v /></c><c r="AK27" s="357"><f>+Z27</f><v /></c><c r="AL27" s="357" t="n"><v>806.64</v></c><c r="AM27" s="366"><f>AM26</f><v /></c><c r="AN27" s="359"><f>AN26</f><v /></c><c r="AO27" s="360"><f>LEFT(AN27,2)</f><v /></c><c r="AP27" s="360"><f>RIGHT(AN27,6)</f><v /></c><c r="AQ27" s="360"><f>+(AO27*60+AP27)/(60*60)</f><v /></c><c r="AR27" s="361"><f>+AM27/AQ27</f><v /></c><c r="AS27" s="303"><f>+(((AL27-AK27-AM27)/AM27)*100)</f><v /></c><c r="AT27" s="367"><f>IF(I27&gt;=1,"NO CONFORME",IF(BK27="SIGDIFERENTES",BC27,BL27))</f><v /></c><c r="AU27" s="344"><f>B27&lt;=C27</f><v /></c><c r="AV27" s="344"><f>N27&lt;Y27</f><v /></c><c r="AW27" s="344"><f>Z27&lt;=AK27</f><v /></c><c r="AX27" s="344"><f>IF(I27&gt;=1,"Qcorrecto",IF(AND(AY27="aceptable",AZ27="aceptable",BA27="aceptable"),"Qcorrecto","Qincorrecto"))</f><v /></c><c r="AY27" s="345"><f>IF(AR27&lt;$AH$6,"error",IF(AR27&gt;$AH$6*1.1,"error","aceptable"))</f><v /></c><c r="AZ27" s="345"><f>IF(AF27&lt;$V$6,"error",IF(AF27&gt;$V$6*1.1,"error","aceptable"))</f><v /></c><c r="BA27" s="345"><f>IF(T27&lt;$J$6*0.9,"error",IF(T27&gt;$J$6,"error","aceptable"))</f><v /></c><c r="BB27" s="346"><f>(IF(ABS(U27)&lt;1.05,"CONFORME",IF(ABS(AG27)&lt;1.05,"CONFORME",IF(ABS(AS27)&lt;2.55,"CONFORME","NO CONFORME"))))</f><v /></c><c r="BC27" s="347"><f>(IF(ABS(U27)&gt;2.05,"NO CONFORME",IF(ABS(AG27)&gt;2.05,"NO CONFORME",IF(ABS(AS27)&gt;5.05,"NO CONFORME","CONFORME"))))</f><v /></c><c r="BD27" s="348"><f>SIGN(U27)</f><v /></c><c r="BE27" s="348"><f>SIGN(AG27)</f><v /></c><c r="BF27" s="348"><f>SIGN(AS27)</f><v /></c><c r="BG27" s="348"><f>CONCATENATE(BD27,BE27,BF27)</f><v /></c><c r="BH27" s="348"><f>IF(BG27="111","SI","SD")</f><v /></c><c r="BI27" s="348"><f>IF(BG27="-1-1-1","SI","SD")</f><v /></c><c r="BJ27" s="348"><f>OR(BH27="SI",BI27="SI")</f><v /></c><c r="BK27" s="348"><f>IF(BJ27=FALSE,"SIGDIFERENTES","SIGIGUALES")</f><v /></c><c r="BL27" s="345"><f>IF(BC27="NO CONFORME","NO CONFORME",IF(BB27="CONFORME","CONFORME","NO CONFORME"))</f><v /></c><c r="BM27" s="66" t="n" /><c r="BN27" s="66" t="n" /></row><row r="28" ht="15" customHeight="1" thickBot="1"><c r="A28" s="350" t="n"><v>20</v></c><c r="B28" s="351"><f>B27</f><v /></c><c r="C28" s="351"><f>C27</f><v /></c><c r="D28" s="352"><f>D27</f><v /></c><c r="E28" s="353"><f>E27</f><v /></c><c r="F28" s="12" t="n" /><c r="G28" s="354" t="inlineStr"><is><t>QA24366557</t></is></c><c r="H28" s="355"><f>H27</f><v /></c><c r="I28" s="90"><f>I27</f><v /></c><c r="J28" s="298"><f>J27</f><v /></c><c r="K28" s="356"><f>K27</f><v /></c><c r="L28" s="356"><f>L27</f><v /></c><c r="M28" s="357" t="n"><v>737.74</v></c><c r="N28" s="357" t="n"><v>838.34</v></c><c r="O28" s="358"><f>O27</f><v /></c><c r="P28" s="359"><f>P27</f><v /></c><c r="Q28" s="360"><f>LEFT(P28,1)</f><v /></c><c r="R28" s="360"><f>RIGHT(P28,6)</f><v /></c><c r="S28" s="360"><f>+(Q28*60+R28)/(60*60)</f><v /></c><c r="T28" s="361"><f>+O28/S28</f><v /></c><c r="U28" s="362"><f>+(((N28-M28-O28)/O28)*100)</f><v /></c><c r="V28" s="301"><f>V27</f><v /></c><c r="W28" s="363"><f>W27</f><v /></c><c r="X28" s="363"><f>X27</f><v /></c><c r="Y28" s="357" t="n"><v>842.97</v></c><c r="Z28" s="357" t="n"><v>848.03</v></c><c r="AA28" s="364"><f>AA27</f><v /></c><c r="AB28" s="365"><f>AB27</f><v /></c><c r="AC28" s="360"><f>LEFT(AB28,2)</f><v /></c><c r="AD28" s="360"><f>RIGHT(AB28,6)</f><v /></c><c r="AE28" s="360"><f>+(AC28*60+AD28)/(60*60)</f><v /></c><c r="AF28" s="361"><f>+AA28/AE28</f><v /></c><c r="AG28" s="303"><f>+(((Z28-Y28-AA28)/AA28)*100)</f><v /></c><c r="AH28" s="301"><f>AH27</f><v /></c><c r="AI28" s="363"><f>AI27</f><v /></c><c r="AJ28" s="363"><f>AJ27</f><v /></c><c r="AK28" s="357"><f>+Z28</f><v /></c><c r="AL28" s="357" t="n"><v>850.05</v></c><c r="AM28" s="366"><f>AM27</f><v /></c><c r="AN28" s="359"><f>AN27</f><v /></c><c r="AO28" s="360"><f>LEFT(AN28,2)</f><v /></c><c r="AP28" s="360"><f>RIGHT(AN28,6)</f><v /></c><c r="AQ28" s="360"><f>+(AO28*60+AP28)/(60*60)</f><v /></c><c r="AR28" s="361"><f>+AM28/AQ28</f><v /></c><c r="AS28" s="303"><f>+(((AL28-AK28-AM28)/AM28)*100)</f><v /></c><c r="AT28" s="367"><f>IF(I28&gt;=1,"NO CONFORME",IF(BK28="SIGDIFERENTES",BC28,BL28))</f><v /></c><c r="AU28" s="344"><f>B28&lt;=C28</f><v /></c><c r="AV28" s="344"><f>N28&lt;Y28</f><v /></c><c r="AW28" s="344"><f>Z28&lt;=AK28</f><v /></c><c r="AX28" s="344"><f>IF(I28&gt;=1,"Qcorrecto",IF(AND(AY28="aceptable",AZ28="aceptable",BA28="aceptable"),"Qcorrecto","Qincorrecto"))</f><v /></c><c r="AY28" s="345"><f>IF(AR28&lt;$AH$6,"error",IF(AR28&gt;$AH$6*1.1,"error","aceptable"))</f><v /></c><c r="AZ28" s="345"><f>IF(AF28&lt;$V$6,"error",IF(AF28&gt;$V$6*1.1,"error","aceptable"))</f><v /></c><c r="BA28" s="345"><f>IF(T28&lt;$J$6*0.9,"error",IF(T28&gt;$J$6,"error","aceptable"))</f><v /></c><c r="BB28" s="346"><f>(IF(ABS(U28)&lt;1.05,"CONFORME",IF(ABS(AG28)&lt;1.05,"CONFORME",IF(ABS(AS28)&lt;2.55,"CONFORME","NO CONFORME"))))</f><v /></c><c r="BC28" s="347"><f>(IF(ABS(U28)&gt;2.05,"NO CONFORME",IF(ABS(AG28)&gt;2.05,"NO CONFORME",IF(ABS(AS28)&gt;5.05,"NO CONFORME","CONFORME"))))</f><v /></c><c r="BD28" s="348"><f>SIGN(U28)</f><v /></c><c r="BE28" s="348"><f>SIGN(AG28)</f><v /></c><c r="BF28" s="348"><f>SIGN(AS28)</f><v /></c><c r="BG28" s="348"><f>CONCATENATE(BD28,BE28,BF28)</f><v /></c><c r="BH28" s="348"><f>IF(BG28="111","SI","SD")</f><v /></c><c r="BI28" s="348"><f>IF(BG28="-1-1-1","SI","SD")</f><v /></c><c r="BJ28" s="348"><f>OR(BH28="SI",BI28="SI")</f><v /></c><c r="BK28" s="348"><f>IF(BJ28=FALSE,"SIGDIFERENTES","SIGIGUALES")</f><v /></c><c r="BL28" s="345"><f>IF(BC28="NO CONFORME","NO CONFORME",IF(BB28="CONFORME","CONFORME","NO CONFORME"))</f><v /></c><c r="BM28" s="66" t="n" /><c r="BN28" s="66" t="n" /></row><row r="29" ht="15" customHeight="1"><c r="A29" s="350" t="n"><v>21</v></c><c r="B29" s="351"><f>B28</f><v /></c><c r="C29" s="351"><f>C28</f><v /></c><c r="D29" s="352"><f>D28</f><v /></c><c r="E29" s="353"><f>E28</f><v /></c><c r="F29" s="12" t="n" /><c r="G29" s="327" t="inlineStr"><is><t>QA24366359</t></is></c><c r="H29" s="355"><f>H28</f><v /></c><c r="I29" s="90"><f>I28</f><v /></c><c r="J29" s="298"><f>J28</f><v /></c><c r="K29" s="356"><f>K28</f><v /></c><c r="L29" s="356"><f>L28</f><v /></c><c r="M29" s="357" t="n"><v>971.91</v></c><c r="N29" s="357" t="n"><v>1072.54</v></c><c r="O29" s="358"><f>O28</f><v /></c><c r="P29" s="359"><f>P28</f><v /></c><c r="Q29" s="360"><f>LEFT(P29,1)</f><v /></c><c r="R29" s="360"><f>RIGHT(P29,6)</f><v /></c><c r="S29" s="360"><f>+(Q29*60+R29)/(60*60)</f><v /></c><c r="T29" s="361"><f>+O29/S29</f><v /></c><c r="U29" s="362"><f>+(((N29-M29-O29)/O29)*100)</f><v /></c><c r="V29" s="301"><f>V28</f><v /></c><c r="W29" s="363"><f>W28</f><v /></c><c r="X29" s="363"><f>X28</f><v /></c><c r="Y29" s="357" t="n"><v>1077.12</v></c><c r="Z29" s="357" t="n"><v>1082.15</v></c><c r="AA29" s="364"><f>AA28</f><v /></c><c r="AB29" s="365"><f>AB28</f><v /></c><c r="AC29" s="360"><f>LEFT(AB29,2)</f><v /></c><c r="AD29" s="360"><f>RIGHT(AB29,6)</f><v /></c><c r="AE29" s="360"><f>+(AC29*60+AD29)/(60*60)</f><v /></c><c r="AF29" s="361"><f>+AA29/AE29</f><v /></c><c r="AG29" s="303"><f>+(((Z29-Y29-AA29)/AA29)*100)</f><v /></c><c r="AH29" s="301"><f>AH28</f><v /></c><c r="AI29" s="363"><f>AI28</f><v /></c><c r="AJ29" s="363"><f>AJ28</f><v /></c><c r="AK29" s="357"><f>+Z29</f><v /></c><c r="AL29" s="357" t="n"><v>1084.16</v></c><c r="AM29" s="366"><f>AM28</f><v /></c><c r="AN29" s="359"><f>AN28</f><v /></c><c r="AO29" s="360"><f>LEFT(AN29,2)</f><v /></c><c r="AP29" s="360"><f>RIGHT(AN29,6)</f><v /></c><c r="AQ29" s="360"><f>+(AO29*60+AP29)/(60*60)</f><v /></c><c r="AR29" s="361"><f>+AM29/AQ29</f><v /></c><c r="AS29" s="303"><f>+(((AL29-AK29-AM29)/AM29)*100)</f><v /></c><c r="AT29" s="367"><f>IF(I29&gt;=1,"NO CONFORME",IF(BK29="SIGDIFERENTES",BC29,BL29))</f><v /></c><c r="AU29" s="344"><f>B29&lt;=C29</f><v /></c><c r="AV29" s="344"><f>N29&lt;Y29</f><v /></c><c r="AW29" s="344"><f>Z29&lt;=AK29</f><v /></c><c r="AX29" s="344"><f>IF(I29&gt;=1,"Qcorrecto",IF(AND(AY29="aceptable",AZ29="aceptable",BA29="aceptable"),"Qcorrecto","Qincorrecto"))</f><v /></c><c r="AY29" s="345"><f>IF(AR29&lt;$AH$6,"error",IF(AR29&gt;$AH$6*1.1,"error","aceptable"))</f><v /></c><c r="AZ29" s="345"><f>IF(AF29&lt;$V$6,"error",IF(AF29&gt;$V$6*1.1,"error","aceptable"))</f><v /></c><c r="BA29" s="345"><f>IF(T29&lt;$J$6*0.9,"error",IF(T29&gt;$J$6,"error","aceptable"))</f><v /></c><c r="BB29" s="346"><f>(IF(ABS(U29)&lt;1.05,"CONFORME",IF(ABS(AG29)&lt;1.05,"CONFORME",IF(ABS(AS29)&lt;2.55,"CONFORME","NO CONFORME"))))</f><v /></c><c r="BC29" s="347"><f>(IF(ABS(U29)&gt;2.05,"NO CONFORME",IF(ABS(AG29)&gt;2.05,"NO CONFORME",IF(ABS(AS29)&gt;5.05,"NO CONFORME","CONFORME"))))</f><v /></c><c r="BD29" s="348"><f>SIGN(U29)</f><v /></c><c r="BE29" s="348"><f>SIGN(AG29)</f><v /></c><c r="BF29" s="348"><f>SIGN(AS29)</f><v /></c><c r="BG29" s="348"><f>CONCATENATE(BD29,BE29,BF29)</f><v /></c><c r="BH29" s="348"><f>IF(BG29="111","SI","SD")</f><v /></c><c r="BI29" s="348"><f>IF(BG29="-1-1-1","SI","SD")</f><v /></c><c r="BJ29" s="348"><f>OR(BH29="SI",BI29="SI")</f><v /></c><c r="BK29" s="348"><f>IF(BJ29=FALSE,"SIGDIFERENTES","SIGIGUALES")</f><v /></c><c r="BL29" s="345"><f>IF(BC29="NO CONFORME","NO CONFORME",IF(BB29="CONFORME","CONFORME","NO CONFORME"))</f><v /></c><c r="BM29" s="66" t="n" /><c r="BN29" s="66" t="n" /></row><row r="30" ht="15" customHeight="1" thickBot="1"><c r="A30" s="350" t="n"><v>22</v></c><c r="B30" s="351"><f>B29</f><v /></c><c r="C30" s="351"><f>C29</f><v /></c><c r="D30" s="352"><f>D29</f><v /></c><c r="E30" s="353"><f>E29</f><v /></c><c r="F30" s="12" t="n" /><c r="G30" s="354" t="inlineStr"><is><t>QA24366821</t></is></c><c r="H30" s="355"><f>H29</f><v /></c><c r="I30" s="90"><f>I29</f><v /></c><c r="J30" s="298"><f>J29</f><v /></c><c r="K30" s="356"><f>K29</f><v /></c><c r="L30" s="356"><f>L29</f><v /></c><c r="M30" s="357" t="n"><v>745.36</v></c><c r="N30" s="357" t="n"><v>846.29</v></c><c r="O30" s="358"><f>O29</f><v /></c><c r="P30" s="359"><f>P29</f><v /></c><c r="Q30" s="360"><f>LEFT(P30,1)</f><v /></c><c r="R30" s="360"><f>RIGHT(P30,6)</f><v /></c><c r="S30" s="360"><f>+(Q30*60+R30)/(60*60)</f><v /></c><c r="T30" s="361"><f>+O30/S30</f><v /></c><c r="U30" s="362"><f>+(((N30-M30-O30)/O30)*100)</f><v /></c><c r="V30" s="301"><f>V29</f><v /></c><c r="W30" s="363"><f>W29</f><v /></c><c r="X30" s="363"><f>X29</f><v /></c><c r="Y30" s="357" t="n"><v>850.9400000000001</v></c><c r="Z30" s="357" t="n"><v>855.98</v></c><c r="AA30" s="364"><f>AA29</f><v /></c><c r="AB30" s="365"><f>AB29</f><v /></c><c r="AC30" s="360"><f>LEFT(AB30,2)</f><v /></c><c r="AD30" s="360"><f>RIGHT(AB30,6)</f><v /></c><c r="AE30" s="360"><f>+(AC30*60+AD30)/(60*60)</f><v /></c><c r="AF30" s="361"><f>+AA30/AE30</f><v /></c><c r="AG30" s="303"><f>+(((Z30-Y30-AA30)/AA30)*100)</f><v /></c><c r="AH30" s="301"><f>AH29</f><v /></c><c r="AI30" s="363"><f>AI29</f><v /></c><c r="AJ30" s="363"><f>AJ29</f><v /></c><c r="AK30" s="357"><f>+Z30</f><v /></c><c r="AL30" s="357" t="n"><v>858</v></c><c r="AM30" s="366"><f>AM29</f><v /></c><c r="AN30" s="359"><f>AN29</f><v /></c><c r="AO30" s="360"><f>LEFT(AN30,2)</f><v /></c><c r="AP30" s="360"><f>RIGHT(AN30,6)</f><v /></c><c r="AQ30" s="360"><f>+(AO30*60+AP30)/(60*60)</f><v /></c><c r="AR30" s="361"><f>+AM30/AQ30</f><v /></c><c r="AS30" s="303"><f>+(((AL30-AK30-AM30)/AM30)*100)</f><v /></c><c r="AT30" s="367"><f>IF(I30&gt;=1,"NO CONFORME",IF(BK30="SIGDIFERENTES",BC30,BL30))</f><v /></c><c r="AU30" s="344"><f>B30&lt;=C30</f><v /></c><c r="AV30" s="344"><f>N30&lt;Y30</f><v /></c><c r="AW30" s="344"><f>Z30&lt;=AK30</f><v /></c><c r="AX30" s="344"><f>IF(I30&gt;=1,"Qcorrecto",IF(AND(AY30="aceptable",AZ30="aceptable",BA30="aceptable"),"Qcorrecto","Qincorrecto"))</f><v /></c><c r="AY30" s="345"><f>IF(AR30&lt;$AH$6,"error",IF(AR30&gt;$AH$6*1.1,"error","aceptable"))</f><v /></c><c r="AZ30" s="345"><f>IF(AF30&lt;$V$6,"error",IF(AF30&gt;$V$6*1.1,"error","aceptable"))</f><v /></c><c r="BA30" s="345"><f>IF(T30&lt;$J$6*0.9,"error",IF(T30&gt;$J$6,"error","aceptable"))</f><v /></c><c r="BB30" s="346"><f>(IF(ABS(U30)&lt;1.05,"CONFORME",IF(ABS(AG30)&lt;1.05,"CONFORME",IF(ABS(AS30)&lt;2.55,"CONFORME","NO CONFORME"))))</f><v /></c><c r="BC30" s="347"><f>(IF(ABS(U30)&gt;2.05,"NO CONFORME",IF(ABS(AG30)&gt;2.05,"NO CONFORME",IF(ABS(AS30)&gt;5.05,"NO CONFORME","CONFORME"))))</f><v /></c><c r="BD30" s="348"><f>SIGN(U30)</f><v /></c><c r="BE30" s="348"><f>SIGN(AG30)</f><v /></c><c r="BF30" s="348"><f>SIGN(AS30)</f><v /></c><c r="BG30" s="348"><f>CONCATENATE(BD30,BE30,BF30)</f><v /></c><c r="BH30" s="348"><f>IF(BG30="111","SI","SD")</f><v /></c><c r="BI30" s="348"><f>IF(BG30="-1-1-1","SI","SD")</f><v /></c><c r="BJ30" s="348"><f>OR(BH30="SI",BI30="SI")</f><v /></c><c r="BK30" s="348"><f>IF(BJ30=FALSE,"SIGDIFERENTES","SIGIGUALES")</f><v /></c><c r="BL30" s="345"><f>IF(BC30="NO CONFORME","NO CONFORME",IF(BB30="CONFORME","CONFORME","NO CONFORME"))</f><v /></c><c r="BM30" s="66" t="n" /><c r="BN30" s="66" t="n" /></row><row r="31" ht="15" customHeight="1"><c r="A31" s="350" t="n"><v>23</v></c><c r="B31" s="351"><f>B30</f><v /></c><c r="C31" s="351"><f>C30</f><v /></c><c r="D31" s="352"><f>D30</f><v /></c><c r="E31" s="353"><f>E30</f><v /></c><c r="F31" s="12" t="n" /><c r="G31" s="327" t="inlineStr"><is><t>QA24366779</t></is></c><c r="H31" s="355"><f>H30</f><v /></c><c r="I31" s="90"><f>I30</f><v /></c><c r="J31" s="298"><f>J30</f><v /></c><c r="K31" s="356"><f>K30</f><v /></c><c r="L31" s="356"><f>L30</f><v /></c><c r="M31" s="357" t="n"><v>752.38</v></c><c r="N31" s="357" t="n"><v>852.78</v></c><c r="O31" s="358"><f>O30</f><v /></c><c r="P31" s="359"><f>P30</f><v /></c><c r="Q31" s="360"><f>LEFT(P31,1)</f><v /></c><c r="R31" s="360"><f>RIGHT(P31,6)</f><v /></c><c r="S31" s="360"><f>+(Q31*60+R31)/(60*60)</f><v /></c><c r="T31" s="361"><f>+O31/S31</f><v /></c><c r="U31" s="362"><f>+(((N31-M31-O31)/O31)*100)</f><v /></c><c r="V31" s="301"><f>V30</f><v /></c><c r="W31" s="363"><f>W30</f><v /></c><c r="X31" s="363"><f>X30</f><v /></c><c r="Y31" s="357" t="n"><v>857.38</v></c><c r="Z31" s="357" t="n"><v>862.47</v></c><c r="AA31" s="364"><f>AA30</f><v /></c><c r="AB31" s="365"><f>AB30</f><v /></c><c r="AC31" s="360"><f>LEFT(AB31,2)</f><v /></c><c r="AD31" s="360"><f>RIGHT(AB31,6)</f><v /></c><c r="AE31" s="360"><f>+(AC31*60+AD31)/(60*60)</f><v /></c><c r="AF31" s="361"><f>+AA31/AE31</f><v /></c><c r="AG31" s="303"><f>+(((Z31-Y31-AA31)/AA31)*100)</f><v /></c><c r="AH31" s="301"><f>AH30</f><v /></c><c r="AI31" s="363"><f>AI30</f><v /></c><c r="AJ31" s="363"><f>AJ30</f><v /></c><c r="AK31" s="357"><f>+Z31</f><v /></c><c r="AL31" s="357" t="n"><v>864.5</v></c><c r="AM31" s="366"><f>AM30</f><v /></c><c r="AN31" s="359"><f>AN30</f><v /></c><c r="AO31" s="360"><f>LEFT(AN31,2)</f><v /></c><c r="AP31" s="360"><f>RIGHT(AN31,6)</f><v /></c><c r="AQ31" s="360"><f>+(AO31*60+AP31)/(60*60)</f><v /></c><c r="AR31" s="361"><f>+AM31/AQ31</f><v /></c><c r="AS31" s="303"><f>+(((AL31-AK31-AM31)/AM31)*100)</f><v /></c><c r="AT31" s="367"><f>IF(I31&gt;=1,"NO CONFORME",IF(BK31="SIGDIFERENTES",BC31,BL31))</f><v /></c><c r="AU31" s="344"><f>B31&lt;=C31</f><v /></c><c r="AV31" s="344"><f>N31&lt;Y31</f><v /></c><c r="AW31" s="344"><f>Z31&lt;=AK31</f><v /></c><c r="AX31" s="344"><f>IF(I31&gt;=1,"Qcorrecto",IF(AND(AY31="aceptable",AZ31="aceptable",BA31="aceptable"),"Qcorrecto","Qincorrecto"))</f><v /></c><c r="AY31" s="345"><f>IF(AR31&lt;$AH$6,"error",IF(AR31&gt;$AH$6*1.1,"error","aceptable"))</f><v /></c><c r="AZ31" s="345"><f>IF(AF31&lt;$V$6,"error",IF(AF31&gt;$V$6*1.1,"error","aceptable"))</f><v /></c><c r="BA31" s="345"><f>IF(T31&lt;$J$6*0.9,"error",IF(T31&gt;$J$6,"error","aceptable"))</f><v /></c><c r="BB31" s="346"><f>(IF(ABS(U31)&lt;1.05,"CONFORME",IF(ABS(AG31)&lt;1.05,"CONFORME",IF(ABS(AS31)&lt;2.55,"CONFORME","NO CONFORME"))))</f><v /></c><c r="BC31" s="347"><f>(IF(ABS(U31)&gt;2.05,"NO CONFORME",IF(ABS(AG31)&gt;2.05,"NO CONFORME",IF(ABS(AS31)&gt;5.05,"NO CONFORME","CONFORME"))))</f><v /></c><c r="BD31" s="348"><f>SIGN(U31)</f><v /></c><c r="BE31" s="348"><f>SIGN(AG31)</f><v /></c><c r="BF31" s="348"><f>SIGN(AS31)</f><v /></c><c r="BG31" s="348"><f>CONCATENATE(BD31,BE31,BF31)</f><v /></c><c r="BH31" s="348"><f>IF(BG31="111","SI","SD")</f><v /></c><c r="BI31" s="348"><f>IF(BG31="-1-1-1","SI","SD")</f><v /></c><c r="BJ31" s="348"><f>OR(BH31="SI",BI31="SI")</f><v /></c><c r="BK31" s="348"><f>IF(BJ31=FALSE,"SIGDIFERENTES","SIGIGUALES")</f><v /></c><c r="BL31" s="345"><f>IF(BC31="NO CONFORME","NO CONFORME",IF(BB31="CONFORME","CONFORME","NO CONFORME"))</f><v /></c><c r="BM31" s="66" t="n" /><c r="BN31" s="66" t="n" /></row><row r="32" ht="15" customHeight="1" thickBot="1"><c r="A32" s="350" t="n"><v>24</v></c><c r="B32" s="351"><f>B31</f><v /></c><c r="C32" s="351"><f>C31</f><v /></c><c r="D32" s="352"><f>D31</f><v /></c><c r="E32" s="353"><f>E31</f><v /></c><c r="F32" s="12" t="n" /><c r="G32" s="354" t="inlineStr"><is><t>QA24366811</t></is></c><c r="H32" s="355"><f>H31</f><v /></c><c r="I32" s="90"><f>I31</f><v /></c><c r="J32" s="298"><f>J31</f><v /></c><c r="K32" s="356"><f>K31</f><v /></c><c r="L32" s="356"><f>L31</f><v /></c><c r="M32" s="357" t="n"><v>726.34</v></c><c r="N32" s="357" t="n"><v>827.1</v></c><c r="O32" s="358"><f>O31</f><v /></c><c r="P32" s="359"><f>P31</f><v /></c><c r="Q32" s="360"><f>LEFT(P32,1)</f><v /></c><c r="R32" s="360"><f>RIGHT(P32,6)</f><v /></c><c r="S32" s="360"><f>+(Q32*60+R32)/(60*60)</f><v /></c><c r="T32" s="361"><f>+O32/S32</f><v /></c><c r="U32" s="362"><f>+(((N32-M32-O32)/O32)*100)</f><v /></c><c r="V32" s="301"><f>V31</f><v /></c><c r="W32" s="363"><f>W31</f><v /></c><c r="X32" s="363"><f>X31</f><v /></c><c r="Y32" s="357" t="n"><v>831.74</v></c><c r="Z32" s="357" t="n"><v>836.8099999999999</v></c><c r="AA32" s="364"><f>AA31</f><v /></c><c r="AB32" s="365"><f>AB31</f><v /></c><c r="AC32" s="360"><f>LEFT(AB32,2)</f><v /></c><c r="AD32" s="360"><f>RIGHT(AB32,6)</f><v /></c><c r="AE32" s="360"><f>+(AC32*60+AD32)/(60*60)</f><v /></c><c r="AF32" s="361"><f>+AA32/AE32</f><v /></c><c r="AG32" s="303"><f>+(((Z32-Y32-AA32)/AA32)*100)</f><v /></c><c r="AH32" s="301"><f>AH31</f><v /></c><c r="AI32" s="363"><f>AI31</f><v /></c><c r="AJ32" s="363"><f>AJ31</f><v /></c><c r="AK32" s="357"><f>+Z32</f><v /></c><c r="AL32" s="357" t="n"><v>838.8200000000001</v></c><c r="AM32" s="366"><f>AM31</f><v /></c><c r="AN32" s="359"><f>AN31</f><v /></c><c r="AO32" s="360"><f>LEFT(AN32,2)</f><v /></c><c r="AP32" s="360"><f>RIGHT(AN32,6)</f><v /></c><c r="AQ32" s="360"><f>+(AO32*60+AP32)/(60*60)</f><v /></c><c r="AR32" s="361"><f>+AM32/AQ32</f><v /></c><c r="AS32" s="303"><f>+(((AL32-AK32-AM32)/AM32)*100)</f><v /></c><c r="AT32" s="367"><f>IF(I32&gt;=1,"NO CONFORME",IF(BK32="SIGDIFERENTES",BC32,BL32))</f><v /></c><c r="AU32" s="344"><f>B32&lt;=C32</f><v /></c><c r="AV32" s="344"><f>N32&lt;Y32</f><v /></c><c r="AW32" s="344"><f>Z32&lt;=AK32</f><v /></c><c r="AX32" s="344"><f>IF(I32&gt;=1,"Qcorrecto",IF(AND(AY32="aceptable",AZ32="aceptable",BA32="aceptable"),"Qcorrecto","Qincorrecto"))</f><v /></c><c r="AY32" s="345"><f>IF(AR32&lt;$AH$6,"error",IF(AR32&gt;$AH$6*1.1,"error","aceptable"))</f><v /></c><c r="AZ32" s="345"><f>IF(AF32&lt;$V$6,"error",IF(AF32&gt;$V$6*1.1,"error","aceptable"))</f><v /></c><c r="BA32" s="345"><f>IF(T32&lt;$J$6*0.9,"error",IF(T32&gt;$J$6,"error","aceptable"))</f><v /></c><c r="BB32" s="346"><f>(IF(ABS(U32)&lt;1.05,"CONFORME",IF(ABS(AG32)&lt;1.05,"CONFORME",IF(ABS(AS32)&lt;2.55,"CONFORME","NO CONFORME"))))</f><v /></c><c r="BC32" s="347"><f>(IF(ABS(U32)&gt;2.05,"NO CONFORME",IF(ABS(AG32)&gt;2.05,"NO CONFORME",IF(ABS(AS32)&gt;5.05,"NO CONFORME","CONFORME"))))</f><v /></c><c r="BD32" s="348"><f>SIGN(U32)</f><v /></c><c r="BE32" s="348"><f>SIGN(AG32)</f><v /></c><c r="BF32" s="348"><f>SIGN(AS32)</f><v /></c><c r="BG32" s="348"><f>CONCATENATE(BD32,BE32,BF32)</f><v /></c><c r="BH32" s="348"><f>IF(BG32="111","SI","SD")</f><v /></c><c r="BI32" s="348"><f>IF(BG32="-1-1-1","SI","SD")</f><v /></c><c r="BJ32" s="348"><f>OR(BH32="SI",BI32="SI")</f><v /></c><c r="BK32" s="348"><f>IF(BJ32=FALSE,"SIGDIFERENTES","SIGIGUALES")</f><v /></c><c r="BL32" s="345"><f>IF(BC32="NO CONFORME","NO CONFORME",IF(BB32="CONFORME","CONFORME","NO CONFORME"))</f><v /></c><c r="BM32" s="66" t="n" /><c r="BN32" s="66" t="n" /></row><row r="33" ht="15" customHeight="1"><c r="A33" s="350" t="n"><v>25</v></c><c r="B33" s="351"><f>B32</f><v /></c><c r="C33" s="351"><f>C32</f><v /></c><c r="D33" s="352"><f>D32</f><v /></c><c r="E33" s="353"><f>E32</f><v /></c><c r="F33" s="12" t="n" /><c r="G33" s="327" t="inlineStr"><is><t>QA24366812</t></is></c><c r="H33" s="355"><f>H32</f><v /></c><c r="I33" s="90"><f>I32</f><v /></c><c r="J33" s="298"><f>J32</f><v /></c><c r="K33" s="356"><f>K32</f><v /></c><c r="L33" s="356"><f>L32</f><v /></c><c r="M33" s="357" t="n"><v>711.38</v></c><c r="N33" s="357" t="n"><v>812.04</v></c><c r="O33" s="358"><f>O32</f><v /></c><c r="P33" s="359"><f>P32</f><v /></c><c r="Q33" s="360"><f>LEFT(P33,1)</f><v /></c><c r="R33" s="360"><f>RIGHT(P33,6)</f><v /></c><c r="S33" s="360"><f>+(Q33*60+R33)/(60*60)</f><v /></c><c r="T33" s="361"><f>+O33/S33</f><v /></c><c r="U33" s="362"><f>+(((N33-M33-O33)/O33)*100)</f><v /></c><c r="V33" s="301"><f>V32</f><v /></c><c r="W33" s="363"><f>W32</f><v /></c><c r="X33" s="363"><f>X32</f><v /></c><c r="Y33" s="357" t="n"><v>816.66</v></c><c r="Z33" s="357" t="n"><v>821.7</v></c><c r="AA33" s="364"><f>AA32</f><v /></c><c r="AB33" s="365"><f>AB32</f><v /></c><c r="AC33" s="360"><f>LEFT(AB33,2)</f><v /></c><c r="AD33" s="360"><f>RIGHT(AB33,6)</f><v /></c><c r="AE33" s="360"><f>+(AC33*60+AD33)/(60*60)</f><v /></c><c r="AF33" s="361"><f>+AA33/AE33</f><v /></c><c r="AG33" s="303"><f>+(((Z33-Y33-AA33)/AA33)*100)</f><v /></c><c r="AH33" s="301"><f>AH32</f><v /></c><c r="AI33" s="363"><f>AI32</f><v /></c><c r="AJ33" s="363"><f>AJ32</f><v /></c><c r="AK33" s="357"><f>+Z33</f><v /></c><c r="AL33" s="357" t="n"><v>823.73</v></c><c r="AM33" s="366"><f>AM32</f><v /></c><c r="AN33" s="359"><f>AN32</f><v /></c><c r="AO33" s="360"><f>LEFT(AN33,2)</f><v /></c><c r="AP33" s="360"><f>RIGHT(AN33,6)</f><v /></c><c r="AQ33" s="360"><f>+(AO33*60+AP33)/(60*60)</f><v /></c><c r="AR33" s="361"><f>+AM33/AQ33</f><v /></c><c r="AS33" s="303"><f>+(((AL33-AK33-AM33)/AM33)*100)</f><v /></c><c r="AT33" s="367"><f>IF(I33&gt;=1,"NO CONFORME",IF(BK33="SIGDIFERENTES",BC33,BL33))</f><v /></c><c r="AU33" s="344"><f>B33&lt;=C33</f><v /></c><c r="AV33" s="344"><f>N33&lt;Y33</f><v /></c><c r="AW33" s="344"><f>Z33&lt;=AK33</f><v /></c><c r="AX33" s="344"><f>IF(I33&gt;=1,"Qcorrecto",IF(AND(AY33="aceptable",AZ33="aceptable",BA33="aceptable"),"Qcorrecto","Qincorrecto"))</f><v /></c><c r="AY33" s="345"><f>IF(AR33&lt;$AH$6,"error",IF(AR33&gt;$AH$6*1.1,"error","aceptable"))</f><v /></c><c r="AZ33" s="345"><f>IF(AF33&lt;$V$6,"error",IF(AF33&gt;$V$6*1.1,"error","aceptable"))</f><v /></c><c r="BA33" s="345"><f>IF(T33&lt;$J$6*0.9,"error",IF(T33&gt;$J$6,"error","aceptable"))</f><v /></c><c r="BB33" s="346"><f>(IF(ABS(U33)&lt;1.05,"CONFORME",IF(ABS(AG33)&lt;1.05,"CONFORME",IF(ABS(AS33)&lt;2.55,"CONFORME","NO CONFORME"))))</f><v /></c><c r="BC33" s="347"><f>(IF(ABS(U33)&gt;2.05,"NO CONFORME",IF(ABS(AG33)&gt;2.05,"NO CONFORME",IF(ABS(AS33)&gt;5.05,"NO CONFORME","CONFORME"))))</f><v /></c><c r="BD33" s="348"><f>SIGN(U33)</f><v /></c><c r="BE33" s="348"><f>SIGN(AG33)</f><v /></c><c r="BF33" s="348"><f>SIGN(AS33)</f><v /></c><c r="BG33" s="348"><f>CONCATENATE(BD33,BE33,BF33)</f><v /></c><c r="BH33" s="348"><f>IF(BG33="111","SI","SD")</f><v /></c><c r="BI33" s="348"><f>IF(BG33="-1-1-1","SI","SD")</f><v /></c><c r="BJ33" s="348"><f>OR(BH33="SI",BI33="SI")</f><v /></c><c r="BK33" s="348"><f>IF(BJ33=FALSE,"SIGDIFERENTES","SIGIGUALES")</f><v /></c><c r="BL33" s="345"><f>IF(BC33="NO CONFORME","NO CONFORME",IF(BB33="CONFORME","CONFORME","NO CONFORME"))</f><v /></c><c r="BM33" s="66" t="n" /><c r="BN33" s="66" t="n" /></row><row r="34" ht="15" customHeight="1" thickBot="1"><c r="A34" s="350" t="n"><v>26</v></c><c r="B34" s="351"><f>B33</f><v /></c><c r="C34" s="351"><f>C33</f><v /></c><c r="D34" s="352"><f>D33</f><v /></c><c r="E34" s="353"><f>E33</f><v /></c><c r="F34" s="12" t="n" /><c r="G34" s="354" t="inlineStr"><is><t>QA24366829</t></is></c><c r="H34" s="355"><f>H33</f><v /></c><c r="I34" s="90"><f>I33</f><v /></c><c r="J34" s="298"><f>J33</f><v /></c><c r="K34" s="356"><f>K33</f><v /></c><c r="L34" s="356"><f>L33</f><v /></c><c r="M34" s="357" t="n"><v>694.79</v></c><c r="N34" s="357" t="n"><v>795.09</v></c><c r="O34" s="358"><f>O33</f><v /></c><c r="P34" s="359"><f>P33</f><v /></c><c r="Q34" s="360"><f>LEFT(P34,1)</f><v /></c><c r="R34" s="360"><f>RIGHT(P34,6)</f><v /></c><c r="S34" s="360"><f>+(Q34*60+R34)/(60*60)</f><v /></c><c r="T34" s="361"><f>+O34/S34</f><v /></c><c r="U34" s="362"><f>+(((N34-M34-O34)/O34)*100)</f><v /></c><c r="V34" s="301"><f>V33</f><v /></c><c r="W34" s="363"><f>W33</f><v /></c><c r="X34" s="363"><f>X33</f><v /></c><c r="Y34" s="357" t="n"><v>799.7</v></c><c r="Z34" s="357" t="n"><v>804.74</v></c><c r="AA34" s="364"><f>AA33</f><v /></c><c r="AB34" s="365"><f>AB33</f><v /></c><c r="AC34" s="360"><f>LEFT(AB34,2)</f><v /></c><c r="AD34" s="360"><f>RIGHT(AB34,6)</f><v /></c><c r="AE34" s="360"><f>+(AC34*60+AD34)/(60*60)</f><v /></c><c r="AF34" s="361"><f>+AA34/AE34</f><v /></c><c r="AG34" s="303"><f>+(((Z34-Y34-AA34)/AA34)*100)</f><v /></c><c r="AH34" s="301"><f>AH33</f><v /></c><c r="AI34" s="363"><f>AI33</f><v /></c><c r="AJ34" s="363"><f>AJ33</f><v /></c><c r="AK34" s="357"><f>+Z34</f><v /></c><c r="AL34" s="357" t="n"><v>806.74</v></c><c r="AM34" s="366"><f>AM33</f><v /></c><c r="AN34" s="359"><f>AN33</f><v /></c><c r="AO34" s="360"><f>LEFT(AN34,2)</f><v /></c><c r="AP34" s="360"><f>RIGHT(AN34,6)</f><v /></c><c r="AQ34" s="360"><f>+(AO34*60+AP34)/(60*60)</f><v /></c><c r="AR34" s="361"><f>+AM34/AQ34</f><v /></c><c r="AS34" s="303"><f>+(((AL34-AK34-AM34)/AM34)*100)</f><v /></c><c r="AT34" s="367"><f>IF(I34&gt;=1,"NO CONFORME",IF(BK34="SIGDIFERENTES",BC34,BL34))</f><v /></c><c r="AU34" s="344"><f>B34&lt;=C34</f><v /></c><c r="AV34" s="344"><f>N34&lt;Y34</f><v /></c><c r="AW34" s="344"><f>Z34&lt;=AK34</f><v /></c><c r="AX34" s="344"><f>IF(I34&gt;=1,"Qcorrecto",IF(AND(AY34="aceptable",AZ34="aceptable",BA34="aceptable"),"Qcorrecto","Qincorrecto"))</f><v /></c><c r="AY34" s="345"><f>IF(AR34&lt;$AH$6,"error",IF(AR34&gt;$AH$6*1.1,"error","aceptable"))</f><v /></c><c r="AZ34" s="345"><f>IF(AF34&lt;$V$6,"error",IF(AF34&gt;$V$6*1.1,"error","aceptable"))</f><v /></c><c r="BA34" s="345"><f>IF(T34&lt;$J$6*0.9,"error",IF(T34&gt;$J$6,"error","aceptable"))</f><v /></c><c r="BB34" s="346"><f>(IF(ABS(U34)&lt;1.05,"CONFORME",IF(ABS(AG34)&lt;1.05,"CONFORME",IF(ABS(AS34)&lt;2.55,"CONFORME","NO CONFORME"))))</f><v /></c><c r="BC34" s="347"><f>(IF(ABS(U34)&gt;2.05,"NO CONFORME",IF(ABS(AG34)&gt;2.05,"NO CONFORME",IF(ABS(AS34)&gt;5.05,"NO CONFORME","CONFORME"))))</f><v /></c><c r="BD34" s="348"><f>SIGN(U34)</f><v /></c><c r="BE34" s="348"><f>SIGN(AG34)</f><v /></c><c r="BF34" s="348"><f>SIGN(AS34)</f><v /></c><c r="BG34" s="348"><f>CONCATENATE(BD34,BE34,BF34)</f><v /></c><c r="BH34" s="348"><f>IF(BG34="111","SI","SD")</f><v /></c><c r="BI34" s="348"><f>IF(BG34="-1-1-1","SI","SD")</f><v /></c><c r="BJ34" s="348"><f>OR(BH34="SI",BI34="SI")</f><v /></c><c r="BK34" s="348"><f>IF(BJ34=FALSE,"SIGDIFERENTES","SIGIGUALES")</f><v /></c><c r="BL34" s="345"><f>IF(BC34="NO CONFORME","NO CONFORME",IF(BB34="CONFORME","CONFORME","NO CONFORME"))</f><v /></c><c r="BM34" s="66" t="n" /><c r="BN34" s="66" t="n" /></row><row r="35" ht="15.75" customHeight="1"><c r="A35" s="350" t="n"><v>27</v></c><c r="B35" s="351"><f>B34</f><v /></c><c r="C35" s="351"><f>C34</f><v /></c><c r="D35" s="352"><f>D34</f><v /></c><c r="E35" s="353"><f>E34</f><v /></c><c r="F35" s="12" t="n" /><c r="G35" s="327" t="inlineStr"><is><t>QA24366408</t></is></c><c r="H35" s="355"><f>H34</f><v /></c><c r="I35" s="90"><f>I34</f><v /></c><c r="J35" s="298"><f>J34</f><v /></c><c r="K35" s="356"><f>K34</f><v /></c><c r="L35" s="356"><f>L34</f><v /></c><c r="M35" s="357" t="n"><v>711.1799999999999</v></c><c r="N35" s="357" t="n"><v>811.14</v></c><c r="O35" s="358"><f>O34</f><v /></c><c r="P35" s="359"><f>P34</f><v /></c><c r="Q35" s="360"><f>LEFT(P35,1)</f><v /></c><c r="R35" s="360"><f>RIGHT(P35,6)</f><v /></c><c r="S35" s="360"><f>+(Q35*60+R35)/(60*60)</f><v /></c><c r="T35" s="361"><f>+O35/S35</f><v /></c><c r="U35" s="362"><f>+(((N35-M35-O35)/O35)*100)</f><v /></c><c r="V35" s="301"><f>V34</f><v /></c><c r="W35" s="363"><f>W34</f><v /></c><c r="X35" s="363"><f>X34</f><v /></c><c r="Y35" s="357" t="n"><v>815.76</v></c><c r="Z35" s="357" t="n"><v>820.78</v></c><c r="AA35" s="364"><f>AA34</f><v /></c><c r="AB35" s="365"><f>AB34</f><v /></c><c r="AC35" s="360"><f>LEFT(AB35,2)</f><v /></c><c r="AD35" s="360"><f>RIGHT(AB35,6)</f><v /></c><c r="AE35" s="360"><f>+(AC35*60+AD35)/(60*60)</f><v /></c><c r="AF35" s="361"><f>+AA35/AE35</f><v /></c><c r="AG35" s="303"><f>+(((Z35-Y35-AA35)/AA35)*100)</f><v /></c><c r="AH35" s="301"><f>AH34</f><v /></c><c r="AI35" s="363"><f>AI34</f><v /></c><c r="AJ35" s="363"><f>AJ34</f><v /></c><c r="AK35" s="357"><f>+Z35</f><v /></c><c r="AL35" s="357" t="n"><v>822.79</v></c><c r="AM35" s="366"><f>AM34</f><v /></c><c r="AN35" s="359"><f>AN34</f><v /></c><c r="AO35" s="360"><f>LEFT(AN35,2)</f><v /></c><c r="AP35" s="360"><f>RIGHT(AN35,6)</f><v /></c><c r="AQ35" s="360"><f>+(AO35*60+AP35)/(60*60)</f><v /></c><c r="AR35" s="361"><f>+AM35/AQ35</f><v /></c><c r="AS35" s="303"><f>+(((AL35-AK35-AM35)/AM35)*100)</f><v /></c><c r="AT35" s="367"><f>IF(I35&gt;=1,"NO CONFORME",IF(BK35="SIGDIFERENTES",BC35,BL35))</f><v /></c><c r="AU35" s="344"><f>B35&lt;=C35</f><v /></c><c r="AV35" s="344"><f>N35&lt;Y35</f><v /></c><c r="AW35" s="344"><f>Z35&lt;=AK35</f><v /></c><c r="AX35" s="344"><f>IF(I35&gt;=1,"Qcorrecto",IF(AND(AY35="aceptable",AZ35="aceptable",BA35="aceptable"),"Qcorrecto","Qincorrecto"))</f><v /></c><c r="AY35" s="345"><f>IF(AR35&lt;$AH$6,"error",IF(AR35&gt;$AH$6*1.1,"error","aceptable"))</f><v /></c><c r="AZ35" s="345"><f>IF(AF35&lt;$V$6,"error",IF(AF35&gt;$V$6*1.1,"error","aceptable"))</f><v /></c><c r="BA35" s="345"><f>IF(T35&lt;$J$6*0.9,"error",IF(T35&gt;$J$6,"error","aceptable"))</f><v /></c><c r="BB35" s="346"><f>(IF(ABS(U35)&lt;1.05,"CONFORME",IF(ABS(AG35)&lt;1.05,"CONFORME",IF(ABS(AS35)&lt;2.55,"CONFORME","NO CONFORME"))))</f><v /></c><c r="BC35" s="347"><f>(IF(ABS(U35)&gt;2.05,"NO CONFORME",IF(ABS(AG35)&gt;2.05,"NO CONFORME",IF(ABS(AS35)&gt;5.05,"NO CONFORME","CONFORME"))))</f><v /></c><c r="BD35" s="348"><f>SIGN(U35)</f><v /></c><c r="BE35" s="348"><f>SIGN(AG35)</f><v /></c><c r="BF35" s="348"><f>SIGN(AS35)</f><v /></c><c r="BG35" s="348"><f>CONCATENATE(BD35,BE35,BF35)</f><v /></c><c r="BH35" s="348"><f>IF(BG35="111","SI","SD")</f><v /></c><c r="BI35" s="348"><f>IF(BG35="-1-1-1","SI","SD")</f><v /></c><c r="BJ35" s="348"><f>OR(BH35="SI",BI35="SI")</f><v /></c><c r="BK35" s="348"><f>IF(BJ35=FALSE,"SIGDIFERENTES","SIGIGUALES")</f><v /></c><c r="BL35" s="345"><f>IF(BC35="NO CONFORME","NO CONFORME",IF(BB35="CONFORME","CONFORME","NO CONFORME"))</f><v /></c><c r="BM35" s="66" t="n" /><c r="BN35" s="66" t="n" /></row><row r="36" ht="15" customHeight="1" thickBot="1"><c r="A36" s="350" t="n"><v>28</v></c><c r="B36" s="351"><f>B35</f><v /></c><c r="C36" s="351"><f>C35</f><v /></c><c r="D36" s="352"><f>D35</f><v /></c><c r="E36" s="353"><f>E35</f><v /></c><c r="F36" s="12" t="n" /><c r="G36" s="354" t="inlineStr"><is><t>QA24366772</t></is></c><c r="H36" s="355"><f>H35</f><v /></c><c r="I36" s="90"><f>I35</f><v /></c><c r="J36" s="298"><f>J35</f><v /></c><c r="K36" s="356"><f>K35</f><v /></c><c r="L36" s="356"><f>L35</f><v /></c><c r="M36" s="357" t="n"><v>787.11</v></c><c r="N36" s="357" t="n"><v>887.45</v></c><c r="O36" s="358"><f>O35</f><v /></c><c r="P36" s="359"><f>P35</f><v /></c><c r="Q36" s="360"><f>LEFT(P36,1)</f><v /></c><c r="R36" s="360"><f>RIGHT(P36,6)</f><v /></c><c r="S36" s="360"><f>+(Q36*60+R36)/(60*60)</f><v /></c><c r="T36" s="361"><f>+O36/S36</f><v /></c><c r="U36" s="362"><f>+(((N36-M36-O36)/O36)*100)</f><v /></c><c r="V36" s="301"><f>V35</f><v /></c><c r="W36" s="363"><f>W35</f><v /></c><c r="X36" s="363"><f>X35</f><v /></c><c r="Y36" s="357" t="n"><v>892.08</v></c><c r="Z36" s="357" t="n"><v>897.13</v></c><c r="AA36" s="364"><f>AA35</f><v /></c><c r="AB36" s="365"><f>AB35</f><v /></c><c r="AC36" s="360"><f>LEFT(AB36,2)</f><v /></c><c r="AD36" s="360"><f>RIGHT(AB36,6)</f><v /></c><c r="AE36" s="360"><f>+(AC36*60+AD36)/(60*60)</f><v /></c><c r="AF36" s="361"><f>+AA36/AE36</f><v /></c><c r="AG36" s="303"><f>+(((Z36-Y36-AA36)/AA36)*100)</f><v /></c><c r="AH36" s="301"><f>AH35</f><v /></c><c r="AI36" s="363"><f>AI35</f><v /></c><c r="AJ36" s="363"><f>AJ35</f><v /></c><c r="AK36" s="357"><f>+Z36</f><v /></c><c r="AL36" s="357" t="n"><v>899.15</v></c><c r="AM36" s="366"><f>AM35</f><v /></c><c r="AN36" s="359"><f>AN35</f><v /></c><c r="AO36" s="360"><f>LEFT(AN36,2)</f><v /></c><c r="AP36" s="360"><f>RIGHT(AN36,6)</f><v /></c><c r="AQ36" s="360"><f>+(AO36*60+AP36)/(60*60)</f><v /></c><c r="AR36" s="361"><f>+AM36/AQ36</f><v /></c><c r="AS36" s="303"><f>+(((AL36-AK36-AM36)/AM36)*100)</f><v /></c><c r="AT36" s="367"><f>IF(I36&gt;=1,"NO CONFORME",IF(BK36="SIGDIFERENTES",BC36,BL36))</f><v /></c><c r="AU36" s="344"><f>B36&lt;=C36</f><v /></c><c r="AV36" s="344"><f>N36&lt;Y36</f><v /></c><c r="AW36" s="344"><f>Z36&lt;=AK36</f><v /></c><c r="AX36" s="344"><f>IF(I36&gt;=1,"Qcorrecto",IF(AND(AY36="aceptable",AZ36="aceptable",BA36="aceptable"),"Qcorrecto","Qincorrecto"))</f><v /></c><c r="AY36" s="345"><f>IF(AR36&lt;$AH$6,"error",IF(AR36&gt;$AH$6*1.1,"error","aceptable"))</f><v /></c><c r="AZ36" s="345"><f>IF(AF36&lt;$V$6,"error",IF(AF36&gt;$V$6*1.1,"error","aceptable"))</f><v /></c><c r="BA36" s="345"><f>IF(T36&lt;$J$6*0.9,"error",IF(T36&gt;$J$6,"error","aceptable"))</f><v /></c><c r="BB36" s="346"><f>(IF(ABS(U36)&lt;1.05,"CONFORME",IF(ABS(AG36)&lt;1.05,"CONFORME",IF(ABS(AS36)&lt;2.55,"CONFORME","NO CONFORME"))))</f><v /></c><c r="BC36" s="347"><f>(IF(ABS(U36)&gt;2.05,"NO CONFORME",IF(ABS(AG36)&gt;2.05,"NO CONFORME",IF(ABS(AS36)&gt;5.05,"NO CONFORME","CONFORME"))))</f><v /></c><c r="BD36" s="348"><f>SIGN(U36)</f><v /></c><c r="BE36" s="348"><f>SIGN(AG36)</f><v /></c><c r="BF36" s="348"><f>SIGN(AS36)</f><v /></c><c r="BG36" s="348"><f>CONCATENATE(BD36,BE36,BF36)</f><v /></c><c r="BH36" s="348"><f>IF(BG36="111","SI","SD")</f><v /></c><c r="BI36" s="348"><f>IF(BG36="-1-1-1","SI","SD")</f><v /></c><c r="BJ36" s="348"><f>OR(BH36="SI",BI36="SI")</f><v /></c><c r="BK36" s="348"><f>IF(BJ36=FALSE,"SIGDIFERENTES","SIGIGUALES")</f><v /></c><c r="BL36" s="345"><f>IF(BC36="NO CONFORME","NO CONFORME",IF(BB36="CONFORME","CONFORME","NO CONFORME"))</f><v /></c><c r="BM36" s="66" t="n" /><c r="BN36" s="66" t="n" /></row><row r="37" ht="15" customHeight="1"><c r="A37" s="350" t="n"><v>29</v></c><c r="B37" s="351"><f>B36</f><v /></c><c r="C37" s="351"><f>C36</f><v /></c><c r="D37" s="352"><f>D36</f><v /></c><c r="E37" s="353"><f>E36</f><v /></c><c r="F37" s="12" t="n" /><c r="G37" s="327" t="inlineStr"><is><t>QA24366421</t></is></c><c r="H37" s="355"><f>H36</f><v /></c><c r="I37" s="90"><f>I36</f><v /></c><c r="J37" s="298"><f>J36</f><v /></c><c r="K37" s="356"><f>K36</f><v /></c><c r="L37" s="356"><f>L36</f><v /></c><c r="M37" s="357" t="n"><v>712.35</v></c><c r="N37" s="357" t="n"><v>812.36</v></c><c r="O37" s="358"><f>O36</f><v /></c><c r="P37" s="359"><f>P36</f><v /></c><c r="Q37" s="360"><f>LEFT(P37,1)</f><v /></c><c r="R37" s="360"><f>RIGHT(P37,6)</f><v /></c><c r="S37" s="360"><f>+(Q37*60+R37)/(60*60)</f><v /></c><c r="T37" s="361"><f>+O37/S37</f><v /></c><c r="U37" s="362"><f>+(((N37-M37-O37)/O37)*100)</f><v /></c><c r="V37" s="301"><f>V36</f><v /></c><c r="W37" s="363"><f>W36</f><v /></c><c r="X37" s="363"><f>X36</f><v /></c><c r="Y37" s="357" t="n"><v>816.9400000000001</v></c><c r="Z37" s="357" t="n"><v>821.96</v></c><c r="AA37" s="364"><f>AA36</f><v /></c><c r="AB37" s="365"><f>AB36</f><v /></c><c r="AC37" s="360"><f>LEFT(AB37,2)</f><v /></c><c r="AD37" s="360"><f>RIGHT(AB37,6)</f><v /></c><c r="AE37" s="360"><f>+(AC37*60+AD37)/(60*60)</f><v /></c><c r="AF37" s="361"><f>+AA37/AE37</f><v /></c><c r="AG37" s="303"><f>+(((Z37-Y37-AA37)/AA37)*100)</f><v /></c><c r="AH37" s="301"><f>AH36</f><v /></c><c r="AI37" s="363"><f>AI36</f><v /></c><c r="AJ37" s="363"><f>AJ36</f><v /></c><c r="AK37" s="357"><f>+Z37</f><v /></c><c r="AL37" s="357" t="n"><v>823.97</v></c><c r="AM37" s="366"><f>AM36</f><v /></c><c r="AN37" s="359"><f>AN36</f><v /></c><c r="AO37" s="360"><f>LEFT(AN37,2)</f><v /></c><c r="AP37" s="360"><f>RIGHT(AN37,6)</f><v /></c><c r="AQ37" s="360"><f>+(AO37*60+AP37)/(60*60)</f><v /></c><c r="AR37" s="361"><f>+AM37/AQ37</f><v /></c><c r="AS37" s="303"><f>+(((AL37-AK37-AM37)/AM37)*100)</f><v /></c><c r="AT37" s="367"><f>IF(I37&gt;=1,"NO CONFORME",IF(BK37="SIGDIFERENTES",BC37,BL37))</f><v /></c><c r="AU37" s="344"><f>B37&lt;=C37</f><v /></c><c r="AV37" s="344"><f>N37&lt;Y37</f><v /></c><c r="AW37" s="344"><f>Z37&lt;=AK37</f><v /></c><c r="AX37" s="344"><f>IF(I37&gt;=1,"Qcorrecto",IF(AND(AY37="aceptable",AZ37="aceptable",BA37="aceptable"),"Qcorrecto","Qincorrecto"))</f><v /></c><c r="AY37" s="345"><f>IF(AR37&lt;$AH$6,"error",IF(AR37&gt;$AH$6*1.1,"error","aceptable"))</f><v /></c><c r="AZ37" s="345"><f>IF(AF37&lt;$V$6,"error",IF(AF37&gt;$V$6*1.1,"error","aceptable"))</f><v /></c><c r="BA37" s="345"><f>IF(T37&lt;$J$6*0.9,"error",IF(T37&gt;$J$6,"error","aceptable"))</f><v /></c><c r="BB37" s="346"><f>(IF(ABS(U37)&lt;1.05,"CONFORME",IF(ABS(AG37)&lt;1.05,"CONFORME",IF(ABS(AS37)&lt;2.55,"CONFORME","NO CONFORME"))))</f><v /></c><c r="BC37" s="347"><f>(IF(ABS(U37)&gt;2.05,"NO CONFORME",IF(ABS(AG37)&gt;2.05,"NO CONFORME",IF(ABS(AS37)&gt;5.05,"NO CONFORME","CONFORME"))))</f><v /></c><c r="BD37" s="348"><f>SIGN(U37)</f><v /></c><c r="BE37" s="348"><f>SIGN(AG37)</f><v /></c><c r="BF37" s="348"><f>SIGN(AS37)</f><v /></c><c r="BG37" s="348"><f>CONCATENATE(BD37,BE37,BF37)</f><v /></c><c r="BH37" s="348"><f>IF(BG37="111","SI","SD")</f><v /></c><c r="BI37" s="348"><f>IF(BG37="-1-1-1","SI","SD")</f><v /></c><c r="BJ37" s="348"><f>OR(BH37="SI",BI37="SI")</f><v /></c><c r="BK37" s="348"><f>IF(BJ37=FALSE,"SIGDIFERENTES","SIGIGUALES")</f><v /></c><c r="BL37" s="345"><f>IF(BC37="NO CONFORME","NO CONFORME",IF(BB37="CONFORME","CONFORME","NO CONFORME"))</f><v /></c><c r="BM37" s="66" t="n" /><c r="BN37" s="66" t="n" /></row><row r="38" ht="15.75" customHeight="1" thickBot="1"><c r="A38" s="350" t="n"><v>30</v></c><c r="B38" s="351"><f>B37</f><v /></c><c r="C38" s="351"><f>C37</f><v /></c><c r="D38" s="352"><f>D37</f><v /></c><c r="E38" s="353"><f>E37</f><v /></c><c r="F38" s="12" t="n" /><c r="G38" s="354" t="inlineStr"><is><t>QA24366454</t></is></c><c r="H38" s="355"><f>H37</f><v /></c><c r="I38" s="90"><f>I37</f><v /></c><c r="J38" s="298"><f>J37</f><v /></c><c r="K38" s="356"><f>K37</f><v /></c><c r="L38" s="356"><f>L37</f><v /></c><c r="M38" s="357" t="n"><v>735.21</v></c><c r="N38" s="357" t="n"><v>836.48</v></c><c r="O38" s="358"><f>O37</f><v /></c><c r="P38" s="359"><f>P37</f><v /></c><c r="Q38" s="360"><f>LEFT(P38,1)</f><v /></c><c r="R38" s="360"><f>RIGHT(P38,6)</f><v /></c><c r="S38" s="360"><f>+(Q38*60+R38)/(60*60)</f><v /></c><c r="T38" s="361"><f>+O38/S38</f><v /></c><c r="U38" s="362"><f>+(((N38-M38-O38)/O38)*100)</f><v /></c><c r="V38" s="301"><f>V37</f><v /></c><c r="W38" s="363"><f>W37</f><v /></c><c r="X38" s="363"><f>X37</f><v /></c><c r="Y38" s="357" t="n"><v>841.09</v></c><c r="Z38" s="357" t="n"><v>846.17</v></c><c r="AA38" s="364"><f>AA37</f><v /></c><c r="AB38" s="365"><f>AB37</f><v /></c><c r="AC38" s="360"><f>LEFT(AB38,2)</f><v /></c><c r="AD38" s="360"><f>RIGHT(AB38,6)</f><v /></c><c r="AE38" s="360"><f>+(AC38*60+AD38)/(60*60)</f><v /></c><c r="AF38" s="361"><f>+AA38/AE38</f><v /></c><c r="AG38" s="303"><f>+(((Z38-Y38-AA38)/AA38)*100)</f><v /></c><c r="AH38" s="301"><f>AH37</f><v /></c><c r="AI38" s="363"><f>AI37</f><v /></c><c r="AJ38" s="363"><f>AJ37</f><v /></c><c r="AK38" s="357"><f>+Z38</f><v /></c><c r="AL38" s="357" t="n"><v>848.1900000000001</v></c><c r="AM38" s="366"><f>AM37</f><v /></c><c r="AN38" s="359"><f>AN37</f><v /></c><c r="AO38" s="360"><f>LEFT(AN38,2)</f><v /></c><c r="AP38" s="360"><f>RIGHT(AN38,6)</f><v /></c><c r="AQ38" s="360"><f>+(AO38*60+AP38)/(60*60)</f><v /></c><c r="AR38" s="361"><f>+AM38/AQ38</f><v /></c><c r="AS38" s="303"><f>+(((AL38-AK38-AM38)/AM38)*100)</f><v /></c><c r="AT38" s="367"><f>IF(I38&gt;=1,"NO CONFORME",IF(BK38="SIGDIFERENTES",BC38,BL38))</f><v /></c><c r="AU38" s="344"><f>B38&lt;=C38</f><v /></c><c r="AV38" s="344"><f>N38&lt;Y38</f><v /></c><c r="AW38" s="344"><f>Z38&lt;=AK38</f><v /></c><c r="AX38" s="344"><f>IF(I38&gt;=1,"Qcorrecto",IF(AND(AY38="aceptable",AZ38="aceptable",BA38="aceptable"),"Qcorrecto","Qincorrecto"))</f><v /></c><c r="AY38" s="345"><f>IF(AR38&lt;$AH$6,"error",IF(AR38&gt;$AH$6*1.1,"error","aceptable"))</f><v /></c><c r="AZ38" s="345"><f>IF(AF38&lt;$V$6,"error",IF(AF38&gt;$V$6*1.1,"error","aceptable"))</f><v /></c><c r="BA38" s="345"><f>IF(T38&lt;$J$6*0.9,"error",IF(T38&gt;$J$6,"error","aceptable"))</f><v /></c><c r="BB38" s="346"><f>(IF(ABS(U38)&lt;1.05,"CONFORME",IF(ABS(AG38)&lt;1.05,"CONFORME",IF(ABS(AS38)&lt;2.55,"CONFORME","NO CONFORME"))))</f><v /></c><c r="BC38" s="347"><f>(IF(ABS(U38)&gt;2.05,"NO CONFORME",IF(ABS(AG38)&gt;2.05,"NO CONFORME",IF(ABS(AS38)&gt;5.05,"NO CONFORME","CONFORME"))))</f><v /></c><c r="BD38" s="348"><f>SIGN(U38)</f><v /></c><c r="BE38" s="348"><f>SIGN(AG38)</f><v /></c><c r="BF38" s="348"><f>SIGN(AS38)</f><v /></c><c r="BG38" s="348"><f>CONCATENATE(BD38,BE38,BF38)</f><v /></c><c r="BH38" s="348"><f>IF(BG38="111","SI","SD")</f><v /></c><c r="BI38" s="348"><f>IF(BG38="-1-1-1","SI","SD")</f><v /></c><c r="BJ38" s="348"><f>OR(BH38="SI",BI38="SI")</f><v /></c><c r="BK38" s="348"><f>IF(BJ38=FALSE,"SIGDIFERENTES","SIGIGUALES")</f><v /></c><c r="BL38" s="345"><f>IF(BC38="NO CONFORME","NO CONFORME",IF(BB38="CONFORME","CONFORME","NO CONFORME"))</f><v /></c><c r="BM38" s="66" t="n" /><c r="BN38" s="66" t="n" /></row><row r="39" ht="15" customHeight="1"><c r="A39" s="368" t="n"><v>31</v></c><c r="B39" s="369"><f>B38</f><v /></c><c r="C39" s="369"><f>C38</f><v /></c><c r="D39" s="370"><f>D38</f><v /></c><c r="E39" s="371"><f>E38</f><v /></c><c r="F39" s="372" t="n" /><c r="G39" s="396" t="inlineStr"><is><t>QA24366419</t></is></c><c r="H39" s="374"><f>H38</f><v /></c><c r="I39" s="375"><f>I38</f><v /></c><c r="J39" s="376"><f>J38</f><v /></c><c r="K39" s="377"><f>K38</f><v /></c><c r="L39" s="377"><f>L38</f><v /></c><c r="M39" s="378" t="n"><v>571.8099999999999</v></c><c r="N39" s="378" t="n"><v>672.5</v></c><c r="O39" s="379"><f>O38</f><v /></c><c r="P39" s="380"><f>P38</f><v /></c><c r="Q39" s="381"><f>LEFT(P39,1)</f><v /></c><c r="R39" s="381"><f>RIGHT(P39,6)</f><v /></c><c r="S39" s="381"><f>+(Q39*60+R39)/(60*60)</f><v /></c><c r="T39" s="382"><f>+O39/S39</f><v /></c><c r="U39" s="383"><f>+(((N39-M39-O39)/O39)*100)</f><v /></c><c r="V39" s="384"><f>V38</f><v /></c><c r="W39" s="385"><f>W38</f><v /></c><c r="X39" s="385"><f>X38</f><v /></c><c r="Y39" s="378" t="n"><v>677.05</v></c><c r="Z39" s="378" t="n"><v>682.01</v></c><c r="AA39" s="386"><f>AA38</f><v /></c><c r="AB39" s="387"><f>AB38</f><v /></c><c r="AC39" s="381"><f>LEFT(AB39,2)</f><v /></c><c r="AD39" s="381"><f>RIGHT(AB39,6)</f><v /></c><c r="AE39" s="381"><f>+(AC39*60+AD39)/(60*60)</f><v /></c><c r="AF39" s="382"><f>+AA39/AE39</f><v /></c><c r="AG39" s="388"><f>+(((Z39-Y39-AA39)/AA39)*100)</f><v /></c><c r="AH39" s="384"><f>AH38</f><v /></c><c r="AI39" s="385"><f>AI38</f><v /></c><c r="AJ39" s="385"><f>AJ38</f><v /></c><c r="AK39" s="378"><f>+Z39</f><v /></c><c r="AL39" s="378" t="n"><v>684.03</v></c><c r="AM39" s="389"><f>AM38</f><v /></c><c r="AN39" s="380"><f>AN38</f><v /></c><c r="AO39" s="381"><f>LEFT(AN39,2)</f><v /></c><c r="AP39" s="381"><f>RIGHT(AN39,6)</f><v /></c><c r="AQ39" s="381"><f>+(AO39*60+AP39)/(60*60)</f><v /></c><c r="AR39" s="382"><f>+AM39/AQ39</f><v /></c><c r="AS39" s="388"><f>+(((AL39-AK39-AM39)/AM39)*100)</f><v /></c><c r="AT39" s="390"><f>IF(I39&gt;=1,"NO CONFORME",IF(BK39="SIGDIFERENTES",BC39,BL39))</f><v /></c><c r="AU39" s="391"><f>B39&lt;=C39</f><v /></c><c r="AV39" s="391"><f>N39&lt;Y39</f><v /></c><c r="AW39" s="391"><f>Z39&lt;=AK39</f><v /></c><c r="AX39" s="391"><f>IF(I39&gt;=1,"Qcorrecto",IF(AND(AY39="aceptable",AZ39="aceptable",BA39="aceptable"),"Qcorrecto","Qincorrecto"))</f><v /></c><c r="AY39" s="392"><f>IF(AR39&lt;$AH$6,"error",IF(AR39&gt;$AH$6*1.1,"error","aceptable"))</f><v /></c><c r="AZ39" s="392"><f>IF(AF39&lt;$V$6,"error",IF(AF39&gt;$V$6*1.1,"error","aceptable"))</f><v /></c><c r="BA39" s="392"><f>IF(T39&lt;$J$6*0.9,"error",IF(T39&gt;$J$6,"error","aceptable"))</f><v /></c><c r="BB39" s="393"><f>(IF(ABS(U39)&lt;1.05,"CONFORME",IF(ABS(AG39)&lt;1.05,"CONFORME",IF(ABS(AS39)&lt;2.55,"CONFORME","NO CONFORME"))))</f><v /></c><c r="BC39" s="394"><f>(IF(ABS(U39)&gt;2.05,"NO CONFORME",IF(ABS(AG39)&gt;2.05,"NO CONFORME",IF(ABS(AS39)&gt;5.05,"NO CONFORME","CONFORME"))))</f><v /></c><c r="BD39" s="395"><f>SIGN(U39)</f><v /></c><c r="BE39" s="395"><f>SIGN(AG39)</f><v /></c><c r="BF39" s="395"><f>SIGN(AS39)</f><v /></c><c r="BG39" s="395"><f>CONCATENATE(BD39,BE39,BF39)</f><v /></c><c r="BH39" s="395"><f>IF(BG39="111","SI","SD")</f><v /></c><c r="BI39" s="395"><f>IF(BG39="-1-1-1","SI","SD")</f><v /></c><c r="BJ39" s="395"><f>OR(BH39="SI",BI39="SI")</f><v /></c><c r="BK39" s="395"><f>IF(BJ39=FALSE,"SIGDIFERENTES","SIGIGUALES")</f><v /></c><c r="BL39" s="392"><f>IF(BC39="NO CONFORME","NO CONFORME",IF(BB39="CONFORME","CONFORME","NO CONFORME"))</f><v /></c><c r="BM39" s="66" t="n" /><c r="BN39" s="66" t="n" /></row><row r="40" ht="15.75" customHeight="1" thickBot="1"><c r="A40" s="9" t="n"><v>32</v></c><c r="B40" s="296"><f>B39</f><v /></c><c r="C40" s="296"><f>C39</f><v /></c><c r="D40" s="11"><f>D39</f><v /></c><c r="E40" s="9"><f>E39</f><v /></c><c r="F40" s="12" t="n" /><c r="G40" s="297" t="n" /><c r="H40" s="90"><f>H39</f><v /></c><c r="I40" s="90" t="n" /><c r="J40" s="298"><f>J39</f><v /></c><c r="K40" s="298"><f>K39</f><v /></c><c r="L40" s="298"><f>L39</f><v /></c><c r="M40" s="52" t="n" /><c r="N40" s="52" t="n" /><c r="O40" s="30"><f>O39</f><v /></c><c r="P40" s="299"><f>P39</f><v /></c><c r="Q40" s="10"><f>LEFT(P40,1)</f><v /></c><c r="R40" s="10"><f>RIGHT(P40,6)</f><v /></c><c r="S40" s="10"><f>+(Q40*60+R40)/(60*60)</f><v /></c><c r="T40" s="13"><f>+O40/S40</f><v /></c><c r="U40" s="300"><f>+(((N40-M40-O40)/O40)*100)</f><v /></c><c r="V40" s="301"><f>V39</f><v /></c><c r="W40" s="302"><f>W39</f><v /></c><c r="X40" s="302"><f>X39</f><v /></c><c r="Y40" s="52" t="n" /><c r="Z40" s="52" t="n" /><c r="AA40" s="106"><f>AA39</f><v /></c><c r="AB40" s="299"><f>AB39</f><v /></c><c r="AC40" s="10"><f>LEFT(AB40,2)</f><v /></c><c r="AD40" s="10"><f>RIGHT(AB40,6)</f><v /></c><c r="AE40" s="10"><f>+(AC40*60+AD40)/(60*60)</f><v /></c><c r="AF40" s="13"><f>+AA40/AE40</f><v /></c><c r="AG40" s="303"><f>+(((Z40-Y40-AA40)/AA40)*100)</f><v /></c><c r="AH40" s="301"><f>AH39</f><v /></c><c r="AI40" s="301"><f>AI39</f><v /></c><c r="AJ40" s="301"><f>AJ39</f><v /></c><c r="AK40" s="52"><f>+Z40</f><v /></c><c r="AL40" s="52" t="n" /><c r="AM40" s="111"><f>AM39</f><v /></c><c r="AN40" s="299"><f>AN39</f><v /></c><c r="AO40" s="10"><f>LEFT(AN40,2)</f><v /></c><c r="AP40" s="10"><f>RIGHT(AN40,6)</f><v /></c><c r="AQ40" s="10"><f>+(AO40*60+AP40)/(60*60)</f><v /></c><c r="AR40" s="13"><f>+AM40/AQ40</f><v /></c><c r="AS40" s="303"><f>+(((AL40-AK40-AM40)/AM40)*100)</f><v /></c><c r="AT40" s="64"><f>IF(I40&gt;=1,"NO CONFORME",IF(BK40="SIGDIFERENTES",BC40,BL40))</f><v /></c><c r="AU40" s="21"><f>B40&lt;=C40</f><v /></c><c r="AV40" s="21"><f>N40&lt;Y40</f><v /></c><c r="AW40" s="21"><f>Z40&lt;=AK40</f><v /></c><c r="AX40" s="21"><f>IF(I40&gt;=1,"Qcorrecto",IF(AND(AY40="aceptable",AZ40="aceptable",BA40="aceptable"),"Qcorrecto","Qincorrecto"))</f><v /></c><c r="AY40" s="21"><f>IF(AR40&lt;$AH$6,"error",IF(AR40&gt;$AH$6*1.1,"error","aceptable"))</f><v /></c><c r="AZ40" s="21"><f>IF(AF40&lt;$V$6,"error",IF(AF40&gt;$V$6*1.1,"error","aceptable"))</f><v /></c><c r="BA40" s="21"><f>IF(T40&lt;$J$6*0.9,"error",IF(T40&gt;$J$6,"error","aceptable"))</f><v /></c><c r="BB40" s="65"><f>(IF(ABS(U40)&lt;1.05,"CONFORME",IF(ABS(AG40)&lt;1.05,"CONFORME",IF(ABS(AS40)&lt;2.55,"CONFORME","NO CONFORME"))))</f><v /></c><c r="BC40" s="62"><f>(IF(ABS(U40)&gt;2.05,"NO CONFORME",IF(ABS(AG40)&gt;2.05,"NO CONFORME",IF(ABS(AS40)&gt;5.05,"NO CONFORME","CONFORME"))))</f><v /></c><c r="BD40" s="64"><f>SIGN(U40)</f><v /></c><c r="BE40" s="64"><f>SIGN(AG40)</f><v /></c><c r="BF40" s="64"><f>SIGN(AS40)</f><v /></c><c r="BG40" s="64"><f>CONCATENATE(BD40,BE40,BF40)</f><v /></c><c r="BH40" s="64"><f>IF(BG40="111","SI","SD")</f><v /></c><c r="BI40" s="64"><f>IF(BG40="-1-1-1","SI","SD")</f><v /></c><c r="BJ40" s="64"><f>OR(BH40="SI",BI40="SI")</f><v /></c><c r="BK40" s="64"><f>IF(BJ40=FALSE,"SIGDIFERENTES","SIGIGUALES")</f><v /></c><c r="BL40" s="21"><f>IF(BC40="NO CONFORME","NO CONFORME",IF(BB40="CONFORME","CONFORME","NO CONFORME"))</f><v /></c><c r="BM40" s="66" t="n" /><c r="BN40" s="66" t="n" /></row><row r="41" ht="15" customHeight="1"><c r="A41" s="55" t="n"><v>33</v></c><c r="B41" s="304"><f>B40</f><v /></c><c r="C41" s="304"><f>C40</f><v /></c><c r="D41" s="94"><f>D40</f><v /></c><c r="E41" s="95"><f>E40</f><v /></c><c r="F41" s="96" t="n" /><c r="G41" s="305" t="n" /><c r="H41" s="98"><f>H40</f><v /></c><c r="I41" s="98" t="n" /><c r="J41" s="306"><f>J40</f><v /></c><c r="K41" s="306"><f>K40</f><v /></c><c r="L41" s="306"><f>L40</f><v /></c><c r="M41" s="100" t="n" /><c r="N41" s="100" t="n" /><c r="O41" s="101"><f>O40</f><v /></c><c r="P41" s="307"><f>P40</f><v /></c><c r="Q41" s="10"><f>LEFT(P41,1)</f><v /></c><c r="R41" s="10"><f>RIGHT(P41,6)</f><v /></c><c r="S41" s="10"><f>+(Q41*60+R41)/(60*60)</f><v /></c><c r="T41" s="13"><f>+O41/S41</f><v /></c><c r="U41" s="300"><f>+(((N41-M41-O41)/O41)*100)</f><v /></c><c r="V41" s="308"><f>V40</f><v /></c><c r="W41" s="309"><f>W40</f><v /></c><c r="X41" s="309"><f>X40</f><v /></c><c r="Y41" s="100" t="n" /><c r="Z41" s="100" t="n" /><c r="AA41" s="109"><f>AA40</f><v /></c><c r="AB41" s="307"><f>AB40</f><v /></c><c r="AC41" s="10"><f>LEFT(AB41,2)</f><v /></c><c r="AD41" s="10"><f>RIGHT(AB41,6)</f><v /></c><c r="AE41" s="10"><f>+(AC41*60+AD41)/(60*60)</f><v /></c><c r="AF41" s="13"><f>+AA41/AE41</f><v /></c><c r="AG41" s="303"><f>+(((Z41-Y41-AA41)/AA41)*100)</f><v /></c><c r="AH41" s="308"><f>AH40</f><v /></c><c r="AI41" s="308"><f>AI40</f><v /></c><c r="AJ41" s="308"><f>AJ40</f><v /></c><c r="AK41" s="100"><f>+Z41</f><v /></c><c r="AL41" s="100" t="n" /><c r="AM41" s="112"><f>AM40</f><v /></c><c r="AN41" s="307"><f>AN40</f><v /></c><c r="AO41" s="10"><f>LEFT(AN41,2)</f><v /></c><c r="AP41" s="10"><f>RIGHT(AN41,6)</f><v /></c><c r="AQ41" s="10"><f>+(AO41*60+AP41)/(60*60)</f><v /></c><c r="AR41" s="13"><f>+AM41/AQ41</f><v /></c><c r="AS41" s="303"><f>+(((AL41-AK41-AM41)/AM41)*100)</f><v /></c><c r="AT41" s="64"><f>IF(I41&gt;=1,"NO CONFORME",IF(BK41="SIGDIFERENTES",BC41,BL41))</f><v /></c><c r="AU41" s="21"><f>B41&lt;=C41</f><v /></c><c r="AV41" s="21"><f>N41&lt;Y41</f><v /></c><c r="AW41" s="21"><f>Z41&lt;=AK41</f><v /></c><c r="AX41" s="21"><f>IF(I41&gt;=1,"Qcorrecto",IF(AND(AY41="aceptable",AZ41="aceptable",BA41="aceptable"),"Qcorrecto","Qincorrecto"))</f><v /></c><c r="AY41" s="21"><f>IF(AR41&lt;$AH$6,"error",IF(AR41&gt;$AH$6*1.1,"error","aceptable"))</f><v /></c><c r="AZ41" s="21"><f>IF(AF41&lt;$V$6,"error",IF(AF41&gt;$V$6*1.1,"error","aceptable"))</f><v /></c><c r="BA41" s="21"><f>IF(T41&lt;$J$6*0.9,"error",IF(T41&gt;$J$6,"error","aceptable"))</f><v /></c><c r="BB41" s="65"><f>(IF(ABS(U41)&lt;1.05,"CONFORME",IF(ABS(AG41)&lt;1.05,"CONFORME",IF(ABS(AS41)&lt;2.55,"CONFORME","NO CONFORME"))))</f><v /></c><c r="BC41" s="62"><f>(IF(ABS(U41)&gt;2.05,"NO CONFORME",IF(ABS(AG41)&gt;2.05,"NO CONFORME",IF(ABS(AS41)&gt;5.05,"NO CONFORME","CONFORME"))))</f><v /></c><c r="BD41" s="64"><f>SIGN(U41)</f><v /></c><c r="BE41" s="64"><f>SIGN(AG41)</f><v /></c><c r="BF41" s="64"><f>SIGN(AS41)</f><v /></c><c r="BG41" s="64"><f>CONCATENATE(BD41,BE41,BF41)</f><v /></c><c r="BH41" s="64"><f>IF(BG41="111","SI","SD")</f><v /></c><c r="BI41" s="64"><f>IF(BG41="-1-1-1","SI","SD")</f><v /></c><c r="BJ41" s="64"><f>OR(BH41="SI",BI41="SI")</f><v /></c><c r="BK41" s="64"><f>IF(BJ41=FALSE,"SIGDIFERENTES","SIGIGUALES")</f><v /></c><c r="BL41" s="21"><f>IF(BC41="NO CONFORME","NO CONFORME",IF(BB41="CONFORME","CONFORME","NO CONFORME"))</f><v /></c><c r="BM41" s="66" t="n" /><c r="BN41" s="66" t="n" /></row><row r="42" ht="15.75" customHeight="1" thickBot="1"><c r="A42" s="9" t="n"><v>34</v></c><c r="B42" s="296"><f>B41</f><v /></c><c r="C42" s="296"><f>C41</f><v /></c><c r="D42" s="11"><f>D41</f><v /></c><c r="E42" s="9"><f>E41</f><v /></c><c r="F42" s="12" t="n" /><c r="G42" s="297" t="n" /><c r="H42" s="90"><f>H41</f><v /></c><c r="I42" s="90" t="n" /><c r="J42" s="298"><f>J41</f><v /></c><c r="K42" s="298"><f>K41</f><v /></c><c r="L42" s="298"><f>L41</f><v /></c><c r="M42" s="52" t="n" /><c r="N42" s="52" t="n" /><c r="O42" s="30"><f>O41</f><v /></c><c r="P42" s="299"><f>P41</f><v /></c><c r="Q42" s="10"><f>LEFT(P42,1)</f><v /></c><c r="R42" s="10"><f>RIGHT(P42,6)</f><v /></c><c r="S42" s="10"><f>+(Q42*60+R42)/(60*60)</f><v /></c><c r="T42" s="13"><f>+O42/S42</f><v /></c><c r="U42" s="300"><f>+(((N42-M42-O42)/O42)*100)</f><v /></c><c r="V42" s="301"><f>V41</f><v /></c><c r="W42" s="302"><f>W41</f><v /></c><c r="X42" s="302"><f>X41</f><v /></c><c r="Y42" s="52" t="n" /><c r="Z42" s="52" t="n" /><c r="AA42" s="106"><f>AA41</f><v /></c><c r="AB42" s="299"><f>AB41</f><v /></c><c r="AC42" s="10"><f>LEFT(AB42,2)</f><v /></c><c r="AD42" s="10"><f>RIGHT(AB42,6)</f><v /></c><c r="AE42" s="10"><f>+(AC42*60+AD42)/(60*60)</f><v /></c><c r="AF42" s="13"><f>+AA42/AE42</f><v /></c><c r="AG42" s="303"><f>+(((Z42-Y42-AA42)/AA42)*100)</f><v /></c><c r="AH42" s="301"><f>AH41</f><v /></c><c r="AI42" s="301"><f>AI41</f><v /></c><c r="AJ42" s="301"><f>AJ41</f><v /></c><c r="AK42" s="52"><f>+Z42</f><v /></c><c r="AL42" s="52" t="n" /><c r="AM42" s="111"><f>AM41</f><v /></c><c r="AN42" s="299"><f>AN41</f><v /></c><c r="AO42" s="10"><f>LEFT(AN42,2)</f><v /></c><c r="AP42" s="10"><f>RIGHT(AN42,6)</f><v /></c><c r="AQ42" s="10"><f>+(AO42*60+AP42)/(60*60)</f><v /></c><c r="AR42" s="13"><f>+AM42/AQ42</f><v /></c><c r="AS42" s="303"><f>+(((AL42-AK42-AM42)/AM42)*100)</f><v /></c><c r="AT42" s="64"><f>IF(I42&gt;=1,"NO CONFORME",IF(BK42="SIGDIFERENTES",BC42,BL42))</f><v /></c><c r="AU42" s="21"><f>B42&lt;=C42</f><v /></c><c r="AV42" s="21"><f>N42&lt;Y42</f><v /></c><c r="AW42" s="21"><f>Z42&lt;=AK42</f><v /></c><c r="AX42" s="21"><f>IF(I42&gt;=1,"Qcorrecto",IF(AND(AY42="aceptable",AZ42="aceptable",BA42="aceptable"),"Qcorrecto","Qincorrecto"))</f><v /></c><c r="AY42" s="21"><f>IF(AR42&lt;$AH$6,"error",IF(AR42&gt;$AH$6*1.1,"error","aceptable"))</f><v /></c><c r="AZ42" s="21"><f>IF(AF42&lt;$V$6,"error",IF(AF42&gt;$V$6*1.1,"error","aceptable"))</f><v /></c><c r="BA42" s="21"><f>IF(T42&lt;$J$6*0.9,"error",IF(T42&gt;$J$6,"error","aceptable"))</f><v /></c><c r="BB42" s="65"><f>(IF(ABS(U42)&lt;1.05,"CONFORME",IF(ABS(AG42)&lt;1.05,"CONFORME",IF(ABS(AS42)&lt;2.55,"CONFORME","NO CONFORME"))))</f><v /></c><c r="BC42" s="62"><f>(IF(ABS(U42)&gt;2.05,"NO CONFORME",IF(ABS(AG42)&gt;2.05,"NO CONFORME",IF(ABS(AS42)&gt;5.05,"NO CONFORME","CONFORME"))))</f><v /></c><c r="BD42" s="64"><f>SIGN(U42)</f><v /></c><c r="BE42" s="64"><f>SIGN(AG42)</f><v /></c><c r="BF42" s="64"><f>SIGN(AS42)</f><v /></c><c r="BG42" s="64"><f>CONCATENATE(BD42,BE42,BF42)</f><v /></c><c r="BH42" s="64"><f>IF(BG42="111","SI","SD")</f><v /></c><c r="BI42" s="64"><f>IF(BG42="-1-1-1","SI","SD")</f><v /></c><c r="BJ42" s="64"><f>OR(BH42="SI",BI42="SI")</f><v /></c><c r="BK42" s="64"><f>IF(BJ42=FALSE,"SIGDIFERENTES","SIGIGUALES")</f><v /></c><c r="BL42" s="21"><f>IF(BC42="NO CONFORME","NO CONFORME",IF(BB42="CONFORME","CONFORME","NO CONFORME"))</f><v /></c><c r="BM42" s="66" t="n" /><c r="BN42" s="66" t="n" /></row><row r="43" ht="15" customHeight="1"><c r="A43" s="55" t="n"><v>35</v></c><c r="B43" s="304"><f>B42</f><v /></c><c r="C43" s="304"><f>C42</f><v /></c><c r="D43" s="94"><f>D42</f><v /></c><c r="E43" s="95"><f>E42</f><v /></c><c r="F43" s="96" t="n" /><c r="G43" s="305" t="n" /><c r="H43" s="98"><f>H42</f><v /></c><c r="I43" s="98" t="n" /><c r="J43" s="306"><f>J42</f><v /></c><c r="K43" s="306"><f>K42</f><v /></c><c r="L43" s="306"><f>L42</f><v /></c><c r="M43" s="100" t="n" /><c r="N43" s="100" t="n" /><c r="O43" s="101"><f>O42</f><v /></c><c r="P43" s="307"><f>P42</f><v /></c><c r="Q43" s="10"><f>LEFT(P43,1)</f><v /></c><c r="R43" s="10"><f>RIGHT(P43,6)</f><v /></c><c r="S43" s="10"><f>+(Q43*60+R43)/(60*60)</f><v /></c><c r="T43" s="13"><f>+O43/S43</f><v /></c><c r="U43" s="300"><f>+(((N43-M43-O43)/O43)*100)</f><v /></c><c r="V43" s="308"><f>V42</f><v /></c><c r="W43" s="309"><f>W42</f><v /></c><c r="X43" s="309"><f>X42</f><v /></c><c r="Y43" s="100" t="n" /><c r="Z43" s="100" t="n" /><c r="AA43" s="109"><f>AA42</f><v /></c><c r="AB43" s="307"><f>AB42</f><v /></c><c r="AC43" s="10"><f>LEFT(AB43,2)</f><v /></c><c r="AD43" s="10"><f>RIGHT(AB43,6)</f><v /></c><c r="AE43" s="10"><f>+(AC43*60+AD43)/(60*60)</f><v /></c><c r="AF43" s="13"><f>+AA43/AE43</f><v /></c><c r="AG43" s="303"><f>+(((Z43-Y43-AA43)/AA43)*100)</f><v /></c><c r="AH43" s="308"><f>AH42</f><v /></c><c r="AI43" s="308"><f>AI42</f><v /></c><c r="AJ43" s="308"><f>AJ42</f><v /></c><c r="AK43" s="100"><f>+Z43</f><v /></c><c r="AL43" s="100" t="n" /><c r="AM43" s="112"><f>AM42</f><v /></c><c r="AN43" s="307"><f>AN42</f><v /></c><c r="AO43" s="10"><f>LEFT(AN43,2)</f><v /></c><c r="AP43" s="10"><f>RIGHT(AN43,6)</f><v /></c><c r="AQ43" s="10"><f>+(AO43*60+AP43)/(60*60)</f><v /></c><c r="AR43" s="13"><f>+AM43/AQ43</f><v /></c><c r="AS43" s="303"><f>+(((AL43-AK43-AM43)/AM43)*100)</f><v /></c><c r="AT43" s="64"><f>IF(I43&gt;=1,"NO CONFORME",IF(BK43="SIGDIFERENTES",BC43,BL43))</f><v /></c><c r="AU43" s="21"><f>B43&lt;=C43</f><v /></c><c r="AV43" s="21"><f>N43&lt;Y43</f><v /></c><c r="AW43" s="21"><f>Z43&lt;=AK43</f><v /></c><c r="AX43" s="21"><f>IF(I43&gt;=1,"Qcorrecto",IF(AND(AY43="aceptable",AZ43="aceptable",BA43="aceptable"),"Qcorrecto","Qincorrecto"))</f><v /></c><c r="AY43" s="21"><f>IF(AR43&lt;$AH$6,"error",IF(AR43&gt;$AH$6*1.1,"error","aceptable"))</f><v /></c><c r="AZ43" s="21"><f>IF(AF43&lt;$V$6,"error",IF(AF43&gt;$V$6*1.1,"error","aceptable"))</f><v /></c><c r="BA43" s="21"><f>IF(T43&lt;$J$6*0.9,"error",IF(T43&gt;$J$6,"error","aceptable"))</f><v /></c><c r="BB43" s="65"><f>(IF(ABS(U43)&lt;1.05,"CONFORME",IF(ABS(AG43)&lt;1.05,"CONFORME",IF(ABS(AS43)&lt;2.55,"CONFORME","NO CONFORME"))))</f><v /></c><c r="BC43" s="62"><f>(IF(ABS(U43)&gt;2.05,"NO CONFORME",IF(ABS(AG43)&gt;2.05,"NO CONFORME",IF(ABS(AS43)&gt;5.05,"NO CONFORME","CONFORME"))))</f><v /></c><c r="BD43" s="64"><f>SIGN(U43)</f><v /></c><c r="BE43" s="64"><f>SIGN(AG43)</f><v /></c><c r="BF43" s="64"><f>SIGN(AS43)</f><v /></c><c r="BG43" s="64"><f>CONCATENATE(BD43,BE43,BF43)</f><v /></c><c r="BH43" s="64"><f>IF(BG43="111","SI","SD")</f><v /></c><c r="BI43" s="64"><f>IF(BG43="-1-1-1","SI","SD")</f><v /></c><c r="BJ43" s="64"><f>OR(BH43="SI",BI43="SI")</f><v /></c><c r="BK43" s="64"><f>IF(BJ43=FALSE,"SIGDIFERENTES","SIGIGUALES")</f><v /></c><c r="BL43" s="21"><f>IF(BC43="NO CONFORME","NO CONFORME",IF(BB43="CONFORME","CONFORME","NO CONFORME"))</f><v /></c><c r="BM43" s="66" t="n" /><c r="BN43" s="66" t="n" /></row><row r="44" ht="15.75" customHeight="1" thickBot="1"><c r="A44" s="9" t="n"><v>36</v></c><c r="B44" s="296"><f>B43</f><v /></c><c r="C44" s="296"><f>C43</f><v /></c><c r="D44" s="11"><f>D43</f><v /></c><c r="E44" s="9"><f>E43</f><v /></c><c r="F44" s="12" t="n" /><c r="G44" s="297" t="n" /><c r="H44" s="90"><f>H43</f><v /></c><c r="I44" s="90" t="n" /><c r="J44" s="298"><f>J43</f><v /></c><c r="K44" s="298"><f>K43</f><v /></c><c r="L44" s="298"><f>L43</f><v /></c><c r="M44" s="52" t="n" /><c r="N44" s="52" t="n" /><c r="O44" s="30"><f>O43</f><v /></c><c r="P44" s="299"><f>P43</f><v /></c><c r="Q44" s="10"><f>LEFT(P44,1)</f><v /></c><c r="R44" s="10"><f>RIGHT(P44,6)</f><v /></c><c r="S44" s="10"><f>+(Q44*60+R44)/(60*60)</f><v /></c><c r="T44" s="13"><f>+O44/S44</f><v /></c><c r="U44" s="300"><f>+(((N44-M44-O44)/O44)*100)</f><v /></c><c r="V44" s="301"><f>V43</f><v /></c><c r="W44" s="302"><f>W43</f><v /></c><c r="X44" s="302"><f>X43</f><v /></c><c r="Y44" s="52" t="n" /><c r="Z44" s="52" t="n" /><c r="AA44" s="106"><f>AA43</f><v /></c><c r="AB44" s="299"><f>AB43</f><v /></c><c r="AC44" s="10"><f>LEFT(AB44,2)</f><v /></c><c r="AD44" s="10"><f>RIGHT(AB44,6)</f><v /></c><c r="AE44" s="10"><f>+(AC44*60+AD44)/(60*60)</f><v /></c><c r="AF44" s="13"><f>+AA44/AE44</f><v /></c><c r="AG44" s="303"><f>+(((Z44-Y44-AA44)/AA44)*100)</f><v /></c><c r="AH44" s="301"><f>AH43</f><v /></c><c r="AI44" s="301"><f>AI43</f><v /></c><c r="AJ44" s="301"><f>AJ43</f><v /></c><c r="AK44" s="52"><f>+Z44</f><v /></c><c r="AL44" s="52" t="n" /><c r="AM44" s="111"><f>AM43</f><v /></c><c r="AN44" s="299"><f>AN43</f><v /></c><c r="AO44" s="10"><f>LEFT(AN44,2)</f><v /></c><c r="AP44" s="10"><f>RIGHT(AN44,6)</f><v /></c><c r="AQ44" s="10"><f>+(AO44*60+AP44)/(60*60)</f><v /></c><c r="AR44" s="13"><f>+AM44/AQ44</f><v /></c><c r="AS44" s="303"><f>+(((AL44-AK44-AM44)/AM44)*100)</f><v /></c><c r="AT44" s="64"><f>IF(I44&gt;=1,"NO CONFORME",IF(BK44="SIGDIFERENTES",BC44,BL44))</f><v /></c><c r="AU44" s="21"><f>B44&lt;=C44</f><v /></c><c r="AV44" s="21"><f>N44&lt;Y44</f><v /></c><c r="AW44" s="21"><f>Z44&lt;=AK44</f><v /></c><c r="AX44" s="21"><f>IF(I44&gt;=1,"Qcorrecto",IF(AND(AY44="aceptable",AZ44="aceptable",BA44="aceptable"),"Qcorrecto","Qincorrecto"))</f><v /></c><c r="AY44" s="21"><f>IF(AR44&lt;$AH$6,"error",IF(AR44&gt;$AH$6*1.1,"error","aceptable"))</f><v /></c><c r="AZ44" s="21"><f>IF(AF44&lt;$V$6,"error",IF(AF44&gt;$V$6*1.1,"error","aceptable"))</f><v /></c><c r="BA44" s="21"><f>IF(T44&lt;$J$6*0.9,"error",IF(T44&gt;$J$6,"error","aceptable"))</f><v /></c><c r="BB44" s="65"><f>(IF(ABS(U44)&lt;1.05,"CONFORME",IF(ABS(AG44)&lt;1.05,"CONFORME",IF(ABS(AS44)&lt;2.55,"CONFORME","NO CONFORME"))))</f><v /></c><c r="BC44" s="62"><f>(IF(ABS(U44)&gt;2.05,"NO CONFORME",IF(ABS(AG44)&gt;2.05,"NO CONFORME",IF(ABS(AS44)&gt;5.05,"NO CONFORME","CONFORME"))))</f><v /></c><c r="BD44" s="64"><f>SIGN(U44)</f><v /></c><c r="BE44" s="64"><f>SIGN(AG44)</f><v /></c><c r="BF44" s="64"><f>SIGN(AS44)</f><v /></c><c r="BG44" s="64"><f>CONCATENATE(BD44,BE44,BF44)</f><v /></c><c r="BH44" s="64"><f>IF(BG44="111","SI","SD")</f><v /></c><c r="BI44" s="64"><f>IF(BG44="-1-1-1","SI","SD")</f><v /></c><c r="BJ44" s="64"><f>OR(BH44="SI",BI44="SI")</f><v /></c><c r="BK44" s="64"><f>IF(BJ44=FALSE,"SIGDIFERENTES","SIGIGUALES")</f><v /></c><c r="BL44" s="21"><f>IF(BC44="NO CONFORME","NO CONFORME",IF(BB44="CONFORME","CONFORME","NO CONFORME"))</f><v /></c><c r="BM44" s="66" t="n" /><c r="BN44" s="66" t="n" /></row><row r="45" ht="15" customHeight="1"><c r="A45" s="55" t="n"><v>37</v></c><c r="B45" s="304"><f>B44</f><v /></c><c r="C45" s="304"><f>C44</f><v /></c><c r="D45" s="94"><f>D44</f><v /></c><c r="E45" s="95"><f>E44</f><v /></c><c r="F45" s="96" t="n" /><c r="G45" s="305" t="n" /><c r="H45" s="98"><f>H44</f><v /></c><c r="I45" s="98" t="n" /><c r="J45" s="306"><f>J44</f><v /></c><c r="K45" s="306"><f>K44</f><v /></c><c r="L45" s="306"><f>L44</f><v /></c><c r="M45" s="100" t="n" /><c r="N45" s="100" t="n" /><c r="O45" s="101"><f>O44</f><v /></c><c r="P45" s="307"><f>P44</f><v /></c><c r="Q45" s="10"><f>LEFT(P45,1)</f><v /></c><c r="R45" s="10"><f>RIGHT(P45,6)</f><v /></c><c r="S45" s="10"><f>+(Q45*60+R45)/(60*60)</f><v /></c><c r="T45" s="13"><f>+O45/S45</f><v /></c><c r="U45" s="300"><f>+(((N45-M45-O45)/O45)*100)</f><v /></c><c r="V45" s="308"><f>V44</f><v /></c><c r="W45" s="309"><f>W44</f><v /></c><c r="X45" s="309"><f>X44</f><v /></c><c r="Y45" s="100" t="n" /><c r="Z45" s="100" t="n" /><c r="AA45" s="109"><f>AA44</f><v /></c><c r="AB45" s="307"><f>AB44</f><v /></c><c r="AC45" s="10"><f>LEFT(AB45,2)</f><v /></c><c r="AD45" s="10"><f>RIGHT(AB45,6)</f><v /></c><c r="AE45" s="10"><f>+(AC45*60+AD45)/(60*60)</f><v /></c><c r="AF45" s="13"><f>+AA45/AE45</f><v /></c><c r="AG45" s="303"><f>+(((Z45-Y45-AA45)/AA45)*100)</f><v /></c><c r="AH45" s="308"><f>AH44</f><v /></c><c r="AI45" s="308"><f>AI44</f><v /></c><c r="AJ45" s="308"><f>AJ44</f><v /></c><c r="AK45" s="100"><f>+Z45</f><v /></c><c r="AL45" s="100" t="n" /><c r="AM45" s="112"><f>AM44</f><v /></c><c r="AN45" s="307"><f>AN44</f><v /></c><c r="AO45" s="10"><f>LEFT(AN45,2)</f><v /></c><c r="AP45" s="10"><f>RIGHT(AN45,6)</f><v /></c><c r="AQ45" s="10"><f>+(AO45*60+AP45)/(60*60)</f><v /></c><c r="AR45" s="13"><f>+AM45/AQ45</f><v /></c><c r="AS45" s="303"><f>+(((AL45-AK45-AM45)/AM45)*100)</f><v /></c><c r="AT45" s="64"><f>IF(I45&gt;=1,"NO CONFORME",IF(BK45="SIGDIFERENTES",BC45,BL45))</f><v /></c><c r="AU45" s="21"><f>B45&lt;=C45</f><v /></c><c r="AV45" s="21"><f>N45&lt;Y45</f><v /></c><c r="AW45" s="21"><f>Z45&lt;=AK45</f><v /></c><c r="AX45" s="21"><f>IF(I45&gt;=1,"Qcorrecto",IF(AND(AY45="aceptable",AZ45="aceptable",BA45="aceptable"),"Qcorrecto","Qincorrecto"))</f><v /></c><c r="AY45" s="21"><f>IF(AR45&lt;$AH$6,"error",IF(AR45&gt;$AH$6*1.1,"error","aceptable"))</f><v /></c><c r="AZ45" s="21"><f>IF(AF45&lt;$V$6,"error",IF(AF45&gt;$V$6*1.1,"error","aceptable"))</f><v /></c><c r="BA45" s="21"><f>IF(T45&lt;$J$6*0.9,"error",IF(T45&gt;$J$6,"error","aceptable"))</f><v /></c><c r="BB45" s="65"><f>(IF(ABS(U45)&lt;1.05,"CONFORME",IF(ABS(AG45)&lt;1.05,"CONFORME",IF(ABS(AS45)&lt;2.55,"CONFORME","NO CONFORME"))))</f><v /></c><c r="BC45" s="62"><f>(IF(ABS(U45)&gt;2.05,"NO CONFORME",IF(ABS(AG45)&gt;2.05,"NO CONFORME",IF(ABS(AS45)&gt;5.05,"NO CONFORME","CONFORME"))))</f><v /></c><c r="BD45" s="64"><f>SIGN(U45)</f><v /></c><c r="BE45" s="64"><f>SIGN(AG45)</f><v /></c><c r="BF45" s="64"><f>SIGN(AS45)</f><v /></c><c r="BG45" s="64"><f>CONCATENATE(BD45,BE45,BF45)</f><v /></c><c r="BH45" s="64"><f>IF(BG45="111","SI","SD")</f><v /></c><c r="BI45" s="64"><f>IF(BG45="-1-1-1","SI","SD")</f><v /></c><c r="BJ45" s="64"><f>OR(BH45="SI",BI45="SI")</f><v /></c><c r="BK45" s="64"><f>IF(BJ45=FALSE,"SIGDIFERENTES","SIGIGUALES")</f><v /></c><c r="BL45" s="21"><f>IF(BC45="NO CONFORME","NO CONFORME",IF(BB45="CONFORME","CONFORME","NO CONFORME"))</f><v /></c><c r="BM45" s="66" t="n" /><c r="BN45" s="66" t="n" /></row><row r="46" ht="15.75" customHeight="1" thickBot="1"><c r="A46" s="9" t="n"><v>38</v></c><c r="B46" s="296"><f>B45</f><v /></c><c r="C46" s="296"><f>C45</f><v /></c><c r="D46" s="11"><f>D45</f><v /></c><c r="E46" s="9"><f>E45</f><v /></c><c r="F46" s="12" t="n" /><c r="G46" s="297" t="n" /><c r="H46" s="90"><f>H45</f><v /></c><c r="I46" s="90" t="n" /><c r="J46" s="298"><f>J45</f><v /></c><c r="K46" s="298"><f>K45</f><v /></c><c r="L46" s="298"><f>L45</f><v /></c><c r="M46" s="52" t="n" /><c r="N46" s="52" t="n" /><c r="O46" s="30"><f>O45</f><v /></c><c r="P46" s="299"><f>P45</f><v /></c><c r="Q46" s="10"><f>LEFT(P46,1)</f><v /></c><c r="R46" s="10"><f>RIGHT(P46,6)</f><v /></c><c r="S46" s="10"><f>+(Q46*60+R46)/(60*60)</f><v /></c><c r="T46" s="13"><f>+O46/S46</f><v /></c><c r="U46" s="300"><f>+(((N46-M46-O46)/O46)*100)</f><v /></c><c r="V46" s="301"><f>V45</f><v /></c><c r="W46" s="302"><f>W45</f><v /></c><c r="X46" s="302"><f>X45</f><v /></c><c r="Y46" s="52" t="n" /><c r="Z46" s="52" t="n" /><c r="AA46" s="106"><f>AA45</f><v /></c><c r="AB46" s="299"><f>AB45</f><v /></c><c r="AC46" s="10"><f>LEFT(AB46,2)</f><v /></c><c r="AD46" s="10"><f>RIGHT(AB46,6)</f><v /></c><c r="AE46" s="10"><f>+(AC46*60+AD46)/(60*60)</f><v /></c><c r="AF46" s="13"><f>+AA46/AE46</f><v /></c><c r="AG46" s="303"><f>+(((Z46-Y46-AA46)/AA46)*100)</f><v /></c><c r="AH46" s="301"><f>AH45</f><v /></c><c r="AI46" s="301"><f>AI45</f><v /></c><c r="AJ46" s="301"><f>AJ45</f><v /></c><c r="AK46" s="52"><f>+Z46</f><v /></c><c r="AL46" s="52" t="n" /><c r="AM46" s="111"><f>AM45</f><v /></c><c r="AN46" s="299"><f>AN45</f><v /></c><c r="AO46" s="10"><f>LEFT(AN46,2)</f><v /></c><c r="AP46" s="10"><f>RIGHT(AN46,6)</f><v /></c><c r="AQ46" s="10"><f>+(AO46*60+AP46)/(60*60)</f><v /></c><c r="AR46" s="13"><f>+AM46/AQ46</f><v /></c><c r="AS46" s="303"><f>+(((AL46-AK46-AM46)/AM46)*100)</f><v /></c><c r="AT46" s="64"><f>IF(I46&gt;=1,"NO CONFORME",IF(BK46="SIGDIFERENTES",BC46,BL46))</f><v /></c><c r="AU46" s="21"><f>B46&lt;=C46</f><v /></c><c r="AV46" s="21"><f>N46&lt;Y46</f><v /></c><c r="AW46" s="21"><f>Z46&lt;=AK46</f><v /></c><c r="AX46" s="21"><f>IF(I46&gt;=1,"Qcorrecto",IF(AND(AY46="aceptable",AZ46="aceptable",BA46="aceptable"),"Qcorrecto","Qincorrecto"))</f><v /></c><c r="AY46" s="21"><f>IF(AR46&lt;$AH$6,"error",IF(AR46&gt;$AH$6*1.1,"error","aceptable"))</f><v /></c><c r="AZ46" s="21"><f>IF(AF46&lt;$V$6,"error",IF(AF46&gt;$V$6*1.1,"error","aceptable"))</f><v /></c><c r="BA46" s="21"><f>IF(T46&lt;$J$6*0.9,"error",IF(T46&gt;$J$6,"error","aceptable"))</f><v /></c><c r="BB46" s="65"><f>(IF(ABS(U46)&lt;1.05,"CONFORME",IF(ABS(AG46)&lt;1.05,"CONFORME",IF(ABS(AS46)&lt;2.55,"CONFORME","NO CONFORME"))))</f><v /></c><c r="BC46" s="62"><f>(IF(ABS(U46)&gt;2.05,"NO CONFORME",IF(ABS(AG46)&gt;2.05,"NO CONFORME",IF(ABS(AS46)&gt;5.05,"NO CONFORME","CONFORME"))))</f><v /></c><c r="BD46" s="64"><f>SIGN(U46)</f><v /></c><c r="BE46" s="64"><f>SIGN(AG46)</f><v /></c><c r="BF46" s="64"><f>SIGN(AS46)</f><v /></c><c r="BG46" s="64"><f>CONCATENATE(BD46,BE46,BF46)</f><v /></c><c r="BH46" s="64"><f>IF(BG46="111","SI","SD")</f><v /></c><c r="BI46" s="64"><f>IF(BG46="-1-1-1","SI","SD")</f><v /></c><c r="BJ46" s="64"><f>OR(BH46="SI",BI46="SI")</f><v /></c><c r="BK46" s="64"><f>IF(BJ46=FALSE,"SIGDIFERENTES","SIGIGUALES")</f><v /></c><c r="BL46" s="21"><f>IF(BC46="NO CONFORME","NO CONFORME",IF(BB46="CONFORME","CONFORME","NO CONFORME"))</f><v /></c><c r="BM46" s="66" t="n" /><c r="BN46" s="66" t="n" /></row><row r="47" ht="15" customHeight="1"><c r="A47" s="55" t="n"><v>39</v></c><c r="B47" s="304"><f>B46</f><v /></c><c r="C47" s="304"><f>C46</f><v /></c><c r="D47" s="94"><f>D46</f><v /></c><c r="E47" s="95"><f>E46</f><v /></c><c r="F47" s="96" t="n" /><c r="G47" s="305" t="n" /><c r="H47" s="98"><f>H46</f><v /></c><c r="I47" s="98" t="n" /><c r="J47" s="306"><f>J46</f><v /></c><c r="K47" s="306"><f>K46</f><v /></c><c r="L47" s="306"><f>L46</f><v /></c><c r="M47" s="100" t="n" /><c r="N47" s="100" t="n" /><c r="O47" s="101"><f>O46</f><v /></c><c r="P47" s="307"><f>P46</f><v /></c><c r="Q47" s="10"><f>LEFT(P47,1)</f><v /></c><c r="R47" s="10"><f>RIGHT(P47,6)</f><v /></c><c r="S47" s="10"><f>+(Q47*60+R47)/(60*60)</f><v /></c><c r="T47" s="13"><f>+O47/S47</f><v /></c><c r="U47" s="300"><f>+(((N47-M47-O47)/O47)*100)</f><v /></c><c r="V47" s="308"><f>V46</f><v /></c><c r="W47" s="309"><f>W46</f><v /></c><c r="X47" s="309"><f>X46</f><v /></c><c r="Y47" s="100" t="n" /><c r="Z47" s="100" t="n" /><c r="AA47" s="109"><f>AA46</f><v /></c><c r="AB47" s="307"><f>AB46</f><v /></c><c r="AC47" s="10"><f>LEFT(AB47,2)</f><v /></c><c r="AD47" s="10"><f>RIGHT(AB47,6)</f><v /></c><c r="AE47" s="10"><f>+(AC47*60+AD47)/(60*60)</f><v /></c><c r="AF47" s="13"><f>+AA47/AE47</f><v /></c><c r="AG47" s="303"><f>+(((Z47-Y47-AA47)/AA47)*100)</f><v /></c><c r="AH47" s="308"><f>AH46</f><v /></c><c r="AI47" s="308"><f>AI46</f><v /></c><c r="AJ47" s="308"><f>AJ46</f><v /></c><c r="AK47" s="100"><f>+Z47</f><v /></c><c r="AL47" s="100" t="n" /><c r="AM47" s="112"><f>AM46</f><v /></c><c r="AN47" s="307"><f>AN46</f><v /></c><c r="AO47" s="10"><f>LEFT(AN47,2)</f><v /></c><c r="AP47" s="10"><f>RIGHT(AN47,6)</f><v /></c><c r="AQ47" s="10"><f>+(AO47*60+AP47)/(60*60)</f><v /></c><c r="AR47" s="13"><f>+AM47/AQ47</f><v /></c><c r="AS47" s="303"><f>+(((AL47-AK47-AM47)/AM47)*100)</f><v /></c><c r="AT47" s="64"><f>IF(I47&gt;=1,"NO CONFORME",IF(BK47="SIGDIFERENTES",BC47,BL47))</f><v /></c><c r="AU47" s="21"><f>B47&lt;=C47</f><v /></c><c r="AV47" s="21"><f>N47&lt;Y47</f><v /></c><c r="AW47" s="21"><f>Z47&lt;=AK47</f><v /></c><c r="AX47" s="21"><f>IF(I47&gt;=1,"Qcorrecto",IF(AND(AY47="aceptable",AZ47="aceptable",BA47="aceptable"),"Qcorrecto","Qincorrecto"))</f><v /></c><c r="AY47" s="21"><f>IF(AR47&lt;$AH$6,"error",IF(AR47&gt;$AH$6*1.1,"error","aceptable"))</f><v /></c><c r="AZ47" s="21"><f>IF(AF47&lt;$V$6,"error",IF(AF47&gt;$V$6*1.1,"error","aceptable"))</f><v /></c><c r="BA47" s="21"><f>IF(T47&lt;$J$6*0.9,"error",IF(T47&gt;$J$6,"error","aceptable"))</f><v /></c><c r="BB47" s="65"><f>(IF(ABS(U47)&lt;1.05,"CONFORME",IF(ABS(AG47)&lt;1.05,"CONFORME",IF(ABS(AS47)&lt;2.55,"CONFORME","NO CONFORME"))))</f><v /></c><c r="BC47" s="62"><f>(IF(ABS(U47)&gt;2.05,"NO CONFORME",IF(ABS(AG47)&gt;2.05,"NO CONFORME",IF(ABS(AS47)&gt;5.05,"NO CONFORME","CONFORME"))))</f><v /></c><c r="BD47" s="64"><f>SIGN(U47)</f><v /></c><c r="BE47" s="64"><f>SIGN(AG47)</f><v /></c><c r="BF47" s="64"><f>SIGN(AS47)</f><v /></c><c r="BG47" s="64"><f>CONCATENATE(BD47,BE47,BF47)</f><v /></c><c r="BH47" s="64"><f>IF(BG47="111","SI","SD")</f><v /></c><c r="BI47" s="64"><f>IF(BG47="-1-1-1","SI","SD")</f><v /></c><c r="BJ47" s="64"><f>OR(BH47="SI",BI47="SI")</f><v /></c><c r="BK47" s="64"><f>IF(BJ47=FALSE,"SIGDIFERENTES","SIGIGUALES")</f><v /></c><c r="BL47" s="21"><f>IF(BC47="NO CONFORME","NO CONFORME",IF(BB47="CONFORME","CONFORME","NO CONFORME"))</f><v /></c><c r="BM47" s="66" t="n" /><c r="BN47" s="66" t="n" /></row><row r="48" ht="15.75" customHeight="1" thickBot="1"><c r="A48" s="9" t="n"><v>40</v></c><c r="B48" s="296"><f>B47</f><v /></c><c r="C48" s="296"><f>C47</f><v /></c><c r="D48" s="11"><f>D47</f><v /></c><c r="E48" s="9"><f>E47</f><v /></c><c r="F48" s="12" t="n" /><c r="G48" s="297" t="n" /><c r="H48" s="90"><f>H47</f><v /></c><c r="I48" s="90" t="n" /><c r="J48" s="298"><f>J47</f><v /></c><c r="K48" s="298"><f>K47</f><v /></c><c r="L48" s="298"><f>L47</f><v /></c><c r="M48" s="52" t="n" /><c r="N48" s="52" t="n" /><c r="O48" s="30"><f>O47</f><v /></c><c r="P48" s="299"><f>P47</f><v /></c><c r="Q48" s="10"><f>LEFT(P48,1)</f><v /></c><c r="R48" s="10"><f>RIGHT(P48,6)</f><v /></c><c r="S48" s="10"><f>+(Q48*60+R48)/(60*60)</f><v /></c><c r="T48" s="13"><f>+O48/S48</f><v /></c><c r="U48" s="300"><f>+(((N48-M48-O48)/O48)*100)</f><v /></c><c r="V48" s="301"><f>V47</f><v /></c><c r="W48" s="302"><f>W47</f><v /></c><c r="X48" s="302"><f>X47</f><v /></c><c r="Y48" s="52" t="n" /><c r="Z48" s="52" t="n" /><c r="AA48" s="106"><f>AA47</f><v /></c><c r="AB48" s="299"><f>AB47</f><v /></c><c r="AC48" s="10"><f>LEFT(AB48,2)</f><v /></c><c r="AD48" s="10"><f>RIGHT(AB48,6)</f><v /></c><c r="AE48" s="10"><f>+(AC48*60+AD48)/(60*60)</f><v /></c><c r="AF48" s="13"><f>+AA48/AE48</f><v /></c><c r="AG48" s="303"><f>+(((Z48-Y48-AA48)/AA48)*100)</f><v /></c><c r="AH48" s="301"><f>AH47</f><v /></c><c r="AI48" s="301"><f>AI47</f><v /></c><c r="AJ48" s="301"><f>AJ47</f><v /></c><c r="AK48" s="52"><f>+Z48</f><v /></c><c r="AL48" s="52" t="n" /><c r="AM48" s="111"><f>AM47</f><v /></c><c r="AN48" s="299"><f>AN47</f><v /></c><c r="AO48" s="10"><f>LEFT(AN48,2)</f><v /></c><c r="AP48" s="10"><f>RIGHT(AN48,6)</f><v /></c><c r="AQ48" s="10"><f>+(AO48*60+AP48)/(60*60)</f><v /></c><c r="AR48" s="13"><f>+AM48/AQ48</f><v /></c><c r="AS48" s="303"><f>+(((AL48-AK48-AM48)/AM48)*100)</f><v /></c><c r="AT48" s="64"><f>IF(I48&gt;=1,"NO CONFORME",IF(BK48="SIGDIFERENTES",BC48,BL48))</f><v /></c><c r="AU48" s="21"><f>B48&lt;=C48</f><v /></c><c r="AV48" s="21"><f>N48&lt;Y48</f><v /></c><c r="AW48" s="21"><f>Z48&lt;=AK48</f><v /></c><c r="AX48" s="21"><f>IF(I48&gt;=1,"Qcorrecto",IF(AND(AY48="aceptable",AZ48="aceptable",BA48="aceptable"),"Qcorrecto","Qincorrecto"))</f><v /></c><c r="AY48" s="21"><f>IF(AR48&lt;$AH$6,"error",IF(AR48&gt;$AH$6*1.1,"error","aceptable"))</f><v /></c><c r="AZ48" s="21"><f>IF(AF48&lt;$V$6,"error",IF(AF48&gt;$V$6*1.1,"error","aceptable"))</f><v /></c><c r="BA48" s="21"><f>IF(T48&lt;$J$6*0.9,"error",IF(T48&gt;$J$6,"error","aceptable"))</f><v /></c><c r="BB48" s="65"><f>(IF(ABS(U48)&lt;1.05,"CONFORME",IF(ABS(AG48)&lt;1.05,"CONFORME",IF(ABS(AS48)&lt;2.55,"CONFORME","NO CONFORME"))))</f><v /></c><c r="BC48" s="62"><f>(IF(ABS(U48)&gt;2.05,"NO CONFORME",IF(ABS(AG48)&gt;2.05,"NO CONFORME",IF(ABS(AS48)&gt;5.05,"NO CONFORME","CONFORME"))))</f><v /></c><c r="BD48" s="64"><f>SIGN(U48)</f><v /></c><c r="BE48" s="64"><f>SIGN(AG48)</f><v /></c><c r="BF48" s="64"><f>SIGN(AS48)</f><v /></c><c r="BG48" s="64"><f>CONCATENATE(BD48,BE48,BF48)</f><v /></c><c r="BH48" s="64"><f>IF(BG48="111","SI","SD")</f><v /></c><c r="BI48" s="64"><f>IF(BG48="-1-1-1","SI","SD")</f><v /></c><c r="BJ48" s="64"><f>OR(BH48="SI",BI48="SI")</f><v /></c><c r="BK48" s="64"><f>IF(BJ48=FALSE,"SIGDIFERENTES","SIGIGUALES")</f><v /></c><c r="BL48" s="21"><f>IF(BC48="NO CONFORME","NO CONFORME",IF(BB48="CONFORME","CONFORME","NO CONFORME"))</f><v /></c><c r="BM48" s="66" t="n" /><c r="BN48" s="66" t="n" /></row><row r="49" ht="15" customHeight="1"><c r="A49" s="55" t="n"><v>41</v></c><c r="B49" s="304"><f>B48</f><v /></c><c r="C49" s="304"><f>C48</f><v /></c><c r="D49" s="94"><f>D48</f><v /></c><c r="E49" s="95"><f>E48</f><v /></c><c r="F49" s="96" t="n" /><c r="G49" s="305" t="n" /><c r="H49" s="98"><f>H48</f><v /></c><c r="I49" s="98" t="n" /><c r="J49" s="306"><f>J48</f><v /></c><c r="K49" s="306"><f>K48</f><v /></c><c r="L49" s="306"><f>L48</f><v /></c><c r="M49" s="100" t="n" /><c r="N49" s="100" t="n" /><c r="O49" s="101"><f>O48</f><v /></c><c r="P49" s="307"><f>P48</f><v /></c><c r="Q49" s="10"><f>LEFT(P49,1)</f><v /></c><c r="R49" s="10"><f>RIGHT(P49,6)</f><v /></c><c r="S49" s="10"><f>+(Q49*60+R49)/(60*60)</f><v /></c><c r="T49" s="13"><f>+O49/S49</f><v /></c><c r="U49" s="300"><f>+(((N49-M49-O49)/O49)*100)</f><v /></c><c r="V49" s="308"><f>V48</f><v /></c><c r="W49" s="309"><f>W48</f><v /></c><c r="X49" s="309"><f>X48</f><v /></c><c r="Y49" s="100" t="n" /><c r="Z49" s="100" t="n" /><c r="AA49" s="109"><f>AA48</f><v /></c><c r="AB49" s="307"><f>AB48</f><v /></c><c r="AC49" s="10"><f>LEFT(AB49,2)</f><v /></c><c r="AD49" s="10"><f>RIGHT(AB49,6)</f><v /></c><c r="AE49" s="10"><f>+(AC49*60+AD49)/(60*60)</f><v /></c><c r="AF49" s="13"><f>+AA49/AE49</f><v /></c><c r="AG49" s="303"><f>+(((Z49-Y49-AA49)/AA49)*100)</f><v /></c><c r="AH49" s="308"><f>AH48</f><v /></c><c r="AI49" s="308"><f>AI48</f><v /></c><c r="AJ49" s="308"><f>AJ48</f><v /></c><c r="AK49" s="100"><f>+Z49</f><v /></c><c r="AL49" s="100" t="n" /><c r="AM49" s="112"><f>AM48</f><v /></c><c r="AN49" s="307"><f>AN48</f><v /></c><c r="AO49" s="10"><f>LEFT(AN49,2)</f><v /></c><c r="AP49" s="10"><f>RIGHT(AN49,6)</f><v /></c><c r="AQ49" s="10"><f>+(AO49*60+AP49)/(60*60)</f><v /></c><c r="AR49" s="13"><f>+AM49/AQ49</f><v /></c><c r="AS49" s="303"><f>+(((AL49-AK49-AM49)/AM49)*100)</f><v /></c><c r="AT49" s="64"><f>IF(I49&gt;=1,"NO CONFORME",IF(BK49="SIGDIFERENTES",BC49,BL49))</f><v /></c><c r="AU49" s="21"><f>B49&lt;=C49</f><v /></c><c r="AV49" s="21"><f>N49&lt;Y49</f><v /></c><c r="AW49" s="21"><f>Z49&lt;=AK49</f><v /></c><c r="AX49" s="21"><f>IF(I49&gt;=1,"Qcorrecto",IF(AND(AY49="aceptable",AZ49="aceptable",BA49="aceptable"),"Qcorrecto","Qincorrecto"))</f><v /></c><c r="AY49" s="21"><f>IF(AR49&lt;$AH$6,"error",IF(AR49&gt;$AH$6*1.1,"error","aceptable"))</f><v /></c><c r="AZ49" s="21"><f>IF(AF49&lt;$V$6,"error",IF(AF49&gt;$V$6*1.1,"error","aceptable"))</f><v /></c><c r="BA49" s="21"><f>IF(T49&lt;$J$6*0.9,"error",IF(T49&gt;$J$6,"error","aceptable"))</f><v /></c><c r="BB49" s="65"><f>(IF(ABS(U49)&lt;1.05,"CONFORME",IF(ABS(AG49)&lt;1.05,"CONFORME",IF(ABS(AS49)&lt;2.55,"CONFORME","NO CONFORME"))))</f><v /></c><c r="BC49" s="62"><f>(IF(ABS(U49)&gt;2.05,"NO CONFORME",IF(ABS(AG49)&gt;2.05,"NO CONFORME",IF(ABS(AS49)&gt;5.05,"NO CONFORME","CONFORME"))))</f><v /></c><c r="BD49" s="64"><f>SIGN(U49)</f><v /></c><c r="BE49" s="64"><f>SIGN(AG49)</f><v /></c><c r="BF49" s="64"><f>SIGN(AS49)</f><v /></c><c r="BG49" s="64"><f>CONCATENATE(BD49,BE49,BF49)</f><v /></c><c r="BH49" s="64"><f>IF(BG49="111","SI","SD")</f><v /></c><c r="BI49" s="64"><f>IF(BG49="-1-1-1","SI","SD")</f><v /></c><c r="BJ49" s="64"><f>OR(BH49="SI",BI49="SI")</f><v /></c><c r="BK49" s="64"><f>IF(BJ49=FALSE,"SIGDIFERENTES","SIGIGUALES")</f><v /></c><c r="BL49" s="21"><f>IF(BC49="NO CONFORME","NO CONFORME",IF(BB49="CONFORME","CONFORME","NO CONFORME"))</f><v /></c><c r="BM49" s="66" t="n" /><c r="BN49" s="66" t="n" /></row><row r="50" ht="15.75" customHeight="1" thickBot="1"><c r="A50" s="9" t="n"><v>42</v></c><c r="B50" s="296"><f>B49</f><v /></c><c r="C50" s="296"><f>C49</f><v /></c><c r="D50" s="11"><f>D49</f><v /></c><c r="E50" s="9"><f>E49</f><v /></c><c r="F50" s="12" t="n" /><c r="G50" s="297" t="n" /><c r="H50" s="90"><f>H49</f><v /></c><c r="I50" s="90" t="n" /><c r="J50" s="298"><f>J49</f><v /></c><c r="K50" s="298"><f>K49</f><v /></c><c r="L50" s="298"><f>L49</f><v /></c><c r="M50" s="52" t="n" /><c r="N50" s="52" t="n" /><c r="O50" s="30"><f>O49</f><v /></c><c r="P50" s="299"><f>P49</f><v /></c><c r="Q50" s="10"><f>LEFT(P50,1)</f><v /></c><c r="R50" s="10"><f>RIGHT(P50,6)</f><v /></c><c r="S50" s="10"><f>+(Q50*60+R50)/(60*60)</f><v /></c><c r="T50" s="13"><f>+O50/S50</f><v /></c><c r="U50" s="300"><f>+(((N50-M50-O50)/O50)*100)</f><v /></c><c r="V50" s="301"><f>V49</f><v /></c><c r="W50" s="302"><f>W49</f><v /></c><c r="X50" s="302"><f>X49</f><v /></c><c r="Y50" s="52" t="n" /><c r="Z50" s="52" t="n" /><c r="AA50" s="106"><f>AA49</f><v /></c><c r="AB50" s="299"><f>AB49</f><v /></c><c r="AC50" s="10"><f>LEFT(AB50,2)</f><v /></c><c r="AD50" s="10"><f>RIGHT(AB50,6)</f><v /></c><c r="AE50" s="10"><f>+(AC50*60+AD50)/(60*60)</f><v /></c><c r="AF50" s="13"><f>+AA50/AE50</f><v /></c><c r="AG50" s="303"><f>+(((Z50-Y50-AA50)/AA50)*100)</f><v /></c><c r="AH50" s="301"><f>AH49</f><v /></c><c r="AI50" s="301"><f>AI49</f><v /></c><c r="AJ50" s="301"><f>AJ49</f><v /></c><c r="AK50" s="52"><f>+Z50</f><v /></c><c r="AL50" s="52" t="n" /><c r="AM50" s="111"><f>AM49</f><v /></c><c r="AN50" s="299"><f>AN49</f><v /></c><c r="AO50" s="10"><f>LEFT(AN50,2)</f><v /></c><c r="AP50" s="10"><f>RIGHT(AN50,6)</f><v /></c><c r="AQ50" s="10"><f>+(AO50*60+AP50)/(60*60)</f><v /></c><c r="AR50" s="13"><f>+AM50/AQ50</f><v /></c><c r="AS50" s="303"><f>+(((AL50-AK50-AM50)/AM50)*100)</f><v /></c><c r="AT50" s="64"><f>IF(I50&gt;=1,"NO CONFORME",IF(BK50="SIGDIFERENTES",BC50,BL50))</f><v /></c><c r="AU50" s="21"><f>B50&lt;=C50</f><v /></c><c r="AV50" s="21"><f>N50&lt;Y50</f><v /></c><c r="AW50" s="21"><f>Z50&lt;=AK50</f><v /></c><c r="AX50" s="21"><f>IF(I50&gt;=1,"Qcorrecto",IF(AND(AY50="aceptable",AZ50="aceptable",BA50="aceptable"),"Qcorrecto","Qincorrecto"))</f><v /></c><c r="AY50" s="21"><f>IF(AR50&lt;$AH$6,"error",IF(AR50&gt;$AH$6*1.1,"error","aceptable"))</f><v /></c><c r="AZ50" s="21"><f>IF(AF50&lt;$V$6,"error",IF(AF50&gt;$V$6*1.1,"error","aceptable"))</f><v /></c><c r="BA50" s="21"><f>IF(T50&lt;$J$6*0.9,"error",IF(T50&gt;$J$6,"error","aceptable"))</f><v /></c><c r="BB50" s="65"><f>(IF(ABS(U50)&lt;1.05,"CONFORME",IF(ABS(AG50)&lt;1.05,"CONFORME",IF(ABS(AS50)&lt;2.55,"CONFORME","NO CONFORME"))))</f><v /></c><c r="BC50" s="62"><f>(IF(ABS(U50)&gt;2.05,"NO CONFORME",IF(ABS(AG50)&gt;2.05,"NO CONFORME",IF(ABS(AS50)&gt;5.05,"NO CONFORME","CONFORME"))))</f><v /></c><c r="BD50" s="64"><f>SIGN(U50)</f><v /></c><c r="BE50" s="64"><f>SIGN(AG50)</f><v /></c><c r="BF50" s="64"><f>SIGN(AS50)</f><v /></c><c r="BG50" s="64"><f>CONCATENATE(BD50,BE50,BF50)</f><v /></c><c r="BH50" s="64"><f>IF(BG50="111","SI","SD")</f><v /></c><c r="BI50" s="64"><f>IF(BG50="-1-1-1","SI","SD")</f><v /></c><c r="BJ50" s="64"><f>OR(BH50="SI",BI50="SI")</f><v /></c><c r="BK50" s="64"><f>IF(BJ50=FALSE,"SIGDIFERENTES","SIGIGUALES")</f><v /></c><c r="BL50" s="21"><f>IF(BC50="NO CONFORME","NO CONFORME",IF(BB50="CONFORME","CONFORME","NO CONFORME"))</f><v /></c><c r="BM50" s="66" t="n" /><c r="BN50" s="66" t="n" /></row><row r="51" ht="15" customHeight="1"><c r="A51" s="55" t="n"><v>43</v></c><c r="B51" s="304"><f>B50</f><v /></c><c r="C51" s="304"><f>C50</f><v /></c><c r="D51" s="94"><f>D50</f><v /></c><c r="E51" s="95"><f>E50</f><v /></c><c r="F51" s="96" t="n" /><c r="G51" s="305" t="n" /><c r="H51" s="98"><f>H50</f><v /></c><c r="I51" s="98" t="n" /><c r="J51" s="306"><f>J50</f><v /></c><c r="K51" s="306"><f>K50</f><v /></c><c r="L51" s="306"><f>L50</f><v /></c><c r="M51" s="100" t="n" /><c r="N51" s="100" t="n" /><c r="O51" s="101"><f>O50</f><v /></c><c r="P51" s="307"><f>P50</f><v /></c><c r="Q51" s="10"><f>LEFT(P51,1)</f><v /></c><c r="R51" s="10"><f>RIGHT(P51,6)</f><v /></c><c r="S51" s="10"><f>+(Q51*60+R51)/(60*60)</f><v /></c><c r="T51" s="13"><f>+O51/S51</f><v /></c><c r="U51" s="300"><f>+(((N51-M51-O51)/O51)*100)</f><v /></c><c r="V51" s="308"><f>V50</f><v /></c><c r="W51" s="309"><f>W50</f><v /></c><c r="X51" s="309"><f>X50</f><v /></c><c r="Y51" s="100" t="n" /><c r="Z51" s="100" t="n" /><c r="AA51" s="109"><f>AA50</f><v /></c><c r="AB51" s="307"><f>AB50</f><v /></c><c r="AC51" s="10"><f>LEFT(AB51,2)</f><v /></c><c r="AD51" s="10"><f>RIGHT(AB51,6)</f><v /></c><c r="AE51" s="10"><f>+(AC51*60+AD51)/(60*60)</f><v /></c><c r="AF51" s="13"><f>+AA51/AE51</f><v /></c><c r="AG51" s="303"><f>+(((Z51-Y51-AA51)/AA51)*100)</f><v /></c><c r="AH51" s="308"><f>AH50</f><v /></c><c r="AI51" s="308"><f>AI50</f><v /></c><c r="AJ51" s="308"><f>AJ50</f><v /></c><c r="AK51" s="100"><f>+Z51</f><v /></c><c r="AL51" s="100" t="n" /><c r="AM51" s="112"><f>AM50</f><v /></c><c r="AN51" s="307"><f>AN50</f><v /></c><c r="AO51" s="10"><f>LEFT(AN51,2)</f><v /></c><c r="AP51" s="10"><f>RIGHT(AN51,6)</f><v /></c><c r="AQ51" s="10"><f>+(AO51*60+AP51)/(60*60)</f><v /></c><c r="AR51" s="13"><f>+AM51/AQ51</f><v /></c><c r="AS51" s="303"><f>+(((AL51-AK51-AM51)/AM51)*100)</f><v /></c><c r="AT51" s="64"><f>IF(I51&gt;=1,"NO CONFORME",IF(BK51="SIGDIFERENTES",BC51,BL51))</f><v /></c><c r="AU51" s="21"><f>B51&lt;=C51</f><v /></c><c r="AV51" s="21"><f>N51&lt;Y51</f><v /></c><c r="AW51" s="21"><f>Z51&lt;=AK51</f><v /></c><c r="AX51" s="21"><f>IF(I51&gt;=1,"Qcorrecto",IF(AND(AY51="aceptable",AZ51="aceptable",BA51="aceptable"),"Qcorrecto","Qincorrecto"))</f><v /></c><c r="AY51" s="21"><f>IF(AR51&lt;$AH$6,"error",IF(AR51&gt;$AH$6*1.1,"error","aceptable"))</f><v /></c><c r="AZ51" s="21"><f>IF(AF51&lt;$V$6,"error",IF(AF51&gt;$V$6*1.1,"error","aceptable"))</f><v /></c><c r="BA51" s="21"><f>IF(T51&lt;$J$6*0.9,"error",IF(T51&gt;$J$6,"error","aceptable"))</f><v /></c><c r="BB51" s="65"><f>(IF(ABS(U51)&lt;1.05,"CONFORME",IF(ABS(AG51)&lt;1.05,"CONFORME",IF(ABS(AS51)&lt;2.55,"CONFORME","NO CONFORME"))))</f><v /></c><c r="BC51" s="62"><f>(IF(ABS(U51)&gt;2.05,"NO CONFORME",IF(ABS(AG51)&gt;2.05,"NO CONFORME",IF(ABS(AS51)&gt;5.05,"NO CONFORME","CONFORME"))))</f><v /></c><c r="BD51" s="64"><f>SIGN(U51)</f><v /></c><c r="BE51" s="64"><f>SIGN(AG51)</f><v /></c><c r="BF51" s="64"><f>SIGN(AS51)</f><v /></c><c r="BG51" s="64"><f>CONCATENATE(BD51,BE51,BF51)</f><v /></c><c r="BH51" s="64"><f>IF(BG51="111","SI","SD")</f><v /></c><c r="BI51" s="64"><f>IF(BG51="-1-1-1","SI","SD")</f><v /></c><c r="BJ51" s="64"><f>OR(BH51="SI",BI51="SI")</f><v /></c><c r="BK51" s="64"><f>IF(BJ51=FALSE,"SIGDIFERENTES","SIGIGUALES")</f><v /></c><c r="BL51" s="21"><f>IF(BC51="NO CONFORME","NO CONFORME",IF(BB51="CONFORME","CONFORME","NO CONFORME"))</f><v /></c><c r="BM51" s="66" t="n" /><c r="BN51" s="66" t="n" /></row><row r="52" ht="15.75" customHeight="1" thickBot="1"><c r="A52" s="9" t="n"><v>44</v></c><c r="B52" s="296"><f>B51</f><v /></c><c r="C52" s="296"><f>C51</f><v /></c><c r="D52" s="11"><f>D51</f><v /></c><c r="E52" s="9"><f>E51</f><v /></c><c r="F52" s="12" t="n" /><c r="G52" s="297" t="n" /><c r="H52" s="90"><f>H51</f><v /></c><c r="I52" s="90" t="n" /><c r="J52" s="298"><f>J51</f><v /></c><c r="K52" s="298"><f>K51</f><v /></c><c r="L52" s="298"><f>L51</f><v /></c><c r="M52" s="52" t="n" /><c r="N52" s="52" t="n" /><c r="O52" s="30"><f>O51</f><v /></c><c r="P52" s="299"><f>P51</f><v /></c><c r="Q52" s="10"><f>LEFT(P52,1)</f><v /></c><c r="R52" s="10"><f>RIGHT(P52,6)</f><v /></c><c r="S52" s="10"><f>+(Q52*60+R52)/(60*60)</f><v /></c><c r="T52" s="13"><f>+O52/S52</f><v /></c><c r="U52" s="300"><f>+(((N52-M52-O52)/O52)*100)</f><v /></c><c r="V52" s="301"><f>V51</f><v /></c><c r="W52" s="302"><f>W51</f><v /></c><c r="X52" s="302"><f>X51</f><v /></c><c r="Y52" s="52" t="n" /><c r="Z52" s="52" t="n" /><c r="AA52" s="106"><f>AA51</f><v /></c><c r="AB52" s="299"><f>AB51</f><v /></c><c r="AC52" s="10"><f>LEFT(AB52,2)</f><v /></c><c r="AD52" s="10"><f>RIGHT(AB52,6)</f><v /></c><c r="AE52" s="10"><f>+(AC52*60+AD52)/(60*60)</f><v /></c><c r="AF52" s="13"><f>+AA52/AE52</f><v /></c><c r="AG52" s="303"><f>+(((Z52-Y52-AA52)/AA52)*100)</f><v /></c><c r="AH52" s="301"><f>AH51</f><v /></c><c r="AI52" s="301"><f>AI51</f><v /></c><c r="AJ52" s="301"><f>AJ51</f><v /></c><c r="AK52" s="52"><f>+Z52</f><v /></c><c r="AL52" s="52" t="n" /><c r="AM52" s="111"><f>AM51</f><v /></c><c r="AN52" s="299"><f>AN51</f><v /></c><c r="AO52" s="10"><f>LEFT(AN52,2)</f><v /></c><c r="AP52" s="10"><f>RIGHT(AN52,6)</f><v /></c><c r="AQ52" s="10"><f>+(AO52*60+AP52)/(60*60)</f><v /></c><c r="AR52" s="13"><f>+AM52/AQ52</f><v /></c><c r="AS52" s="303"><f>+(((AL52-AK52-AM52)/AM52)*100)</f><v /></c><c r="AT52" s="64"><f>IF(I52&gt;=1,"NO CONFORME",IF(BK52="SIGDIFERENTES",BC52,BL52))</f><v /></c><c r="AU52" s="21"><f>B52&lt;=C52</f><v /></c><c r="AV52" s="21"><f>N52&lt;Y52</f><v /></c><c r="AW52" s="21"><f>Z52&lt;=AK52</f><v /></c><c r="AX52" s="21"><f>IF(I52&gt;=1,"Qcorrecto",IF(AND(AY52="aceptable",AZ52="aceptable",BA52="aceptable"),"Qcorrecto","Qincorrecto"))</f><v /></c><c r="AY52" s="21"><f>IF(AR52&lt;$AH$6,"error",IF(AR52&gt;$AH$6*1.1,"error","aceptable"))</f><v /></c><c r="AZ52" s="21"><f>IF(AF52&lt;$V$6,"error",IF(AF52&gt;$V$6*1.1,"error","aceptable"))</f><v /></c><c r="BA52" s="21"><f>IF(T52&lt;$J$6*0.9,"error",IF(T52&gt;$J$6,"error","aceptable"))</f><v /></c><c r="BB52" s="65"><f>(IF(ABS(U52)&lt;1.05,"CONFORME",IF(ABS(AG52)&lt;1.05,"CONFORME",IF(ABS(AS52)&lt;2.55,"CONFORME","NO CONFORME"))))</f><v /></c><c r="BC52" s="62"><f>(IF(ABS(U52)&gt;2.05,"NO CONFORME",IF(ABS(AG52)&gt;2.05,"NO CONFORME",IF(ABS(AS52)&gt;5.05,"NO CONFORME","CONFORME"))))</f><v /></c><c r="BD52" s="64"><f>SIGN(U52)</f><v /></c><c r="BE52" s="64"><f>SIGN(AG52)</f><v /></c><c r="BF52" s="64"><f>SIGN(AS52)</f><v /></c><c r="BG52" s="64"><f>CONCATENATE(BD52,BE52,BF52)</f><v /></c><c r="BH52" s="64"><f>IF(BG52="111","SI","SD")</f><v /></c><c r="BI52" s="64"><f>IF(BG52="-1-1-1","SI","SD")</f><v /></c><c r="BJ52" s="64"><f>OR(BH52="SI",BI52="SI")</f><v /></c><c r="BK52" s="64"><f>IF(BJ52=FALSE,"SIGDIFERENTES","SIGIGUALES")</f><v /></c><c r="BL52" s="21"><f>IF(BC52="NO CONFORME","NO CONFORME",IF(BB52="CONFORME","CONFORME","NO CONFORME"))</f><v /></c><c r="BM52" s="66" t="n" /><c r="BN52" s="66" t="n" /></row><row r="53" ht="15" customHeight="1"><c r="A53" s="55" t="n"><v>45</v></c><c r="B53" s="304"><f>B52</f><v /></c><c r="C53" s="304"><f>C52</f><v /></c><c r="D53" s="94"><f>D52</f><v /></c><c r="E53" s="95"><f>E52</f><v /></c><c r="F53" s="96" t="n" /><c r="G53" s="305" t="n" /><c r="H53" s="98"><f>H52</f><v /></c><c r="I53" s="98" t="n" /><c r="J53" s="306"><f>J52</f><v /></c><c r="K53" s="306"><f>K52</f><v /></c><c r="L53" s="306"><f>L52</f><v /></c><c r="M53" s="100" t="n" /><c r="N53" s="100" t="n" /><c r="O53" s="101"><f>O52</f><v /></c><c r="P53" s="307"><f>P52</f><v /></c><c r="Q53" s="10"><f>LEFT(P53,1)</f><v /></c><c r="R53" s="10"><f>RIGHT(P53,6)</f><v /></c><c r="S53" s="10"><f>+(Q53*60+R53)/(60*60)</f><v /></c><c r="T53" s="13"><f>+O53/S53</f><v /></c><c r="U53" s="300"><f>+(((N53-M53-O53)/O53)*100)</f><v /></c><c r="V53" s="308"><f>V52</f><v /></c><c r="W53" s="309"><f>W52</f><v /></c><c r="X53" s="309"><f>X52</f><v /></c><c r="Y53" s="100" t="n" /><c r="Z53" s="100" t="n" /><c r="AA53" s="109"><f>AA52</f><v /></c><c r="AB53" s="307"><f>AB52</f><v /></c><c r="AC53" s="10"><f>LEFT(AB53,2)</f><v /></c><c r="AD53" s="10"><f>RIGHT(AB53,6)</f><v /></c><c r="AE53" s="10"><f>+(AC53*60+AD53)/(60*60)</f><v /></c><c r="AF53" s="13"><f>+AA53/AE53</f><v /></c><c r="AG53" s="303"><f>+(((Z53-Y53-AA53)/AA53)*100)</f><v /></c><c r="AH53" s="308"><f>AH52</f><v /></c><c r="AI53" s="308"><f>AI52</f><v /></c><c r="AJ53" s="308"><f>AJ52</f><v /></c><c r="AK53" s="100"><f>+Z53</f><v /></c><c r="AL53" s="100" t="n" /><c r="AM53" s="112"><f>AM52</f><v /></c><c r="AN53" s="307"><f>AN52</f><v /></c><c r="AO53" s="10"><f>LEFT(AN53,2)</f><v /></c><c r="AP53" s="10"><f>RIGHT(AN53,6)</f><v /></c><c r="AQ53" s="10"><f>+(AO53*60+AP53)/(60*60)</f><v /></c><c r="AR53" s="13"><f>+AM53/AQ53</f><v /></c><c r="AS53" s="303"><f>+(((AL53-AK53-AM53)/AM53)*100)</f><v /></c><c r="AT53" s="64"><f>IF(I53&gt;=1,"NO CONFORME",IF(BK53="SIGDIFERENTES",BC53,BL53))</f><v /></c><c r="AU53" s="21"><f>B53&lt;=C53</f><v /></c><c r="AV53" s="21"><f>N53&lt;Y53</f><v /></c><c r="AW53" s="21"><f>Z53&lt;=AK53</f><v /></c><c r="AX53" s="21"><f>IF(I53&gt;=1,"Qcorrecto",IF(AND(AY53="aceptable",AZ53="aceptable",BA53="aceptable"),"Qcorrecto","Qincorrecto"))</f><v /></c><c r="AY53" s="21"><f>IF(AR53&lt;$AH$6,"error",IF(AR53&gt;$AH$6*1.1,"error","aceptable"))</f><v /></c><c r="AZ53" s="21"><f>IF(AF53&lt;$V$6,"error",IF(AF53&gt;$V$6*1.1,"error","aceptable"))</f><v /></c><c r="BA53" s="21"><f>IF(T53&lt;$J$6*0.9,"error",IF(T53&gt;$J$6,"error","aceptable"))</f><v /></c><c r="BB53" s="65"><f>(IF(ABS(U53)&lt;1.05,"CONFORME",IF(ABS(AG53)&lt;1.05,"CONFORME",IF(ABS(AS53)&lt;2.55,"CONFORME","NO CONFORME"))))</f><v /></c><c r="BC53" s="62"><f>(IF(ABS(U53)&gt;2.05,"NO CONFORME",IF(ABS(AG53)&gt;2.05,"NO CONFORME",IF(ABS(AS53)&gt;5.05,"NO CONFORME","CONFORME"))))</f><v /></c><c r="BD53" s="64"><f>SIGN(U53)</f><v /></c><c r="BE53" s="64"><f>SIGN(AG53)</f><v /></c><c r="BF53" s="64"><f>SIGN(AS53)</f><v /></c><c r="BG53" s="64"><f>CONCATENATE(BD53,BE53,BF53)</f><v /></c><c r="BH53" s="64"><f>IF(BG53="111","SI","SD")</f><v /></c><c r="BI53" s="64"><f>IF(BG53="-1-1-1","SI","SD")</f><v /></c><c r="BJ53" s="64"><f>OR(BH53="SI",BI53="SI")</f><v /></c><c r="BK53" s="64"><f>IF(BJ53=FALSE,"SIGDIFERENTES","SIGIGUALES")</f><v /></c><c r="BL53" s="21"><f>IF(BC53="NO CONFORME","NO CONFORME",IF(BB53="CONFORME","CONFORME","NO CONFORME"))</f><v /></c><c r="BM53" s="66" t="n" /><c r="BN53" s="66" t="n" /></row><row r="54" ht="15.75" customHeight="1" thickBot="1"><c r="A54" s="9" t="n"><v>46</v></c><c r="B54" s="296"><f>B53</f><v /></c><c r="C54" s="296"><f>C53</f><v /></c><c r="D54" s="11"><f>D53</f><v /></c><c r="E54" s="9"><f>E53</f><v /></c><c r="F54" s="12" t="n" /><c r="G54" s="297" t="n" /><c r="H54" s="90"><f>H53</f><v /></c><c r="I54" s="90" t="n" /><c r="J54" s="298"><f>J53</f><v /></c><c r="K54" s="298"><f>K53</f><v /></c><c r="L54" s="298"><f>L53</f><v /></c><c r="M54" s="52" t="n" /><c r="N54" s="52" t="n" /><c r="O54" s="30"><f>O53</f><v /></c><c r="P54" s="299"><f>P53</f><v /></c><c r="Q54" s="10"><f>LEFT(P54,1)</f><v /></c><c r="R54" s="10"><f>RIGHT(P54,6)</f><v /></c><c r="S54" s="10"><f>+(Q54*60+R54)/(60*60)</f><v /></c><c r="T54" s="13"><f>+O54/S54</f><v /></c><c r="U54" s="300"><f>+(((N54-M54-O54)/O54)*100)</f><v /></c><c r="V54" s="301"><f>V53</f><v /></c><c r="W54" s="302"><f>W53</f><v /></c><c r="X54" s="302"><f>X53</f><v /></c><c r="Y54" s="52" t="n" /><c r="Z54" s="52" t="n" /><c r="AA54" s="106"><f>AA53</f><v /></c><c r="AB54" s="299"><f>AB53</f><v /></c><c r="AC54" s="10"><f>LEFT(AB54,2)</f><v /></c><c r="AD54" s="10"><f>RIGHT(AB54,6)</f><v /></c><c r="AE54" s="10"><f>+(AC54*60+AD54)/(60*60)</f><v /></c><c r="AF54" s="13"><f>+AA54/AE54</f><v /></c><c r="AG54" s="303"><f>+(((Z54-Y54-AA54)/AA54)*100)</f><v /></c><c r="AH54" s="301"><f>AH53</f><v /></c><c r="AI54" s="301"><f>AI53</f><v /></c><c r="AJ54" s="301"><f>AJ53</f><v /></c><c r="AK54" s="52"><f>+Z54</f><v /></c><c r="AL54" s="52" t="n" /><c r="AM54" s="111"><f>AM53</f><v /></c><c r="AN54" s="299"><f>AN53</f><v /></c><c r="AO54" s="10"><f>LEFT(AN54,2)</f><v /></c><c r="AP54" s="10"><f>RIGHT(AN54,6)</f><v /></c><c r="AQ54" s="10"><f>+(AO54*60+AP54)/(60*60)</f><v /></c><c r="AR54" s="13"><f>+AM54/AQ54</f><v /></c><c r="AS54" s="303"><f>+(((AL54-AK54-AM54)/AM54)*100)</f><v /></c><c r="AT54" s="64"><f>IF(I54&gt;=1,"NO CONFORME",IF(BK54="SIGDIFERENTES",BC54,BL54))</f><v /></c><c r="AU54" s="21"><f>B54&lt;=C54</f><v /></c><c r="AV54" s="21"><f>N54&lt;Y54</f><v /></c><c r="AW54" s="21"><f>Z54&lt;=AK54</f><v /></c><c r="AX54" s="21"><f>IF(I54&gt;=1,"Qcorrecto",IF(AND(AY54="aceptable",AZ54="aceptable",BA54="aceptable"),"Qcorrecto","Qincorrecto"))</f><v /></c><c r="AY54" s="21"><f>IF(AR54&lt;$AH$6,"error",IF(AR54&gt;$AH$6*1.1,"error","aceptable"))</f><v /></c><c r="AZ54" s="21"><f>IF(AF54&lt;$V$6,"error",IF(AF54&gt;$V$6*1.1,"error","aceptable"))</f><v /></c><c r="BA54" s="21"><f>IF(T54&lt;$J$6*0.9,"error",IF(T54&gt;$J$6,"error","aceptable"))</f><v /></c><c r="BB54" s="65"><f>(IF(ABS(U54)&lt;1.05,"CONFORME",IF(ABS(AG54)&lt;1.05,"CONFORME",IF(ABS(AS54)&lt;2.55,"CONFORME","NO CONFORME"))))</f><v /></c><c r="BC54" s="62"><f>(IF(ABS(U54)&gt;2.05,"NO CONFORME",IF(ABS(AG54)&gt;2.05,"NO CONFORME",IF(ABS(AS54)&gt;5.05,"NO CONFORME","CONFORME"))))</f><v /></c><c r="BD54" s="64"><f>SIGN(U54)</f><v /></c><c r="BE54" s="64"><f>SIGN(AG54)</f><v /></c><c r="BF54" s="64"><f>SIGN(AS54)</f><v /></c><c r="BG54" s="64"><f>CONCATENATE(BD54,BE54,BF54)</f><v /></c><c r="BH54" s="64"><f>IF(BG54="111","SI","SD")</f><v /></c><c r="BI54" s="64"><f>IF(BG54="-1-1-1","SI","SD")</f><v /></c><c r="BJ54" s="64"><f>OR(BH54="SI",BI54="SI")</f><v /></c><c r="BK54" s="64"><f>IF(BJ54=FALSE,"SIGDIFERENTES","SIGIGUALES")</f><v /></c><c r="BL54" s="21"><f>IF(BC54="NO CONFORME","NO CONFORME",IF(BB54="CONFORME","CONFORME","NO CONFORME"))</f><v /></c><c r="BM54" s="66" t="n" /><c r="BN54" s="66" t="n" /></row><row r="55" ht="15" customHeight="1"><c r="A55" s="55" t="n"><v>47</v></c><c r="B55" s="304"><f>B54</f><v /></c><c r="C55" s="304"><f>C54</f><v /></c><c r="D55" s="94"><f>D54</f><v /></c><c r="E55" s="95"><f>E54</f><v /></c><c r="F55" s="96" t="n" /><c r="G55" s="305" t="n" /><c r="H55" s="98"><f>H54</f><v /></c><c r="I55" s="98" t="n" /><c r="J55" s="306"><f>J54</f><v /></c><c r="K55" s="306"><f>K54</f><v /></c><c r="L55" s="306"><f>L54</f><v /></c><c r="M55" s="100" t="n" /><c r="N55" s="100" t="n" /><c r="O55" s="101"><f>O54</f><v /></c><c r="P55" s="307"><f>P54</f><v /></c><c r="Q55" s="10"><f>LEFT(P55,1)</f><v /></c><c r="R55" s="10"><f>RIGHT(P55,6)</f><v /></c><c r="S55" s="10"><f>+(Q55*60+R55)/(60*60)</f><v /></c><c r="T55" s="13"><f>+O55/S55</f><v /></c><c r="U55" s="300"><f>+(((N55-M55-O55)/O55)*100)</f><v /></c><c r="V55" s="308"><f>V54</f><v /></c><c r="W55" s="309"><f>W54</f><v /></c><c r="X55" s="309"><f>X54</f><v /></c><c r="Y55" s="100" t="n" /><c r="Z55" s="100" t="n" /><c r="AA55" s="109"><f>AA54</f><v /></c><c r="AB55" s="307"><f>AB54</f><v /></c><c r="AC55" s="10"><f>LEFT(AB55,2)</f><v /></c><c r="AD55" s="10"><f>RIGHT(AB55,6)</f><v /></c><c r="AE55" s="10"><f>+(AC55*60+AD55)/(60*60)</f><v /></c><c r="AF55" s="13"><f>+AA55/AE55</f><v /></c><c r="AG55" s="303"><f>+(((Z55-Y55-AA55)/AA55)*100)</f><v /></c><c r="AH55" s="308"><f>AH54</f><v /></c><c r="AI55" s="308"><f>AI54</f><v /></c><c r="AJ55" s="308"><f>AJ54</f><v /></c><c r="AK55" s="100"><f>+Z55</f><v /></c><c r="AL55" s="100" t="n" /><c r="AM55" s="112"><f>AM54</f><v /></c><c r="AN55" s="307"><f>AN54</f><v /></c><c r="AO55" s="10"><f>LEFT(AN55,2)</f><v /></c><c r="AP55" s="10"><f>RIGHT(AN55,6)</f><v /></c><c r="AQ55" s="10"><f>+(AO55*60+AP55)/(60*60)</f><v /></c><c r="AR55" s="13"><f>+AM55/AQ55</f><v /></c><c r="AS55" s="303"><f>+(((AL55-AK55-AM55)/AM55)*100)</f><v /></c><c r="AT55" s="64"><f>IF(I55&gt;=1,"NO CONFORME",IF(BK55="SIGDIFERENTES",BC55,BL55))</f><v /></c><c r="AU55" s="21"><f>B55&lt;=C55</f><v /></c><c r="AV55" s="21"><f>N55&lt;Y55</f><v /></c><c r="AW55" s="21"><f>Z55&lt;=AK55</f><v /></c><c r="AX55" s="21"><f>IF(I55&gt;=1,"Qcorrecto",IF(AND(AY55="aceptable",AZ55="aceptable",BA55="aceptable"),"Qcorrecto","Qincorrecto"))</f><v /></c><c r="AY55" s="21"><f>IF(AR55&lt;$AH$6,"error",IF(AR55&gt;$AH$6*1.1,"error","aceptable"))</f><v /></c><c r="AZ55" s="21"><f>IF(AF55&lt;$V$6,"error",IF(AF55&gt;$V$6*1.1,"error","aceptable"))</f><v /></c><c r="BA55" s="21"><f>IF(T55&lt;$J$6*0.9,"error",IF(T55&gt;$J$6,"error","aceptable"))</f><v /></c><c r="BB55" s="65"><f>(IF(ABS(U55)&lt;1.05,"CONFORME",IF(ABS(AG55)&lt;1.05,"CONFORME",IF(ABS(AS55)&lt;2.55,"CONFORME","NO CONFORME"))))</f><v /></c><c r="BC55" s="62"><f>(IF(ABS(U55)&gt;2.05,"NO CONFORME",IF(ABS(AG55)&gt;2.05,"NO CONFORME",IF(ABS(AS55)&gt;5.05,"NO CONFORME","CONFORME"))))</f><v /></c><c r="BD55" s="64"><f>SIGN(U55)</f><v /></c><c r="BE55" s="64"><f>SIGN(AG55)</f><v /></c><c r="BF55" s="64"><f>SIGN(AS55)</f><v /></c><c r="BG55" s="64"><f>CONCATENATE(BD55,BE55,BF55)</f><v /></c><c r="BH55" s="64"><f>IF(BG55="111","SI","SD")</f><v /></c><c r="BI55" s="64"><f>IF(BG55="-1-1-1","SI","SD")</f><v /></c><c r="BJ55" s="64"><f>OR(BH55="SI",BI55="SI")</f><v /></c><c r="BK55" s="64"><f>IF(BJ55=FALSE,"SIGDIFERENTES","SIGIGUALES")</f><v /></c><c r="BL55" s="21"><f>IF(BC55="NO CONFORME","NO CONFORME",IF(BB55="CONFORME","CONFORME","NO CONFORME"))</f><v /></c><c r="BM55" s="66" t="n" /><c r="BN55" s="66" t="n" /></row><row r="56" ht="15.75" customHeight="1" thickBot="1"><c r="A56" s="9" t="n"><v>48</v></c><c r="B56" s="296"><f>B55</f><v /></c><c r="C56" s="296"><f>C55</f><v /></c><c r="D56" s="11"><f>D55</f><v /></c><c r="E56" s="9"><f>E55</f><v /></c><c r="F56" s="12" t="n" /><c r="G56" s="297" t="n" /><c r="H56" s="90"><f>H55</f><v /></c><c r="I56" s="90" t="n" /><c r="J56" s="298"><f>J55</f><v /></c><c r="K56" s="298"><f>K55</f><v /></c><c r="L56" s="298"><f>L55</f><v /></c><c r="M56" s="52" t="n" /><c r="N56" s="52" t="n" /><c r="O56" s="30"><f>O55</f><v /></c><c r="P56" s="299"><f>P55</f><v /></c><c r="Q56" s="10"><f>LEFT(P56,1)</f><v /></c><c r="R56" s="10"><f>RIGHT(P56,6)</f><v /></c><c r="S56" s="10"><f>+(Q56*60+R56)/(60*60)</f><v /></c><c r="T56" s="13"><f>+O56/S56</f><v /></c><c r="U56" s="300"><f>+(((N56-M56-O56)/O56)*100)</f><v /></c><c r="V56" s="301"><f>V55</f><v /></c><c r="W56" s="302"><f>W55</f><v /></c><c r="X56" s="302"><f>X55</f><v /></c><c r="Y56" s="52" t="n" /><c r="Z56" s="52" t="n" /><c r="AA56" s="106"><f>AA55</f><v /></c><c r="AB56" s="299"><f>AB55</f><v /></c><c r="AC56" s="10"><f>LEFT(AB56,2)</f><v /></c><c r="AD56" s="10"><f>RIGHT(AB56,6)</f><v /></c><c r="AE56" s="10"><f>+(AC56*60+AD56)/(60*60)</f><v /></c><c r="AF56" s="13"><f>+AA56/AE56</f><v /></c><c r="AG56" s="303"><f>+(((Z56-Y56-AA56)/AA56)*100)</f><v /></c><c r="AH56" s="301"><f>AH55</f><v /></c><c r="AI56" s="301"><f>AI55</f><v /></c><c r="AJ56" s="301"><f>AJ55</f><v /></c><c r="AK56" s="52"><f>+Z56</f><v /></c><c r="AL56" s="52" t="n" /><c r="AM56" s="111"><f>AM55</f><v /></c><c r="AN56" s="299"><f>AN55</f><v /></c><c r="AO56" s="10"><f>LEFT(AN56,2)</f><v /></c><c r="AP56" s="10"><f>RIGHT(AN56,6)</f><v /></c><c r="AQ56" s="10"><f>+(AO56*60+AP56)/(60*60)</f><v /></c><c r="AR56" s="13"><f>+AM56/AQ56</f><v /></c><c r="AS56" s="303"><f>+(((AL56-AK56-AM56)/AM56)*100)</f><v /></c><c r="AT56" s="64"><f>IF(I56&gt;=1,"NO CONFORME",IF(BK56="SIGDIFERENTES",BC56,BL56))</f><v /></c><c r="AU56" s="21"><f>B56&lt;=C56</f><v /></c><c r="AV56" s="21"><f>N56&lt;Y56</f><v /></c><c r="AW56" s="21"><f>Z56&lt;=AK56</f><v /></c><c r="AX56" s="21"><f>IF(I56&gt;=1,"Qcorrecto",IF(AND(AY56="aceptable",AZ56="aceptable",BA56="aceptable"),"Qcorrecto","Qincorrecto"))</f><v /></c><c r="AY56" s="21"><f>IF(AR56&lt;$AH$6,"error",IF(AR56&gt;$AH$6*1.1,"error","aceptable"))</f><v /></c><c r="AZ56" s="21"><f>IF(AF56&lt;$V$6,"error",IF(AF56&gt;$V$6*1.1,"error","aceptable"))</f><v /></c><c r="BA56" s="21"><f>IF(T56&lt;$J$6*0.9,"error",IF(T56&gt;$J$6,"error","aceptable"))</f><v /></c><c r="BB56" s="65"><f>(IF(ABS(U56)&lt;1.05,"CONFORME",IF(ABS(AG56)&lt;1.05,"CONFORME",IF(ABS(AS56)&lt;2.55,"CONFORME","NO CONFORME"))))</f><v /></c><c r="BC56" s="62"><f>(IF(ABS(U56)&gt;2.05,"NO CONFORME",IF(ABS(AG56)&gt;2.05,"NO CONFORME",IF(ABS(AS56)&gt;5.05,"NO CONFORME","CONFORME"))))</f><v /></c><c r="BD56" s="64"><f>SIGN(U56)</f><v /></c><c r="BE56" s="64"><f>SIGN(AG56)</f><v /></c><c r="BF56" s="64"><f>SIGN(AS56)</f><v /></c><c r="BG56" s="64"><f>CONCATENATE(BD56,BE56,BF56)</f><v /></c><c r="BH56" s="64"><f>IF(BG56="111","SI","SD")</f><v /></c><c r="BI56" s="64"><f>IF(BG56="-1-1-1","SI","SD")</f><v /></c><c r="BJ56" s="64"><f>OR(BH56="SI",BI56="SI")</f><v /></c><c r="BK56" s="64"><f>IF(BJ56=FALSE,"SIGDIFERENTES","SIGIGUALES")</f><v /></c><c r="BL56" s="21"><f>IF(BC56="NO CONFORME","NO CONFORME",IF(BB56="CONFORME","CONFORME","NO CONFORME"))</f><v /></c><c r="BM56" s="66" t="n" /><c r="BN56" s="66" t="n" /></row><row r="57" ht="15" customHeight="1"><c r="A57" s="55" t="n"><v>49</v></c><c r="B57" s="304"><f>B56</f><v /></c><c r="C57" s="304"><f>C56</f><v /></c><c r="D57" s="94"><f>D56</f><v /></c><c r="E57" s="95"><f>E56</f><v /></c><c r="F57" s="96" t="n" /><c r="G57" s="305" t="n" /><c r="H57" s="98"><f>H56</f><v /></c><c r="I57" s="98" t="n" /><c r="J57" s="306"><f>J56</f><v /></c><c r="K57" s="306"><f>K56</f><v /></c><c r="L57" s="306"><f>L56</f><v /></c><c r="M57" s="100" t="n" /><c r="N57" s="100" t="n" /><c r="O57" s="101"><f>O56</f><v /></c><c r="P57" s="307"><f>P56</f><v /></c><c r="Q57" s="10"><f>LEFT(P57,1)</f><v /></c><c r="R57" s="10"><f>RIGHT(P57,6)</f><v /></c><c r="S57" s="10"><f>+(Q57*60+R57)/(60*60)</f><v /></c><c r="T57" s="13"><f>+O57/S57</f><v /></c><c r="U57" s="300"><f>+(((N57-M57-O57)/O57)*100)</f><v /></c><c r="V57" s="308"><f>V56</f><v /></c><c r="W57" s="309"><f>W56</f><v /></c><c r="X57" s="309"><f>X56</f><v /></c><c r="Y57" s="100" t="n" /><c r="Z57" s="100" t="n" /><c r="AA57" s="109"><f>AA56</f><v /></c><c r="AB57" s="307"><f>AB56</f><v /></c><c r="AC57" s="10"><f>LEFT(AB57,2)</f><v /></c><c r="AD57" s="10"><f>RIGHT(AB57,6)</f><v /></c><c r="AE57" s="10"><f>+(AC57*60+AD57)/(60*60)</f><v /></c><c r="AF57" s="13"><f>+AA57/AE57</f><v /></c><c r="AG57" s="303"><f>+(((Z57-Y57-AA57)/AA57)*100)</f><v /></c><c r="AH57" s="308"><f>AH56</f><v /></c><c r="AI57" s="308"><f>AI56</f><v /></c><c r="AJ57" s="308"><f>AJ56</f><v /></c><c r="AK57" s="100"><f>+Z57</f><v /></c><c r="AL57" s="100" t="n" /><c r="AM57" s="112"><f>AM56</f><v /></c><c r="AN57" s="307"><f>AN56</f><v /></c><c r="AO57" s="10"><f>LEFT(AN57,2)</f><v /></c><c r="AP57" s="10"><f>RIGHT(AN57,6)</f><v /></c><c r="AQ57" s="10"><f>+(AO57*60+AP57)/(60*60)</f><v /></c><c r="AR57" s="13"><f>+AM57/AQ57</f><v /></c><c r="AS57" s="303"><f>+(((AL57-AK57-AM57)/AM57)*100)</f><v /></c><c r="AT57" s="64"><f>IF(I57&gt;=1,"NO CONFORME",IF(BK57="SIGDIFERENTES",BC57,BL57))</f><v /></c><c r="AU57" s="21"><f>B57&lt;=C57</f><v /></c><c r="AV57" s="21"><f>N57&lt;Y57</f><v /></c><c r="AW57" s="21"><f>Z57&lt;=AK57</f><v /></c><c r="AX57" s="21"><f>IF(I57&gt;=1,"Qcorrecto",IF(AND(AY57="aceptable",AZ57="aceptable",BA57="aceptable"),"Qcorrecto","Qincorrecto"))</f><v /></c><c r="AY57" s="21"><f>IF(AR57&lt;$AH$6,"error",IF(AR57&gt;$AH$6*1.1,"error","aceptable"))</f><v /></c><c r="AZ57" s="21"><f>IF(AF57&lt;$V$6,"error",IF(AF57&gt;$V$6*1.1,"error","aceptable"))</f><v /></c><c r="BA57" s="21"><f>IF(T57&lt;$J$6*0.9,"error",IF(T57&gt;$J$6,"error","aceptable"))</f><v /></c><c r="BB57" s="65"><f>(IF(ABS(U57)&lt;1.05,"CONFORME",IF(ABS(AG57)&lt;1.05,"CONFORME",IF(ABS(AS57)&lt;2.55,"CONFORME","NO CONFORME"))))</f><v /></c><c r="BC57" s="62"><f>(IF(ABS(U57)&gt;2.05,"NO CONFORME",IF(ABS(AG57)&gt;2.05,"NO CONFORME",IF(ABS(AS57)&gt;5.05,"NO CONFORME","CONFORME"))))</f><v /></c><c r="BD57" s="64"><f>SIGN(U57)</f><v /></c><c r="BE57" s="64"><f>SIGN(AG57)</f><v /></c><c r="BF57" s="64"><f>SIGN(AS57)</f><v /></c><c r="BG57" s="64"><f>CONCATENATE(BD57,BE57,BF57)</f><v /></c><c r="BH57" s="64"><f>IF(BG57="111","SI","SD")</f><v /></c><c r="BI57" s="64"><f>IF(BG57="-1-1-1","SI","SD")</f><v /></c><c r="BJ57" s="64"><f>OR(BH57="SI",BI57="SI")</f><v /></c><c r="BK57" s="64"><f>IF(BJ57=FALSE,"SIGDIFERENTES","SIGIGUALES")</f><v /></c><c r="BL57" s="21"><f>IF(BC57="NO CONFORME","NO CONFORME",IF(BB57="CONFORME","CONFORME","NO CONFORME"))</f><v /></c><c r="BM57" s="66" t="n" /><c r="BN57" s="66" t="n" /></row><row r="58" ht="15.75" customHeight="1" thickBot="1"><c r="A58" s="9" t="n"><v>50</v></c><c r="B58" s="296"><f>B57</f><v /></c><c r="C58" s="296"><f>C57</f><v /></c><c r="D58" s="11"><f>D57</f><v /></c><c r="E58" s="9"><f>E57</f><v /></c><c r="F58" s="12" t="n" /><c r="G58" s="297" t="n" /><c r="H58" s="90"><f>H57</f><v /></c><c r="I58" s="90" t="n" /><c r="J58" s="298"><f>J57</f><v /></c><c r="K58" s="298"><f>K57</f><v /></c><c r="L58" s="298"><f>L57</f><v /></c><c r="M58" s="52" t="n" /><c r="N58" s="52" t="n" /><c r="O58" s="30"><f>O57</f><v /></c><c r="P58" s="299"><f>P57</f><v /></c><c r="Q58" s="10"><f>LEFT(P58,1)</f><v /></c><c r="R58" s="10"><f>RIGHT(P58,6)</f><v /></c><c r="S58" s="10"><f>+(Q58*60+R58)/(60*60)</f><v /></c><c r="T58" s="13"><f>+O58/S58</f><v /></c><c r="U58" s="300"><f>+(((N58-M58-O58)/O58)*100)</f><v /></c><c r="V58" s="301"><f>V57</f><v /></c><c r="W58" s="302"><f>W57</f><v /></c><c r="X58" s="302"><f>X57</f><v /></c><c r="Y58" s="52" t="n" /><c r="Z58" s="52" t="n" /><c r="AA58" s="106"><f>AA57</f><v /></c><c r="AB58" s="299"><f>AB57</f><v /></c><c r="AC58" s="10"><f>LEFT(AB58,2)</f><v /></c><c r="AD58" s="10"><f>RIGHT(AB58,6)</f><v /></c><c r="AE58" s="10"><f>+(AC58*60+AD58)/(60*60)</f><v /></c><c r="AF58" s="13"><f>+AA58/AE58</f><v /></c><c r="AG58" s="303"><f>+(((Z58-Y58-AA58)/AA58)*100)</f><v /></c><c r="AH58" s="301"><f>AH57</f><v /></c><c r="AI58" s="301"><f>AI57</f><v /></c><c r="AJ58" s="301"><f>AJ57</f><v /></c><c r="AK58" s="52"><f>+Z58</f><v /></c><c r="AL58" s="52" t="n" /><c r="AM58" s="111"><f>AM57</f><v /></c><c r="AN58" s="299"><f>AN57</f><v /></c><c r="AO58" s="10"><f>LEFT(AN58,2)</f><v /></c><c r="AP58" s="10"><f>RIGHT(AN58,6)</f><v /></c><c r="AQ58" s="10"><f>+(AO58*60+AP58)/(60*60)</f><v /></c><c r="AR58" s="13"><f>+AM58/AQ58</f><v /></c><c r="AS58" s="303"><f>+(((AL58-AK58-AM58)/AM58)*100)</f><v /></c><c r="AT58" s="64"><f>IF(I58&gt;=1,"NO CONFORME",IF(BK58="SIGDIFERENTES",BC58,BL58))</f><v /></c><c r="AU58" s="21"><f>B58&lt;=C58</f><v /></c><c r="AV58" s="21"><f>N58&lt;Y58</f><v /></c><c r="AW58" s="21"><f>Z58&lt;=AK58</f><v /></c><c r="AX58" s="21"><f>IF(I58&gt;=1,"Qcorrecto",IF(AND(AY58="aceptable",AZ58="aceptable",BA58="aceptable"),"Qcorrecto","Qincorrecto"))</f><v /></c><c r="AY58" s="21"><f>IF(AR58&lt;$AH$6,"error",IF(AR58&gt;$AH$6*1.1,"error","aceptable"))</f><v /></c><c r="AZ58" s="21"><f>IF(AF58&lt;$V$6,"error",IF(AF58&gt;$V$6*1.1,"error","aceptable"))</f><v /></c><c r="BA58" s="21"><f>IF(T58&lt;$J$6*0.9,"error",IF(T58&gt;$J$6,"error","aceptable"))</f><v /></c><c r="BB58" s="65"><f>(IF(ABS(U58)&lt;1.05,"CONFORME",IF(ABS(AG58)&lt;1.05,"CONFORME",IF(ABS(AS58)&lt;2.55,"CONFORME","NO CONFORME"))))</f><v /></c><c r="BC58" s="62"><f>(IF(ABS(U58)&gt;2.05,"NO CONFORME",IF(ABS(AG58)&gt;2.05,"NO CONFORME",IF(ABS(AS58)&gt;5.05,"NO CONFORME","CONFORME"))))</f><v /></c><c r="BD58" s="64"><f>SIGN(U58)</f><v /></c><c r="BE58" s="64"><f>SIGN(AG58)</f><v /></c><c r="BF58" s="64"><f>SIGN(AS58)</f><v /></c><c r="BG58" s="64"><f>CONCATENATE(BD58,BE58,BF58)</f><v /></c><c r="BH58" s="64"><f>IF(BG58="111","SI","SD")</f><v /></c><c r="BI58" s="64"><f>IF(BG58="-1-1-1","SI","SD")</f><v /></c><c r="BJ58" s="64"><f>OR(BH58="SI",BI58="SI")</f><v /></c><c r="BK58" s="64"><f>IF(BJ58=FALSE,"SIGDIFERENTES","SIGIGUALES")</f><v /></c><c r="BL58" s="21"><f>IF(BC58="NO CONFORME","NO CONFORME",IF(BB58="CONFORME","CONFORME","NO CONFORME"))</f><v /></c><c r="BM58" s="66" t="n" /><c r="BN58" s="66" t="n" /></row><row r="59" ht="15" customHeight="1"><c r="A59" s="55" t="n"><v>51</v></c><c r="B59" s="304"><f>B58</f><v /></c><c r="C59" s="304"><f>C58</f><v /></c><c r="D59" s="94"><f>D58</f><v /></c><c r="E59" s="95"><f>E58</f><v /></c><c r="F59" s="96" t="n" /><c r="G59" s="305" t="n" /><c r="H59" s="98"><f>H58</f><v /></c><c r="I59" s="98" t="n" /><c r="J59" s="306"><f>J58</f><v /></c><c r="K59" s="306"><f>K58</f><v /></c><c r="L59" s="306"><f>L58</f><v /></c><c r="M59" s="100" t="n" /><c r="N59" s="100" t="n" /><c r="O59" s="101"><f>O58</f><v /></c><c r="P59" s="307"><f>P58</f><v /></c><c r="Q59" s="10"><f>LEFT(P59,1)</f><v /></c><c r="R59" s="10"><f>RIGHT(P59,6)</f><v /></c><c r="S59" s="10"><f>+(Q59*60+R59)/(60*60)</f><v /></c><c r="T59" s="13"><f>+O59/S59</f><v /></c><c r="U59" s="300"><f>+(((N59-M59-O59)/O59)*100)</f><v /></c><c r="V59" s="308"><f>V58</f><v /></c><c r="W59" s="309"><f>W58</f><v /></c><c r="X59" s="309"><f>X58</f><v /></c><c r="Y59" s="100" t="n" /><c r="Z59" s="100" t="n" /><c r="AA59" s="109"><f>AA58</f><v /></c><c r="AB59" s="307"><f>AB58</f><v /></c><c r="AC59" s="10"><f>LEFT(AB59,2)</f><v /></c><c r="AD59" s="10"><f>RIGHT(AB59,6)</f><v /></c><c r="AE59" s="10"><f>+(AC59*60+AD59)/(60*60)</f><v /></c><c r="AF59" s="13"><f>+AA59/AE59</f><v /></c><c r="AG59" s="303"><f>+(((Z59-Y59-AA59)/AA59)*100)</f><v /></c><c r="AH59" s="308"><f>AH58</f><v /></c><c r="AI59" s="308"><f>AI58</f><v /></c><c r="AJ59" s="308"><f>AJ58</f><v /></c><c r="AK59" s="100"><f>+Z59</f><v /></c><c r="AL59" s="100" t="n" /><c r="AM59" s="112"><f>AM58</f><v /></c><c r="AN59" s="307"><f>AN58</f><v /></c><c r="AO59" s="10"><f>LEFT(AN59,2)</f><v /></c><c r="AP59" s="10"><f>RIGHT(AN59,6)</f><v /></c><c r="AQ59" s="10"><f>+(AO59*60+AP59)/(60*60)</f><v /></c><c r="AR59" s="13"><f>+AM59/AQ59</f><v /></c><c r="AS59" s="303"><f>+(((AL59-AK59-AM59)/AM59)*100)</f><v /></c><c r="AT59" s="64"><f>IF(I59&gt;=1,"NO CONFORME",IF(BK59="SIGDIFERENTES",BC59,BL59))</f><v /></c><c r="AU59" s="21"><f>B59&lt;=C59</f><v /></c><c r="AV59" s="21"><f>N59&lt;Y59</f><v /></c><c r="AW59" s="21"><f>Z59&lt;=AK59</f><v /></c><c r="AX59" s="21"><f>IF(I59&gt;=1,"Qcorrecto",IF(AND(AY59="aceptable",AZ59="aceptable",BA59="aceptable"),"Qcorrecto","Qincorrecto"))</f><v /></c><c r="AY59" s="21"><f>IF(AR59&lt;$AH$6,"error",IF(AR59&gt;$AH$6*1.1,"error","aceptable"))</f><v /></c><c r="AZ59" s="21"><f>IF(AF59&lt;$V$6,"error",IF(AF59&gt;$V$6*1.1,"error","aceptable"))</f><v /></c><c r="BA59" s="21"><f>IF(T59&lt;$J$6*0.9,"error",IF(T59&gt;$J$6,"error","aceptable"))</f><v /></c><c r="BB59" s="65"><f>(IF(ABS(U59)&lt;1.05,"CONFORME",IF(ABS(AG59)&lt;1.05,"CONFORME",IF(ABS(AS59)&lt;2.55,"CONFORME","NO CONFORME"))))</f><v /></c><c r="BC59" s="62"><f>(IF(ABS(U59)&gt;2.05,"NO CONFORME",IF(ABS(AG59)&gt;2.05,"NO CONFORME",IF(ABS(AS59)&gt;5.05,"NO CONFORME","CONFORME"))))</f><v /></c><c r="BD59" s="64"><f>SIGN(U59)</f><v /></c><c r="BE59" s="64"><f>SIGN(AG59)</f><v /></c><c r="BF59" s="64"><f>SIGN(AS59)</f><v /></c><c r="BG59" s="64"><f>CONCATENATE(BD59,BE59,BF59)</f><v /></c><c r="BH59" s="64"><f>IF(BG59="111","SI","SD")</f><v /></c><c r="BI59" s="64"><f>IF(BG59="-1-1-1","SI","SD")</f><v /></c><c r="BJ59" s="64"><f>OR(BH59="SI",BI59="SI")</f><v /></c><c r="BK59" s="64"><f>IF(BJ59=FALSE,"SIGDIFERENTES","SIGIGUALES")</f><v /></c><c r="BL59" s="21"><f>IF(BC59="NO CONFORME","NO CONFORME",IF(BB59="CONFORME","CONFORME","NO CONFORME"))</f><v /></c><c r="BM59" s="66" t="n" /><c r="BN59" s="66" t="n" /></row><row r="60" ht="15.75" customHeight="1" thickBot="1"><c r="A60" s="9" t="n"><v>52</v></c><c r="B60" s="296"><f>B59</f><v /></c><c r="C60" s="296"><f>C59</f><v /></c><c r="D60" s="11"><f>D59</f><v /></c><c r="E60" s="9"><f>E59</f><v /></c><c r="F60" s="12" t="n" /><c r="G60" s="297" t="n" /><c r="H60" s="90"><f>H59</f><v /></c><c r="I60" s="90" t="n" /><c r="J60" s="298"><f>J59</f><v /></c><c r="K60" s="298"><f>K59</f><v /></c><c r="L60" s="298"><f>L59</f><v /></c><c r="M60" s="52" t="n" /><c r="N60" s="52" t="n" /><c r="O60" s="30"><f>O59</f><v /></c><c r="P60" s="299"><f>P59</f><v /></c><c r="Q60" s="10"><f>LEFT(P60,1)</f><v /></c><c r="R60" s="10"><f>RIGHT(P60,6)</f><v /></c><c r="S60" s="10"><f>+(Q60*60+R60)/(60*60)</f><v /></c><c r="T60" s="13"><f>+O60/S60</f><v /></c><c r="U60" s="300"><f>+(((N60-M60-O60)/O60)*100)</f><v /></c><c r="V60" s="301"><f>V59</f><v /></c><c r="W60" s="302"><f>W59</f><v /></c><c r="X60" s="302"><f>X59</f><v /></c><c r="Y60" s="52" t="n" /><c r="Z60" s="52" t="n" /><c r="AA60" s="106"><f>AA59</f><v /></c><c r="AB60" s="299"><f>AB59</f><v /></c><c r="AC60" s="10"><f>LEFT(AB60,2)</f><v /></c><c r="AD60" s="10"><f>RIGHT(AB60,6)</f><v /></c><c r="AE60" s="10"><f>+(AC60*60+AD60)/(60*60)</f><v /></c><c r="AF60" s="13"><f>+AA60/AE60</f><v /></c><c r="AG60" s="303"><f>+(((Z60-Y60-AA60)/AA60)*100)</f><v /></c><c r="AH60" s="301"><f>AH59</f><v /></c><c r="AI60" s="301"><f>AI59</f><v /></c><c r="AJ60" s="301"><f>AJ59</f><v /></c><c r="AK60" s="52"><f>+Z60</f><v /></c><c r="AL60" s="52" t="n" /><c r="AM60" s="111"><f>AM59</f><v /></c><c r="AN60" s="299"><f>AN59</f><v /></c><c r="AO60" s="10"><f>LEFT(AN60,2)</f><v /></c><c r="AP60" s="10"><f>RIGHT(AN60,6)</f><v /></c><c r="AQ60" s="10"><f>+(AO60*60+AP60)/(60*60)</f><v /></c><c r="AR60" s="13"><f>+AM60/AQ60</f><v /></c><c r="AS60" s="303"><f>+(((AL60-AK60-AM60)/AM60)*100)</f><v /></c><c r="AT60" s="64"><f>IF(I60&gt;=1,"NO CONFORME",IF(BK60="SIGDIFERENTES",BC60,BL60))</f><v /></c><c r="AU60" s="21"><f>B60&lt;=C60</f><v /></c><c r="AV60" s="21"><f>N60&lt;Y60</f><v /></c><c r="AW60" s="21"><f>Z60&lt;=AK60</f><v /></c><c r="AX60" s="21"><f>IF(I60&gt;=1,"Qcorrecto",IF(AND(AY60="aceptable",AZ60="aceptable",BA60="aceptable"),"Qcorrecto","Qincorrecto"))</f><v /></c><c r="AY60" s="21"><f>IF(AR60&lt;$AH$6,"error",IF(AR60&gt;$AH$6*1.1,"error","aceptable"))</f><v /></c><c r="AZ60" s="21"><f>IF(AF60&lt;$V$6,"error",IF(AF60&gt;$V$6*1.1,"error","aceptable"))</f><v /></c><c r="BA60" s="21"><f>IF(T60&lt;$J$6*0.9,"error",IF(T60&gt;$J$6,"error","aceptable"))</f><v /></c><c r="BB60" s="65"><f>(IF(ABS(U60)&lt;1.05,"CONFORME",IF(ABS(AG60)&lt;1.05,"CONFORME",IF(ABS(AS60)&lt;2.55,"CONFORME","NO CONFORME"))))</f><v /></c><c r="BC60" s="62"><f>(IF(ABS(U60)&gt;2.05,"NO CONFORME",IF(ABS(AG60)&gt;2.05,"NO CONFORME",IF(ABS(AS60)&gt;5.05,"NO CONFORME","CONFORME"))))</f><v /></c><c r="BD60" s="64"><f>SIGN(U60)</f><v /></c><c r="BE60" s="64"><f>SIGN(AG60)</f><v /></c><c r="BF60" s="64"><f>SIGN(AS60)</f><v /></c><c r="BG60" s="64"><f>CONCATENATE(BD60,BE60,BF60)</f><v /></c><c r="BH60" s="64"><f>IF(BG60="111","SI","SD")</f><v /></c><c r="BI60" s="64"><f>IF(BG60="-1-1-1","SI","SD")</f><v /></c><c r="BJ60" s="64"><f>OR(BH60="SI",BI60="SI")</f><v /></c><c r="BK60" s="64"><f>IF(BJ60=FALSE,"SIGDIFERENTES","SIGIGUALES")</f><v /></c><c r="BL60" s="21"><f>IF(BC60="NO CONFORME","NO CONFORME",IF(BB60="CONFORME","CONFORME","NO CONFORME"))</f><v /></c><c r="BM60" s="66" t="n" /><c r="BN60" s="66" t="n" /></row><row r="61" ht="15" customHeight="1"><c r="A61" s="55" t="n"><v>53</v></c><c r="B61" s="304"><f>B60</f><v /></c><c r="C61" s="304"><f>C60</f><v /></c><c r="D61" s="94"><f>D60</f><v /></c><c r="E61" s="95"><f>E60</f><v /></c><c r="F61" s="96" t="n" /><c r="G61" s="305" t="n" /><c r="H61" s="98"><f>H60</f><v /></c><c r="I61" s="98" t="n" /><c r="J61" s="306"><f>J60</f><v /></c><c r="K61" s="306"><f>K60</f><v /></c><c r="L61" s="306"><f>L60</f><v /></c><c r="M61" s="100" t="n" /><c r="N61" s="100" t="n" /><c r="O61" s="101"><f>O60</f><v /></c><c r="P61" s="307"><f>P60</f><v /></c><c r="Q61" s="10"><f>LEFT(P61,1)</f><v /></c><c r="R61" s="10"><f>RIGHT(P61,6)</f><v /></c><c r="S61" s="10"><f>+(Q61*60+R61)/(60*60)</f><v /></c><c r="T61" s="13"><f>+O61/S61</f><v /></c><c r="U61" s="300"><f>+(((N61-M61-O61)/O61)*100)</f><v /></c><c r="V61" s="308"><f>V60</f><v /></c><c r="W61" s="309"><f>W60</f><v /></c><c r="X61" s="309"><f>X60</f><v /></c><c r="Y61" s="100" t="n" /><c r="Z61" s="100" t="n" /><c r="AA61" s="109"><f>AA60</f><v /></c><c r="AB61" s="307"><f>AB60</f><v /></c><c r="AC61" s="10"><f>LEFT(AB61,2)</f><v /></c><c r="AD61" s="10"><f>RIGHT(AB61,6)</f><v /></c><c r="AE61" s="10"><f>+(AC61*60+AD61)/(60*60)</f><v /></c><c r="AF61" s="13"><f>+AA61/AE61</f><v /></c><c r="AG61" s="303"><f>+(((Z61-Y61-AA61)/AA61)*100)</f><v /></c><c r="AH61" s="308"><f>AH60</f><v /></c><c r="AI61" s="308"><f>AI60</f><v /></c><c r="AJ61" s="308"><f>AJ60</f><v /></c><c r="AK61" s="100"><f>+Z61</f><v /></c><c r="AL61" s="100" t="n" /><c r="AM61" s="112"><f>AM60</f><v /></c><c r="AN61" s="307"><f>AN60</f><v /></c><c r="AO61" s="10"><f>LEFT(AN61,2)</f><v /></c><c r="AP61" s="10"><f>RIGHT(AN61,6)</f><v /></c><c r="AQ61" s="10"><f>+(AO61*60+AP61)/(60*60)</f><v /></c><c r="AR61" s="13"><f>+AM61/AQ61</f><v /></c><c r="AS61" s="303"><f>+(((AL61-AK61-AM61)/AM61)*100)</f><v /></c><c r="AT61" s="64"><f>IF(I61&gt;=1,"NO CONFORME",IF(BK61="SIGDIFERENTES",BC61,BL61))</f><v /></c><c r="AU61" s="21"><f>B61&lt;=C61</f><v /></c><c r="AV61" s="21"><f>N61&lt;Y61</f><v /></c><c r="AW61" s="21"><f>Z61&lt;=AK61</f><v /></c><c r="AX61" s="21"><f>IF(I61&gt;=1,"Qcorrecto",IF(AND(AY61="aceptable",AZ61="aceptable",BA61="aceptable"),"Qcorrecto","Qincorrecto"))</f><v /></c><c r="AY61" s="21"><f>IF(AR61&lt;$AH$6,"error",IF(AR61&gt;$AH$6*1.1,"error","aceptable"))</f><v /></c><c r="AZ61" s="21"><f>IF(AF61&lt;$V$6,"error",IF(AF61&gt;$V$6*1.1,"error","aceptable"))</f><v /></c><c r="BA61" s="21"><f>IF(T61&lt;$J$6*0.9,"error",IF(T61&gt;$J$6,"error","aceptable"))</f><v /></c><c r="BB61" s="65"><f>(IF(ABS(U61)&lt;1.05,"CONFORME",IF(ABS(AG61)&lt;1.05,"CONFORME",IF(ABS(AS61)&lt;2.55,"CONFORME","NO CONFORME"))))</f><v /></c><c r="BC61" s="62"><f>(IF(ABS(U61)&gt;2.05,"NO CONFORME",IF(ABS(AG61)&gt;2.05,"NO CONFORME",IF(ABS(AS61)&gt;5.05,"NO CONFORME","CONFORME"))))</f><v /></c><c r="BD61" s="64"><f>SIGN(U61)</f><v /></c><c r="BE61" s="64"><f>SIGN(AG61)</f><v /></c><c r="BF61" s="64"><f>SIGN(AS61)</f><v /></c><c r="BG61" s="64"><f>CONCATENATE(BD61,BE61,BF61)</f><v /></c><c r="BH61" s="64"><f>IF(BG61="111","SI","SD")</f><v /></c><c r="BI61" s="64"><f>IF(BG61="-1-1-1","SI","SD")</f><v /></c><c r="BJ61" s="64"><f>OR(BH61="SI",BI61="SI")</f><v /></c><c r="BK61" s="64"><f>IF(BJ61=FALSE,"SIGDIFERENTES","SIGIGUALES")</f><v /></c><c r="BL61" s="21"><f>IF(BC61="NO CONFORME","NO CONFORME",IF(BB61="CONFORME","CONFORME","NO CONFORME"))</f><v /></c><c r="BM61" s="66" t="n" /><c r="BN61" s="66" t="n" /></row><row r="62" ht="15.75" customHeight="1" thickBot="1"><c r="A62" s="9" t="n"><v>54</v></c><c r="B62" s="296"><f>B61</f><v /></c><c r="C62" s="296"><f>C61</f><v /></c><c r="D62" s="11"><f>D61</f><v /></c><c r="E62" s="9"><f>E61</f><v /></c><c r="F62" s="12" t="n" /><c r="G62" s="297" t="n" /><c r="H62" s="90"><f>H61</f><v /></c><c r="I62" s="90" t="n" /><c r="J62" s="298"><f>J61</f><v /></c><c r="K62" s="298"><f>K61</f><v /></c><c r="L62" s="298"><f>L61</f><v /></c><c r="M62" s="52" t="n" /><c r="N62" s="52" t="n" /><c r="O62" s="30"><f>O61</f><v /></c><c r="P62" s="299"><f>P61</f><v /></c><c r="Q62" s="10"><f>LEFT(P62,1)</f><v /></c><c r="R62" s="10"><f>RIGHT(P62,6)</f><v /></c><c r="S62" s="10"><f>+(Q62*60+R62)/(60*60)</f><v /></c><c r="T62" s="13"><f>+O62/S62</f><v /></c><c r="U62" s="300"><f>+(((N62-M62-O62)/O62)*100)</f><v /></c><c r="V62" s="301"><f>V61</f><v /></c><c r="W62" s="302"><f>W61</f><v /></c><c r="X62" s="302"><f>X61</f><v /></c><c r="Y62" s="52" t="n" /><c r="Z62" s="52" t="n" /><c r="AA62" s="106"><f>AA61</f><v /></c><c r="AB62" s="299"><f>AB61</f><v /></c><c r="AC62" s="10"><f>LEFT(AB62,2)</f><v /></c><c r="AD62" s="10"><f>RIGHT(AB62,6)</f><v /></c><c r="AE62" s="10"><f>+(AC62*60+AD62)/(60*60)</f><v /></c><c r="AF62" s="13"><f>+AA62/AE62</f><v /></c><c r="AG62" s="303"><f>+(((Z62-Y62-AA62)/AA62)*100)</f><v /></c><c r="AH62" s="301"><f>AH61</f><v /></c><c r="AI62" s="301"><f>AI61</f><v /></c><c r="AJ62" s="301"><f>AJ61</f><v /></c><c r="AK62" s="52"><f>+Z62</f><v /></c><c r="AL62" s="52" t="n" /><c r="AM62" s="111"><f>AM61</f><v /></c><c r="AN62" s="299"><f>AN61</f><v /></c><c r="AO62" s="10"><f>LEFT(AN62,2)</f><v /></c><c r="AP62" s="10"><f>RIGHT(AN62,6)</f><v /></c><c r="AQ62" s="10"><f>+(AO62*60+AP62)/(60*60)</f><v /></c><c r="AR62" s="13"><f>+AM62/AQ62</f><v /></c><c r="AS62" s="303"><f>+(((AL62-AK62-AM62)/AM62)*100)</f><v /></c><c r="AT62" s="64"><f>IF(I62&gt;=1,"NO CONFORME",IF(BK62="SIGDIFERENTES",BC62,BL62))</f><v /></c><c r="AU62" s="21"><f>B62&lt;=C62</f><v /></c><c r="AV62" s="21"><f>N62&lt;Y62</f><v /></c><c r="AW62" s="21"><f>Z62&lt;=AK62</f><v /></c><c r="AX62" s="21"><f>IF(I62&gt;=1,"Qcorrecto",IF(AND(AY62="aceptable",AZ62="aceptable",BA62="aceptable"),"Qcorrecto","Qincorrecto"))</f><v /></c><c r="AY62" s="21"><f>IF(AR62&lt;$AH$6,"error",IF(AR62&gt;$AH$6*1.1,"error","aceptable"))</f><v /></c><c r="AZ62" s="21"><f>IF(AF62&lt;$V$6,"error",IF(AF62&gt;$V$6*1.1,"error","aceptable"))</f><v /></c><c r="BA62" s="21"><f>IF(T62&lt;$J$6*0.9,"error",IF(T62&gt;$J$6,"error","aceptable"))</f><v /></c><c r="BB62" s="65"><f>(IF(ABS(U62)&lt;1.05,"CONFORME",IF(ABS(AG62)&lt;1.05,"CONFORME",IF(ABS(AS62)&lt;2.55,"CONFORME","NO CONFORME"))))</f><v /></c><c r="BC62" s="62"><f>(IF(ABS(U62)&gt;2.05,"NO CONFORME",IF(ABS(AG62)&gt;2.05,"NO CONFORME",IF(ABS(AS62)&gt;5.05,"NO CONFORME","CONFORME"))))</f><v /></c><c r="BD62" s="64"><f>SIGN(U62)</f><v /></c><c r="BE62" s="64"><f>SIGN(AG62)</f><v /></c><c r="BF62" s="64"><f>SIGN(AS62)</f><v /></c><c r="BG62" s="64"><f>CONCATENATE(BD62,BE62,BF62)</f><v /></c><c r="BH62" s="64"><f>IF(BG62="111","SI","SD")</f><v /></c><c r="BI62" s="64"><f>IF(BG62="-1-1-1","SI","SD")</f><v /></c><c r="BJ62" s="64"><f>OR(BH62="SI",BI62="SI")</f><v /></c><c r="BK62" s="64"><f>IF(BJ62=FALSE,"SIGDIFERENTES","SIGIGUALES")</f><v /></c><c r="BL62" s="21"><f>IF(BC62="NO CONFORME","NO CONFORME",IF(BB62="CONFORME","CONFORME","NO CONFORME"))</f><v /></c><c r="BM62" s="66" t="n" /><c r="BN62" s="66" t="n" /></row><row r="63" ht="15" customHeight="1"><c r="A63" s="55" t="n"><v>55</v></c><c r="B63" s="304"><f>B62</f><v /></c><c r="C63" s="304"><f>C62</f><v /></c><c r="D63" s="94"><f>D62</f><v /></c><c r="E63" s="95"><f>E62</f><v /></c><c r="F63" s="96" t="n" /><c r="G63" s="305" t="n" /><c r="H63" s="98"><f>H62</f><v /></c><c r="I63" s="98" t="n" /><c r="J63" s="306"><f>J62</f><v /></c><c r="K63" s="306"><f>K62</f><v /></c><c r="L63" s="306"><f>L62</f><v /></c><c r="M63" s="100" t="n" /><c r="N63" s="100" t="n" /><c r="O63" s="101"><f>O62</f><v /></c><c r="P63" s="307"><f>P62</f><v /></c><c r="Q63" s="10"><f>LEFT(P63,1)</f><v /></c><c r="R63" s="10"><f>RIGHT(P63,6)</f><v /></c><c r="S63" s="10"><f>+(Q63*60+R63)/(60*60)</f><v /></c><c r="T63" s="13"><f>+O63/S63</f><v /></c><c r="U63" s="300"><f>+(((N63-M63-O63)/O63)*100)</f><v /></c><c r="V63" s="308"><f>V62</f><v /></c><c r="W63" s="309"><f>W62</f><v /></c><c r="X63" s="309"><f>X62</f><v /></c><c r="Y63" s="100" t="n" /><c r="Z63" s="100" t="n" /><c r="AA63" s="109"><f>AA62</f><v /></c><c r="AB63" s="307"><f>AB62</f><v /></c><c r="AC63" s="10"><f>LEFT(AB63,2)</f><v /></c><c r="AD63" s="10"><f>RIGHT(AB63,6)</f><v /></c><c r="AE63" s="10"><f>+(AC63*60+AD63)/(60*60)</f><v /></c><c r="AF63" s="13"><f>+AA63/AE63</f><v /></c><c r="AG63" s="303"><f>+(((Z63-Y63-AA63)/AA63)*100)</f><v /></c><c r="AH63" s="308"><f>AH62</f><v /></c><c r="AI63" s="308"><f>AI62</f><v /></c><c r="AJ63" s="308"><f>AJ62</f><v /></c><c r="AK63" s="100"><f>+Z63</f><v /></c><c r="AL63" s="100" t="n" /><c r="AM63" s="112"><f>AM62</f><v /></c><c r="AN63" s="307"><f>AN62</f><v /></c><c r="AO63" s="10"><f>LEFT(AN63,2)</f><v /></c><c r="AP63" s="10"><f>RIGHT(AN63,6)</f><v /></c><c r="AQ63" s="10"><f>+(AO63*60+AP63)/(60*60)</f><v /></c><c r="AR63" s="13"><f>+AM63/AQ63</f><v /></c><c r="AS63" s="303"><f>+(((AL63-AK63-AM63)/AM63)*100)</f><v /></c><c r="AT63" s="64"><f>IF(I63&gt;=1,"NO CONFORME",IF(BK63="SIGDIFERENTES",BC63,BL63))</f><v /></c><c r="AU63" s="21"><f>B63&lt;=C63</f><v /></c><c r="AV63" s="21"><f>N63&lt;Y63</f><v /></c><c r="AW63" s="21"><f>Z63&lt;=AK63</f><v /></c><c r="AX63" s="21"><f>IF(I63&gt;=1,"Qcorrecto",IF(AND(AY63="aceptable",AZ63="aceptable",BA63="aceptable"),"Qcorrecto","Qincorrecto"))</f><v /></c><c r="AY63" s="21"><f>IF(AR63&lt;$AH$6,"error",IF(AR63&gt;$AH$6*1.1,"error","aceptable"))</f><v /></c><c r="AZ63" s="21"><f>IF(AF63&lt;$V$6,"error",IF(AF63&gt;$V$6*1.1,"error","aceptable"))</f><v /></c><c r="BA63" s="21"><f>IF(T63&lt;$J$6*0.9,"error",IF(T63&gt;$J$6,"error","aceptable"))</f><v /></c><c r="BB63" s="65"><f>(IF(ABS(U63)&lt;1.05,"CONFORME",IF(ABS(AG63)&lt;1.05,"CONFORME",IF(ABS(AS63)&lt;2.55,"CONFORME","NO CONFORME"))))</f><v /></c><c r="BC63" s="62"><f>(IF(ABS(U63)&gt;2.05,"NO CONFORME",IF(ABS(AG63)&gt;2.05,"NO CONFORME",IF(ABS(AS63)&gt;5.05,"NO CONFORME","CONFORME"))))</f><v /></c><c r="BD63" s="64"><f>SIGN(U63)</f><v /></c><c r="BE63" s="64"><f>SIGN(AG63)</f><v /></c><c r="BF63" s="64"><f>SIGN(AS63)</f><v /></c><c r="BG63" s="64"><f>CONCATENATE(BD63,BE63,BF63)</f><v /></c><c r="BH63" s="64"><f>IF(BG63="111","SI","SD")</f><v /></c><c r="BI63" s="64"><f>IF(BG63="-1-1-1","SI","SD")</f><v /></c><c r="BJ63" s="64"><f>OR(BH63="SI",BI63="SI")</f><v /></c><c r="BK63" s="64"><f>IF(BJ63=FALSE,"SIGDIFERENTES","SIGIGUALES")</f><v /></c><c r="BL63" s="21"><f>IF(BC63="NO CONFORME","NO CONFORME",IF(BB63="CONFORME","CONFORME","NO CONFORME"))</f><v /></c><c r="BM63" s="66" t="n" /><c r="BN63" s="66" t="n" /></row><row r="64" ht="15.75" customHeight="1" thickBot="1"><c r="A64" s="9" t="n"><v>56</v></c><c r="B64" s="296"><f>B63</f><v /></c><c r="C64" s="296"><f>C63</f><v /></c><c r="D64" s="11"><f>D63</f><v /></c><c r="E64" s="9"><f>E63</f><v /></c><c r="F64" s="12" t="n" /><c r="G64" s="297" t="n" /><c r="H64" s="90"><f>H63</f><v /></c><c r="I64" s="90" t="n" /><c r="J64" s="298"><f>J63</f><v /></c><c r="K64" s="298"><f>K63</f><v /></c><c r="L64" s="298"><f>L63</f><v /></c><c r="M64" s="52" t="n" /><c r="N64" s="52" t="n" /><c r="O64" s="30"><f>O63</f><v /></c><c r="P64" s="299"><f>P63</f><v /></c><c r="Q64" s="10"><f>LEFT(P64,1)</f><v /></c><c r="R64" s="10"><f>RIGHT(P64,6)</f><v /></c><c r="S64" s="10"><f>+(Q64*60+R64)/(60*60)</f><v /></c><c r="T64" s="13"><f>+O64/S64</f><v /></c><c r="U64" s="300"><f>+(((N64-M64-O64)/O64)*100)</f><v /></c><c r="V64" s="301"><f>V63</f><v /></c><c r="W64" s="302"><f>W63</f><v /></c><c r="X64" s="302"><f>X63</f><v /></c><c r="Y64" s="52" t="n" /><c r="Z64" s="52" t="n" /><c r="AA64" s="106"><f>AA63</f><v /></c><c r="AB64" s="299"><f>AB63</f><v /></c><c r="AC64" s="10"><f>LEFT(AB64,2)</f><v /></c><c r="AD64" s="10"><f>RIGHT(AB64,6)</f><v /></c><c r="AE64" s="10"><f>+(AC64*60+AD64)/(60*60)</f><v /></c><c r="AF64" s="13"><f>+AA64/AE64</f><v /></c><c r="AG64" s="303"><f>+(((Z64-Y64-AA64)/AA64)*100)</f><v /></c><c r="AH64" s="301"><f>AH63</f><v /></c><c r="AI64" s="301"><f>AI63</f><v /></c><c r="AJ64" s="301"><f>AJ63</f><v /></c><c r="AK64" s="52"><f>+Z64</f><v /></c><c r="AL64" s="52" t="n" /><c r="AM64" s="111"><f>AM63</f><v /></c><c r="AN64" s="299"><f>AN63</f><v /></c><c r="AO64" s="10"><f>LEFT(AN64,2)</f><v /></c><c r="AP64" s="10"><f>RIGHT(AN64,6)</f><v /></c><c r="AQ64" s="10"><f>+(AO64*60+AP64)/(60*60)</f><v /></c><c r="AR64" s="13"><f>+AM64/AQ64</f><v /></c><c r="AS64" s="303"><f>+(((AL64-AK64-AM64)/AM64)*100)</f><v /></c><c r="AT64" s="64"><f>IF(I64&gt;=1,"NO CONFORME",IF(BK64="SIGDIFERENTES",BC64,BL64))</f><v /></c><c r="AU64" s="21"><f>B64&lt;=C64</f><v /></c><c r="AV64" s="21"><f>N64&lt;Y64</f><v /></c><c r="AW64" s="21"><f>Z64&lt;=AK64</f><v /></c><c r="AX64" s="21"><f>IF(I64&gt;=1,"Qcorrecto",IF(AND(AY64="aceptable",AZ64="aceptable",BA64="aceptable"),"Qcorrecto","Qincorrecto"))</f><v /></c><c r="AY64" s="21"><f>IF(AR64&lt;$AH$6,"error",IF(AR64&gt;$AH$6*1.1,"error","aceptable"))</f><v /></c><c r="AZ64" s="21"><f>IF(AF64&lt;$V$6,"error",IF(AF64&gt;$V$6*1.1,"error","aceptable"))</f><v /></c><c r="BA64" s="21"><f>IF(T64&lt;$J$6*0.9,"error",IF(T64&gt;$J$6,"error","aceptable"))</f><v /></c><c r="BB64" s="65"><f>(IF(ABS(U64)&lt;1.05,"CONFORME",IF(ABS(AG64)&lt;1.05,"CONFORME",IF(ABS(AS64)&lt;2.55,"CONFORME","NO CONFORME"))))</f><v /></c><c r="BC64" s="62"><f>(IF(ABS(U64)&gt;2.05,"NO CONFORME",IF(ABS(AG64)&gt;2.05,"NO CONFORME",IF(ABS(AS64)&gt;5.05,"NO CONFORME","CONFORME"))))</f><v /></c><c r="BD64" s="64"><f>SIGN(U64)</f><v /></c><c r="BE64" s="64"><f>SIGN(AG64)</f><v /></c><c r="BF64" s="64"><f>SIGN(AS64)</f><v /></c><c r="BG64" s="64"><f>CONCATENATE(BD64,BE64,BF64)</f><v /></c><c r="BH64" s="64"><f>IF(BG64="111","SI","SD")</f><v /></c><c r="BI64" s="64"><f>IF(BG64="-1-1-1","SI","SD")</f><v /></c><c r="BJ64" s="64"><f>OR(BH64="SI",BI64="SI")</f><v /></c><c r="BK64" s="64"><f>IF(BJ64=FALSE,"SIGDIFERENTES","SIGIGUALES")</f><v /></c><c r="BL64" s="21"><f>IF(BC64="NO CONFORME","NO CONFORME",IF(BB64="CONFORME","CONFORME","NO CONFORME"))</f><v /></c><c r="BM64" s="66" t="n" /><c r="BN64" s="66" t="n" /></row><row r="65" ht="15" customHeight="1"><c r="A65" s="55" t="n"><v>57</v></c><c r="B65" s="304"><f>B64</f><v /></c><c r="C65" s="304"><f>C64</f><v /></c><c r="D65" s="94"><f>D64</f><v /></c><c r="E65" s="95"><f>E64</f><v /></c><c r="F65" s="96" t="n" /><c r="G65" s="305" t="n" /><c r="H65" s="98"><f>H64</f><v /></c><c r="I65" s="98" t="n" /><c r="J65" s="306"><f>J64</f><v /></c><c r="K65" s="306"><f>K64</f><v /></c><c r="L65" s="306"><f>L64</f><v /></c><c r="M65" s="100" t="n" /><c r="N65" s="100" t="n" /><c r="O65" s="101"><f>O64</f><v /></c><c r="P65" s="307"><f>P64</f><v /></c><c r="Q65" s="10"><f>LEFT(P65,1)</f><v /></c><c r="R65" s="10"><f>RIGHT(P65,6)</f><v /></c><c r="S65" s="10"><f>+(Q65*60+R65)/(60*60)</f><v /></c><c r="T65" s="13"><f>+O65/S65</f><v /></c><c r="U65" s="300"><f>+(((N65-M65-O65)/O65)*100)</f><v /></c><c r="V65" s="308"><f>V64</f><v /></c><c r="W65" s="309"><f>W64</f><v /></c><c r="X65" s="309"><f>X64</f><v /></c><c r="Y65" s="100" t="n" /><c r="Z65" s="100" t="n" /><c r="AA65" s="109"><f>AA64</f><v /></c><c r="AB65" s="307"><f>AB64</f><v /></c><c r="AC65" s="10"><f>LEFT(AB65,2)</f><v /></c><c r="AD65" s="10"><f>RIGHT(AB65,6)</f><v /></c><c r="AE65" s="10"><f>+(AC65*60+AD65)/(60*60)</f><v /></c><c r="AF65" s="13"><f>+AA65/AE65</f><v /></c><c r="AG65" s="303"><f>+(((Z65-Y65-AA65)/AA65)*100)</f><v /></c><c r="AH65" s="308"><f>AH64</f><v /></c><c r="AI65" s="308"><f>AI64</f><v /></c><c r="AJ65" s="308"><f>AJ64</f><v /></c><c r="AK65" s="100"><f>+Z65</f><v /></c><c r="AL65" s="100" t="n" /><c r="AM65" s="112"><f>AM64</f><v /></c><c r="AN65" s="307"><f>AN64</f><v /></c><c r="AO65" s="10"><f>LEFT(AN65,2)</f><v /></c><c r="AP65" s="10"><f>RIGHT(AN65,6)</f><v /></c><c r="AQ65" s="10"><f>+(AO65*60+AP65)/(60*60)</f><v /></c><c r="AR65" s="13"><f>+AM65/AQ65</f><v /></c><c r="AS65" s="303"><f>+(((AL65-AK65-AM65)/AM65)*100)</f><v /></c><c r="AT65" s="64"><f>IF(I65&gt;=1,"NO CONFORME",IF(BK65="SIGDIFERENTES",BC65,BL65))</f><v /></c><c r="AU65" s="21"><f>B65&lt;=C65</f><v /></c><c r="AV65" s="21"><f>N65&lt;Y65</f><v /></c><c r="AW65" s="21"><f>Z65&lt;=AK65</f><v /></c><c r="AX65" s="21"><f>IF(I65&gt;=1,"Qcorrecto",IF(AND(AY65="aceptable",AZ65="aceptable",BA65="aceptable"),"Qcorrecto","Qincorrecto"))</f><v /></c><c r="AY65" s="21"><f>IF(AR65&lt;$AH$6,"error",IF(AR65&gt;$AH$6*1.1,"error","aceptable"))</f><v /></c><c r="AZ65" s="21"><f>IF(AF65&lt;$V$6,"error",IF(AF65&gt;$V$6*1.1,"error","aceptable"))</f><v /></c><c r="BA65" s="21"><f>IF(T65&lt;$J$6*0.9,"error",IF(T65&gt;$J$6,"error","aceptable"))</f><v /></c><c r="BB65" s="65"><f>(IF(ABS(U65)&lt;1.05,"CONFORME",IF(ABS(AG65)&lt;1.05,"CONFORME",IF(ABS(AS65)&lt;2.55,"CONFORME","NO CONFORME"))))</f><v /></c><c r="BC65" s="62"><f>(IF(ABS(U65)&gt;2.05,"NO CONFORME",IF(ABS(AG65)&gt;2.05,"NO CONFORME",IF(ABS(AS65)&gt;5.05,"NO CONFORME","CONFORME"))))</f><v /></c><c r="BD65" s="64"><f>SIGN(U65)</f><v /></c><c r="BE65" s="64"><f>SIGN(AG65)</f><v /></c><c r="BF65" s="64"><f>SIGN(AS65)</f><v /></c><c r="BG65" s="64"><f>CONCATENATE(BD65,BE65,BF65)</f><v /></c><c r="BH65" s="64"><f>IF(BG65="111","SI","SD")</f><v /></c><c r="BI65" s="64"><f>IF(BG65="-1-1-1","SI","SD")</f><v /></c><c r="BJ65" s="64"><f>OR(BH65="SI",BI65="SI")</f><v /></c><c r="BK65" s="64"><f>IF(BJ65=FALSE,"SIGDIFERENTES","SIGIGUALES")</f><v /></c><c r="BL65" s="21"><f>IF(BC65="NO CONFORME","NO CONFORME",IF(BB65="CONFORME","CONFORME","NO CONFORME"))</f><v /></c><c r="BM65" s="66" t="n" /><c r="BN65" s="66" t="n" /></row><row r="66" ht="15.75" customHeight="1" thickBot="1"><c r="A66" s="9" t="n"><v>58</v></c><c r="B66" s="296"><f>B65</f><v /></c><c r="C66" s="296"><f>C65</f><v /></c><c r="D66" s="11"><f>D65</f><v /></c><c r="E66" s="9"><f>E65</f><v /></c><c r="F66" s="12" t="n" /><c r="G66" s="297" t="n" /><c r="H66" s="90"><f>H65</f><v /></c><c r="I66" s="90" t="n" /><c r="J66" s="298"><f>J65</f><v /></c><c r="K66" s="298"><f>K65</f><v /></c><c r="L66" s="298"><f>L65</f><v /></c><c r="M66" s="52" t="n" /><c r="N66" s="52" t="n" /><c r="O66" s="30"><f>O65</f><v /></c><c r="P66" s="299"><f>P65</f><v /></c><c r="Q66" s="10"><f>LEFT(P66,1)</f><v /></c><c r="R66" s="10"><f>RIGHT(P66,6)</f><v /></c><c r="S66" s="10"><f>+(Q66*60+R66)/(60*60)</f><v /></c><c r="T66" s="13"><f>+O66/S66</f><v /></c><c r="U66" s="300"><f>+(((N66-M66-O66)/O66)*100)</f><v /></c><c r="V66" s="301"><f>V65</f><v /></c><c r="W66" s="302"><f>W65</f><v /></c><c r="X66" s="302"><f>X65</f><v /></c><c r="Y66" s="52" t="n" /><c r="Z66" s="52" t="n" /><c r="AA66" s="106"><f>AA65</f><v /></c><c r="AB66" s="299"><f>AB65</f><v /></c><c r="AC66" s="10"><f>LEFT(AB66,2)</f><v /></c><c r="AD66" s="10"><f>RIGHT(AB66,6)</f><v /></c><c r="AE66" s="10"><f>+(AC66*60+AD66)/(60*60)</f><v /></c><c r="AF66" s="13"><f>+AA66/AE66</f><v /></c><c r="AG66" s="303"><f>+(((Z66-Y66-AA66)/AA66)*100)</f><v /></c><c r="AH66" s="301"><f>AH65</f><v /></c><c r="AI66" s="301"><f>AI65</f><v /></c><c r="AJ66" s="301"><f>AJ65</f><v /></c><c r="AK66" s="52"><f>+Z66</f><v /></c><c r="AL66" s="52" t="n" /><c r="AM66" s="111"><f>AM65</f><v /></c><c r="AN66" s="299"><f>AN65</f><v /></c><c r="AO66" s="10"><f>LEFT(AN66,2)</f><v /></c><c r="AP66" s="10"><f>RIGHT(AN66,6)</f><v /></c><c r="AQ66" s="10"><f>+(AO66*60+AP66)/(60*60)</f><v /></c><c r="AR66" s="13"><f>+AM66/AQ66</f><v /></c><c r="AS66" s="303"><f>+(((AL66-AK66-AM66)/AM66)*100)</f><v /></c><c r="AT66" s="64"><f>IF(I66&gt;=1,"NO CONFORME",IF(BK66="SIGDIFERENTES",BC66,BL66))</f><v /></c><c r="AU66" s="21"><f>B66&lt;=C66</f><v /></c><c r="AV66" s="21"><f>N66&lt;Y66</f><v /></c><c r="AW66" s="21"><f>Z66&lt;=AK66</f><v /></c><c r="AX66" s="21"><f>IF(I66&gt;=1,"Qcorrecto",IF(AND(AY66="aceptable",AZ66="aceptable",BA66="aceptable"),"Qcorrecto","Qincorrecto"))</f><v /></c><c r="AY66" s="21"><f>IF(AR66&lt;$AH$6,"error",IF(AR66&gt;$AH$6*1.1,"error","aceptable"))</f><v /></c><c r="AZ66" s="21"><f>IF(AF66&lt;$V$6,"error",IF(AF66&gt;$V$6*1.1,"error","aceptable"))</f><v /></c><c r="BA66" s="21"><f>IF(T66&lt;$J$6*0.9,"error",IF(T66&gt;$J$6,"error","aceptable"))</f><v /></c><c r="BB66" s="65"><f>(IF(ABS(U66)&lt;1.05,"CONFORME",IF(ABS(AG66)&lt;1.05,"CONFORME",IF(ABS(AS66)&lt;2.55,"CONFORME","NO CONFORME"))))</f><v /></c><c r="BC66" s="62"><f>(IF(ABS(U66)&gt;2.05,"NO CONFORME",IF(ABS(AG66)&gt;2.05,"NO CONFORME",IF(ABS(AS66)&gt;5.05,"NO CONFORME","CONFORME"))))</f><v /></c><c r="BD66" s="64"><f>SIGN(U66)</f><v /></c><c r="BE66" s="64"><f>SIGN(AG66)</f><v /></c><c r="BF66" s="64"><f>SIGN(AS66)</f><v /></c><c r="BG66" s="64"><f>CONCATENATE(BD66,BE66,BF66)</f><v /></c><c r="BH66" s="64"><f>IF(BG66="111","SI","SD")</f><v /></c><c r="BI66" s="64"><f>IF(BG66="-1-1-1","SI","SD")</f><v /></c><c r="BJ66" s="64"><f>OR(BH66="SI",BI66="SI")</f><v /></c><c r="BK66" s="64"><f>IF(BJ66=FALSE,"SIGDIFERENTES","SIGIGUALES")</f><v /></c><c r="BL66" s="21"><f>IF(BC66="NO CONFORME","NO CONFORME",IF(BB66="CONFORME","CONFORME","NO CONFORME"))</f><v /></c><c r="BM66" s="66" t="n" /><c r="BN66" s="66" t="n" /></row><row r="67" ht="15" customHeight="1"><c r="A67" s="55" t="n"><v>59</v></c><c r="B67" s="304"><f>B66</f><v /></c><c r="C67" s="304"><f>C66</f><v /></c><c r="D67" s="94"><f>D66</f><v /></c><c r="E67" s="95"><f>E66</f><v /></c><c r="F67" s="96" t="n" /><c r="G67" s="305" t="n" /><c r="H67" s="98"><f>H66</f><v /></c><c r="I67" s="98" t="n" /><c r="J67" s="306"><f>J66</f><v /></c><c r="K67" s="306"><f>K66</f><v /></c><c r="L67" s="306"><f>L66</f><v /></c><c r="M67" s="100" t="n" /><c r="N67" s="100" t="n" /><c r="O67" s="101"><f>O66</f><v /></c><c r="P67" s="307"><f>P66</f><v /></c><c r="Q67" s="10"><f>LEFT(P67,1)</f><v /></c><c r="R67" s="10"><f>RIGHT(P67,6)</f><v /></c><c r="S67" s="10"><f>+(Q67*60+R67)/(60*60)</f><v /></c><c r="T67" s="13"><f>+O67/S67</f><v /></c><c r="U67" s="300"><f>+(((N67-M67-O67)/O67)*100)</f><v /></c><c r="V67" s="308"><f>V66</f><v /></c><c r="W67" s="309"><f>W66</f><v /></c><c r="X67" s="309"><f>X66</f><v /></c><c r="Y67" s="100" t="n" /><c r="Z67" s="100" t="n" /><c r="AA67" s="109"><f>AA66</f><v /></c><c r="AB67" s="307"><f>AB66</f><v /></c><c r="AC67" s="10"><f>LEFT(AB67,2)</f><v /></c><c r="AD67" s="10"><f>RIGHT(AB67,6)</f><v /></c><c r="AE67" s="10"><f>+(AC67*60+AD67)/(60*60)</f><v /></c><c r="AF67" s="13"><f>+AA67/AE67</f><v /></c><c r="AG67" s="303"><f>+(((Z67-Y67-AA67)/AA67)*100)</f><v /></c><c r="AH67" s="308"><f>AH66</f><v /></c><c r="AI67" s="308"><f>AI66</f><v /></c><c r="AJ67" s="308"><f>AJ66</f><v /></c><c r="AK67" s="100"><f>+Z67</f><v /></c><c r="AL67" s="100" t="n" /><c r="AM67" s="112"><f>AM66</f><v /></c><c r="AN67" s="307"><f>AN66</f><v /></c><c r="AO67" s="10"><f>LEFT(AN67,2)</f><v /></c><c r="AP67" s="10"><f>RIGHT(AN67,6)</f><v /></c><c r="AQ67" s="10"><f>+(AO67*60+AP67)/(60*60)</f><v /></c><c r="AR67" s="13"><f>+AM67/AQ67</f><v /></c><c r="AS67" s="303"><f>+(((AL67-AK67-AM67)/AM67)*100)</f><v /></c><c r="AT67" s="64"><f>IF(I67&gt;=1,"NO CONFORME",IF(BK67="SIGDIFERENTES",BC67,BL67))</f><v /></c><c r="AU67" s="21"><f>B67&lt;=C67</f><v /></c><c r="AV67" s="21"><f>N67&lt;Y67</f><v /></c><c r="AW67" s="21"><f>Z67&lt;=AK67</f><v /></c><c r="AX67" s="21"><f>IF(I67&gt;=1,"Qcorrecto",IF(AND(AY67="aceptable",AZ67="aceptable",BA67="aceptable"),"Qcorrecto","Qincorrecto"))</f><v /></c><c r="AY67" s="21"><f>IF(AR67&lt;$AH$6,"error",IF(AR67&gt;$AH$6*1.1,"error","aceptable"))</f><v /></c><c r="AZ67" s="21"><f>IF(AF67&lt;$V$6,"error",IF(AF67&gt;$V$6*1.1,"error","aceptable"))</f><v /></c><c r="BA67" s="21"><f>IF(T67&lt;$J$6*0.9,"error",IF(T67&gt;$J$6,"error","aceptable"))</f><v /></c><c r="BB67" s="65"><f>(IF(ABS(U67)&lt;1.05,"CONFORME",IF(ABS(AG67)&lt;1.05,"CONFORME",IF(ABS(AS67)&lt;2.55,"CONFORME","NO CONFORME"))))</f><v /></c><c r="BC67" s="62"><f>(IF(ABS(U67)&gt;2.05,"NO CONFORME",IF(ABS(AG67)&gt;2.05,"NO CONFORME",IF(ABS(AS67)&gt;5.05,"NO CONFORME","CONFORME"))))</f><v /></c><c r="BD67" s="64"><f>SIGN(U67)</f><v /></c><c r="BE67" s="64"><f>SIGN(AG67)</f><v /></c><c r="BF67" s="64"><f>SIGN(AS67)</f><v /></c><c r="BG67" s="64"><f>CONCATENATE(BD67,BE67,BF67)</f><v /></c><c r="BH67" s="64"><f>IF(BG67="111","SI","SD")</f><v /></c><c r="BI67" s="64"><f>IF(BG67="-1-1-1","SI","SD")</f><v /></c><c r="BJ67" s="64"><f>OR(BH67="SI",BI67="SI")</f><v /></c><c r="BK67" s="64"><f>IF(BJ67=FALSE,"SIGDIFERENTES","SIGIGUALES")</f><v /></c><c r="BL67" s="21"><f>IF(BC67="NO CONFORME","NO CONFORME",IF(BB67="CONFORME","CONFORME","NO CONFORME"))</f><v /></c><c r="BM67" s="66" t="n" /><c r="BN67" s="66" t="n" /></row><row r="68" ht="15.75" customHeight="1" thickBot="1"><c r="A68" s="9" t="n"><v>60</v></c><c r="B68" s="296"><f>B67</f><v /></c><c r="C68" s="296"><f>C67</f><v /></c><c r="D68" s="11"><f>D67</f><v /></c><c r="E68" s="9"><f>E67</f><v /></c><c r="F68" s="12" t="n" /><c r="G68" s="297" t="n" /><c r="H68" s="90"><f>H67</f><v /></c><c r="I68" s="90" t="n" /><c r="J68" s="298"><f>J67</f><v /></c><c r="K68" s="298"><f>K67</f><v /></c><c r="L68" s="298"><f>L67</f><v /></c><c r="M68" s="52" t="n" /><c r="N68" s="52" t="n" /><c r="O68" s="30"><f>O67</f><v /></c><c r="P68" s="299"><f>P67</f><v /></c><c r="Q68" s="10"><f>LEFT(P68,1)</f><v /></c><c r="R68" s="10"><f>RIGHT(P68,6)</f><v /></c><c r="S68" s="10"><f>+(Q68*60+R68)/(60*60)</f><v /></c><c r="T68" s="13"><f>+O68/S68</f><v /></c><c r="U68" s="300"><f>+(((N68-M68-O68)/O68)*100)</f><v /></c><c r="V68" s="301"><f>V67</f><v /></c><c r="W68" s="302"><f>W67</f><v /></c><c r="X68" s="302"><f>X67</f><v /></c><c r="Y68" s="52" t="n" /><c r="Z68" s="52" t="n" /><c r="AA68" s="106"><f>AA67</f><v /></c><c r="AB68" s="299"><f>AB67</f><v /></c><c r="AC68" s="10"><f>LEFT(AB68,2)</f><v /></c><c r="AD68" s="10"><f>RIGHT(AB68,6)</f><v /></c><c r="AE68" s="10"><f>+(AC68*60+AD68)/(60*60)</f><v /></c><c r="AF68" s="13"><f>+AA68/AE68</f><v /></c><c r="AG68" s="303"><f>+(((Z68-Y68-AA68)/AA68)*100)</f><v /></c><c r="AH68" s="301"><f>AH67</f><v /></c><c r="AI68" s="301"><f>AI67</f><v /></c><c r="AJ68" s="301"><f>AJ67</f><v /></c><c r="AK68" s="52"><f>+Z68</f><v /></c><c r="AL68" s="52" t="n" /><c r="AM68" s="111"><f>AM67</f><v /></c><c r="AN68" s="299"><f>AN67</f><v /></c><c r="AO68" s="10"><f>LEFT(AN68,2)</f><v /></c><c r="AP68" s="10"><f>RIGHT(AN68,6)</f><v /></c><c r="AQ68" s="10"><f>+(AO68*60+AP68)/(60*60)</f><v /></c><c r="AR68" s="13"><f>+AM68/AQ68</f><v /></c><c r="AS68" s="303"><f>+(((AL68-AK68-AM68)/AM68)*100)</f><v /></c><c r="AT68" s="64"><f>IF(I68&gt;=1,"NO CONFORME",IF(BK68="SIGDIFERENTES",BC68,BL68))</f><v /></c><c r="AU68" s="21"><f>B68&lt;=C68</f><v /></c><c r="AV68" s="21"><f>N68&lt;Y68</f><v /></c><c r="AW68" s="21"><f>Z68&lt;=AK68</f><v /></c><c r="AX68" s="21"><f>IF(I68&gt;=1,"Qcorrecto",IF(AND(AY68="aceptable",AZ68="aceptable",BA68="aceptable"),"Qcorrecto","Qincorrecto"))</f><v /></c><c r="AY68" s="21"><f>IF(AR68&lt;$AH$6,"error",IF(AR68&gt;$AH$6*1.1,"error","aceptable"))</f><v /></c><c r="AZ68" s="21"><f>IF(AF68&lt;$V$6,"error",IF(AF68&gt;$V$6*1.1,"error","aceptable"))</f><v /></c><c r="BA68" s="21"><f>IF(T68&lt;$J$6*0.9,"error",IF(T68&gt;$J$6,"error","aceptable"))</f><v /></c><c r="BB68" s="65"><f>(IF(ABS(U68)&lt;1.05,"CONFORME",IF(ABS(AG68)&lt;1.05,"CONFORME",IF(ABS(AS68)&lt;2.55,"CONFORME","NO CONFORME"))))</f><v /></c><c r="BC68" s="62"><f>(IF(ABS(U68)&gt;2.05,"NO CONFORME",IF(ABS(AG68)&gt;2.05,"NO CONFORME",IF(ABS(AS68)&gt;5.05,"NO CONFORME","CONFORME"))))</f><v /></c><c r="BD68" s="64"><f>SIGN(U68)</f><v /></c><c r="BE68" s="64"><f>SIGN(AG68)</f><v /></c><c r="BF68" s="64"><f>SIGN(AS68)</f><v /></c><c r="BG68" s="64"><f>CONCATENATE(BD68,BE68,BF68)</f><v /></c><c r="BH68" s="64"><f>IF(BG68="111","SI","SD")</f><v /></c><c r="BI68" s="64"><f>IF(BG68="-1-1-1","SI","SD")</f><v /></c><c r="BJ68" s="64"><f>OR(BH68="SI",BI68="SI")</f><v /></c><c r="BK68" s="64"><f>IF(BJ68=FALSE,"SIGDIFERENTES","SIGIGUALES")</f><v /></c><c r="BL68" s="21"><f>IF(BC68="NO CONFORME","NO CONFORME",IF(BB68="CONFORME","CONFORME","NO CONFORME"))</f><v /></c><c r="BM68" s="66" t="n" /><c r="BN68" s="66" t="n" /></row><row r="69" ht="15" customHeight="1"><c r="A69" s="55" t="n"><v>61</v></c><c r="B69" s="304"><f>B68</f><v /></c><c r="C69" s="304"><f>C68</f><v /></c><c r="D69" s="94"><f>D68</f><v /></c><c r="E69" s="95"><f>E68</f><v /></c><c r="F69" s="96" t="n" /><c r="G69" s="305" t="n" /><c r="H69" s="98"><f>H68</f><v /></c><c r="I69" s="98" t="n" /><c r="J69" s="306"><f>J68</f><v /></c><c r="K69" s="306"><f>K68</f><v /></c><c r="L69" s="306"><f>L68</f><v /></c><c r="M69" s="100" t="n" /><c r="N69" s="100" t="n" /><c r="O69" s="101"><f>O68</f><v /></c><c r="P69" s="307"><f>P68</f><v /></c><c r="Q69" s="10"><f>LEFT(P69,1)</f><v /></c><c r="R69" s="10"><f>RIGHT(P69,6)</f><v /></c><c r="S69" s="10"><f>+(Q69*60+R69)/(60*60)</f><v /></c><c r="T69" s="13"><f>+O69/S69</f><v /></c><c r="U69" s="300"><f>+(((N69-M69-O69)/O69)*100)</f><v /></c><c r="V69" s="308"><f>V68</f><v /></c><c r="W69" s="309"><f>W68</f><v /></c><c r="X69" s="309"><f>X68</f><v /></c><c r="Y69" s="100" t="n" /><c r="Z69" s="100" t="n" /><c r="AA69" s="109"><f>AA68</f><v /></c><c r="AB69" s="307"><f>AB68</f><v /></c><c r="AC69" s="10"><f>LEFT(AB69,2)</f><v /></c><c r="AD69" s="10"><f>RIGHT(AB69,6)</f><v /></c><c r="AE69" s="10"><f>+(AC69*60+AD69)/(60*60)</f><v /></c><c r="AF69" s="13"><f>+AA69/AE69</f><v /></c><c r="AG69" s="303"><f>+(((Z69-Y69-AA69)/AA69)*100)</f><v /></c><c r="AH69" s="308"><f>AH68</f><v /></c><c r="AI69" s="308"><f>AI68</f><v /></c><c r="AJ69" s="308"><f>AJ68</f><v /></c><c r="AK69" s="100"><f>+Z69</f><v /></c><c r="AL69" s="100" t="n" /><c r="AM69" s="112"><f>AM68</f><v /></c><c r="AN69" s="307"><f>AN68</f><v /></c><c r="AO69" s="10"><f>LEFT(AN69,2)</f><v /></c><c r="AP69" s="10"><f>RIGHT(AN69,6)</f><v /></c><c r="AQ69" s="10"><f>+(AO69*60+AP69)/(60*60)</f><v /></c><c r="AR69" s="13"><f>+AM69/AQ69</f><v /></c><c r="AS69" s="303"><f>+(((AL69-AK69-AM69)/AM69)*100)</f><v /></c><c r="AT69" s="64"><f>IF(I69&gt;=1,"NO CONFORME",IF(BK69="SIGDIFERENTES",BC69,BL69))</f><v /></c><c r="AU69" s="21"><f>B69&lt;=C69</f><v /></c><c r="AV69" s="21"><f>N69&lt;Y69</f><v /></c><c r="AW69" s="21"><f>Z69&lt;=AK69</f><v /></c><c r="AX69" s="21"><f>IF(I69&gt;=1,"Qcorrecto",IF(AND(AY69="aceptable",AZ69="aceptable",BA69="aceptable"),"Qcorrecto","Qincorrecto"))</f><v /></c><c r="AY69" s="21"><f>IF(AR69&lt;$AH$6,"error",IF(AR69&gt;$AH$6*1.1,"error","aceptable"))</f><v /></c><c r="AZ69" s="21"><f>IF(AF69&lt;$V$6,"error",IF(AF69&gt;$V$6*1.1,"error","aceptable"))</f><v /></c><c r="BA69" s="21"><f>IF(T69&lt;$J$6*0.9,"error",IF(T69&gt;$J$6,"error","aceptable"))</f><v /></c><c r="BB69" s="65"><f>(IF(ABS(U69)&lt;1.05,"CONFORME",IF(ABS(AG69)&lt;1.05,"CONFORME",IF(ABS(AS69)&lt;2.55,"CONFORME","NO CONFORME"))))</f><v /></c><c r="BC69" s="62"><f>(IF(ABS(U69)&gt;2.05,"NO CONFORME",IF(ABS(AG69)&gt;2.05,"NO CONFORME",IF(ABS(AS69)&gt;5.05,"NO CONFORME","CONFORME"))))</f><v /></c><c r="BD69" s="64"><f>SIGN(U69)</f><v /></c><c r="BE69" s="64"><f>SIGN(AG69)</f><v /></c><c r="BF69" s="64"><f>SIGN(AS69)</f><v /></c><c r="BG69" s="64"><f>CONCATENATE(BD69,BE69,BF69)</f><v /></c><c r="BH69" s="64"><f>IF(BG69="111","SI","SD")</f><v /></c><c r="BI69" s="64"><f>IF(BG69="-1-1-1","SI","SD")</f><v /></c><c r="BJ69" s="64"><f>OR(BH69="SI",BI69="SI")</f><v /></c><c r="BK69" s="64"><f>IF(BJ69=FALSE,"SIGDIFERENTES","SIGIGUALES")</f><v /></c><c r="BL69" s="21"><f>IF(BC69="NO CONFORME","NO CONFORME",IF(BB69="CONFORME","CONFORME","NO CONFORME"))</f><v /></c><c r="BM69" s="66" t="n" /><c r="BN69" s="66" t="n" /></row><row r="70" ht="15.75" customHeight="1" thickBot="1"><c r="A70" s="9" t="n"><v>62</v></c><c r="B70" s="296"><f>B69</f><v /></c><c r="C70" s="296"><f>C69</f><v /></c><c r="D70" s="11"><f>D69</f><v /></c><c r="E70" s="9"><f>E69</f><v /></c><c r="F70" s="12" t="n" /><c r="G70" s="297" t="n" /><c r="H70" s="90"><f>H69</f><v /></c><c r="I70" s="90" t="n" /><c r="J70" s="298"><f>J69</f><v /></c><c r="K70" s="298"><f>K69</f><v /></c><c r="L70" s="298"><f>L69</f><v /></c><c r="M70" s="52" t="n" /><c r="N70" s="52" t="n" /><c r="O70" s="30"><f>O69</f><v /></c><c r="P70" s="299"><f>P69</f><v /></c><c r="Q70" s="10"><f>LEFT(P70,1)</f><v /></c><c r="R70" s="10"><f>RIGHT(P70,6)</f><v /></c><c r="S70" s="10"><f>+(Q70*60+R70)/(60*60)</f><v /></c><c r="T70" s="13"><f>+O70/S70</f><v /></c><c r="U70" s="300"><f>+(((N70-M70-O70)/O70)*100)</f><v /></c><c r="V70" s="301"><f>V69</f><v /></c><c r="W70" s="302"><f>W69</f><v /></c><c r="X70" s="302"><f>X69</f><v /></c><c r="Y70" s="52" t="n" /><c r="Z70" s="52" t="n" /><c r="AA70" s="106"><f>AA69</f><v /></c><c r="AB70" s="299"><f>AB69</f><v /></c><c r="AC70" s="10"><f>LEFT(AB70,2)</f><v /></c><c r="AD70" s="10"><f>RIGHT(AB70,6)</f><v /></c><c r="AE70" s="10"><f>+(AC70*60+AD70)/(60*60)</f><v /></c><c r="AF70" s="13"><f>+AA70/AE70</f><v /></c><c r="AG70" s="303"><f>+(((Z70-Y70-AA70)/AA70)*100)</f><v /></c><c r="AH70" s="301"><f>AH69</f><v /></c><c r="AI70" s="301"><f>AI69</f><v /></c><c r="AJ70" s="301"><f>AJ69</f><v /></c><c r="AK70" s="52"><f>+Z70</f><v /></c><c r="AL70" s="52" t="n" /><c r="AM70" s="111"><f>AM69</f><v /></c><c r="AN70" s="299"><f>AN69</f><v /></c><c r="AO70" s="10"><f>LEFT(AN70,2)</f><v /></c><c r="AP70" s="10"><f>RIGHT(AN70,6)</f><v /></c><c r="AQ70" s="10"><f>+(AO70*60+AP70)/(60*60)</f><v /></c><c r="AR70" s="13"><f>+AM70/AQ70</f><v /></c><c r="AS70" s="303"><f>+(((AL70-AK70-AM70)/AM70)*100)</f><v /></c><c r="AT70" s="64"><f>IF(I70&gt;=1,"NO CONFORME",IF(BK70="SIGDIFERENTES",BC70,BL70))</f><v /></c><c r="AU70" s="21"><f>B70&lt;=C70</f><v /></c><c r="AV70" s="21"><f>N70&lt;Y70</f><v /></c><c r="AW70" s="21"><f>Z70&lt;=AK70</f><v /></c><c r="AX70" s="21"><f>IF(I70&gt;=1,"Qcorrecto",IF(AND(AY70="aceptable",AZ70="aceptable",BA70="aceptable"),"Qcorrecto","Qincorrecto"))</f><v /></c><c r="AY70" s="21"><f>IF(AR70&lt;$AH$6,"error",IF(AR70&gt;$AH$6*1.1,"error","aceptable"))</f><v /></c><c r="AZ70" s="21"><f>IF(AF70&lt;$V$6,"error",IF(AF70&gt;$V$6*1.1,"error","aceptable"))</f><v /></c><c r="BA70" s="21"><f>IF(T70&lt;$J$6*0.9,"error",IF(T70&gt;$J$6,"error","aceptable"))</f><v /></c><c r="BB70" s="65"><f>(IF(ABS(U70)&lt;1.05,"CONFORME",IF(ABS(AG70)&lt;1.05,"CONFORME",IF(ABS(AS70)&lt;2.55,"CONFORME","NO CONFORME"))))</f><v /></c><c r="BC70" s="62"><f>(IF(ABS(U70)&gt;2.05,"NO CONFORME",IF(ABS(AG70)&gt;2.05,"NO CONFORME",IF(ABS(AS70)&gt;5.05,"NO CONFORME","CONFORME"))))</f><v /></c><c r="BD70" s="64"><f>SIGN(U70)</f><v /></c><c r="BE70" s="64"><f>SIGN(AG70)</f><v /></c><c r="BF70" s="64"><f>SIGN(AS70)</f><v /></c><c r="BG70" s="64"><f>CONCATENATE(BD70,BE70,BF70)</f><v /></c><c r="BH70" s="64"><f>IF(BG70="111","SI","SD")</f><v /></c><c r="BI70" s="64"><f>IF(BG70="-1-1-1","SI","SD")</f><v /></c><c r="BJ70" s="64"><f>OR(BH70="SI",BI70="SI")</f><v /></c><c r="BK70" s="64"><f>IF(BJ70=FALSE,"SIGDIFERENTES","SIGIGUALES")</f><v /></c><c r="BL70" s="21"><f>IF(BC70="NO CONFORME","NO CONFORME",IF(BB70="CONFORME","CONFORME","NO CONFORME"))</f><v /></c><c r="BM70" s="66" t="n" /><c r="BN70" s="66" t="n" /></row><row r="71" ht="15" customHeight="1"><c r="A71" s="55" t="n"><v>63</v></c><c r="B71" s="304"><f>B70</f><v /></c><c r="C71" s="304"><f>C70</f><v /></c><c r="D71" s="94"><f>D70</f><v /></c><c r="E71" s="95"><f>E70</f><v /></c><c r="F71" s="96" t="n" /><c r="G71" s="305" t="n" /><c r="H71" s="98"><f>H70</f><v /></c><c r="I71" s="98" t="n" /><c r="J71" s="306"><f>J70</f><v /></c><c r="K71" s="306"><f>K70</f><v /></c><c r="L71" s="306"><f>L70</f><v /></c><c r="M71" s="100" t="n" /><c r="N71" s="100" t="n" /><c r="O71" s="101"><f>O70</f><v /></c><c r="P71" s="307"><f>P70</f><v /></c><c r="Q71" s="10"><f>LEFT(P71,1)</f><v /></c><c r="R71" s="10"><f>RIGHT(P71,6)</f><v /></c><c r="S71" s="10"><f>+(Q71*60+R71)/(60*60)</f><v /></c><c r="T71" s="13"><f>+O71/S71</f><v /></c><c r="U71" s="300"><f>+(((N71-M71-O71)/O71)*100)</f><v /></c><c r="V71" s="308"><f>V70</f><v /></c><c r="W71" s="309"><f>W70</f><v /></c><c r="X71" s="309"><f>X70</f><v /></c><c r="Y71" s="100" t="n" /><c r="Z71" s="100" t="n" /><c r="AA71" s="109"><f>AA70</f><v /></c><c r="AB71" s="307"><f>AB70</f><v /></c><c r="AC71" s="10"><f>LEFT(AB71,2)</f><v /></c><c r="AD71" s="10"><f>RIGHT(AB71,6)</f><v /></c><c r="AE71" s="10"><f>+(AC71*60+AD71)/(60*60)</f><v /></c><c r="AF71" s="13"><f>+AA71/AE71</f><v /></c><c r="AG71" s="303"><f>+(((Z71-Y71-AA71)/AA71)*100)</f><v /></c><c r="AH71" s="308"><f>AH70</f><v /></c><c r="AI71" s="308"><f>AI70</f><v /></c><c r="AJ71" s="308"><f>AJ70</f><v /></c><c r="AK71" s="100"><f>+Z71</f><v /></c><c r="AL71" s="100" t="n" /><c r="AM71" s="112"><f>AM70</f><v /></c><c r="AN71" s="307"><f>AN70</f><v /></c><c r="AO71" s="10"><f>LEFT(AN71,2)</f><v /></c><c r="AP71" s="10"><f>RIGHT(AN71,6)</f><v /></c><c r="AQ71" s="10"><f>+(AO71*60+AP71)/(60*60)</f><v /></c><c r="AR71" s="13"><f>+AM71/AQ71</f><v /></c><c r="AS71" s="303"><f>+(((AL71-AK71-AM71)/AM71)*100)</f><v /></c><c r="AT71" s="64"><f>IF(I71&gt;=1,"NO CONFORME",IF(BK71="SIGDIFERENTES",BC71,BL71))</f><v /></c><c r="AU71" s="21"><f>B71&lt;=C71</f><v /></c><c r="AV71" s="21"><f>N71&lt;Y71</f><v /></c><c r="AW71" s="21"><f>Z71&lt;=AK71</f><v /></c><c r="AX71" s="21"><f>IF(I71&gt;=1,"Qcorrecto",IF(AND(AY71="aceptable",AZ71="aceptable",BA71="aceptable"),"Qcorrecto","Qincorrecto"))</f><v /></c><c r="AY71" s="21"><f>IF(AR71&lt;$AH$6,"error",IF(AR71&gt;$AH$6*1.1,"error","aceptable"))</f><v /></c><c r="AZ71" s="21"><f>IF(AF71&lt;$V$6,"error",IF(AF71&gt;$V$6*1.1,"error","aceptable"))</f><v /></c><c r="BA71" s="21"><f>IF(T71&lt;$J$6*0.9,"error",IF(T71&gt;$J$6,"error","aceptable"))</f><v /></c><c r="BB71" s="65"><f>(IF(ABS(U71)&lt;1.05,"CONFORME",IF(ABS(AG71)&lt;1.05,"CONFORME",IF(ABS(AS71)&lt;2.55,"CONFORME","NO CONFORME"))))</f><v /></c><c r="BC71" s="62"><f>(IF(ABS(U71)&gt;2.05,"NO CONFORME",IF(ABS(AG71)&gt;2.05,"NO CONFORME",IF(ABS(AS71)&gt;5.05,"NO CONFORME","CONFORME"))))</f><v /></c><c r="BD71" s="64"><f>SIGN(U71)</f><v /></c><c r="BE71" s="64"><f>SIGN(AG71)</f><v /></c><c r="BF71" s="64"><f>SIGN(AS71)</f><v /></c><c r="BG71" s="64"><f>CONCATENATE(BD71,BE71,BF71)</f><v /></c><c r="BH71" s="64"><f>IF(BG71="111","SI","SD")</f><v /></c><c r="BI71" s="64"><f>IF(BG71="-1-1-1","SI","SD")</f><v /></c><c r="BJ71" s="64"><f>OR(BH71="SI",BI71="SI")</f><v /></c><c r="BK71" s="64"><f>IF(BJ71=FALSE,"SIGDIFERENTES","SIGIGUALES")</f><v /></c><c r="BL71" s="21"><f>IF(BC71="NO CONFORME","NO CONFORME",IF(BB71="CONFORME","CONFORME","NO CONFORME"))</f><v /></c><c r="BM71" s="66" t="n" /><c r="BN71" s="66" t="n" /></row><row r="72" ht="15.75" customHeight="1" thickBot="1"><c r="A72" s="9" t="n"><v>64</v></c><c r="B72" s="296"><f>B71</f><v /></c><c r="C72" s="296"><f>C71</f><v /></c><c r="D72" s="11"><f>D71</f><v /></c><c r="E72" s="9"><f>E71</f><v /></c><c r="F72" s="12" t="n" /><c r="G72" s="297" t="n" /><c r="H72" s="90"><f>H71</f><v /></c><c r="I72" s="90" t="n" /><c r="J72" s="298"><f>J71</f><v /></c><c r="K72" s="298"><f>K71</f><v /></c><c r="L72" s="298"><f>L71</f><v /></c><c r="M72" s="52" t="n" /><c r="N72" s="52" t="n" /><c r="O72" s="30"><f>O71</f><v /></c><c r="P72" s="299"><f>P71</f><v /></c><c r="Q72" s="10"><f>LEFT(P72,1)</f><v /></c><c r="R72" s="10"><f>RIGHT(P72,6)</f><v /></c><c r="S72" s="10"><f>+(Q72*60+R72)/(60*60)</f><v /></c><c r="T72" s="13"><f>+O72/S72</f><v /></c><c r="U72" s="300"><f>+(((N72-M72-O72)/O72)*100)</f><v /></c><c r="V72" s="301"><f>V71</f><v /></c><c r="W72" s="302"><f>W71</f><v /></c><c r="X72" s="302"><f>X71</f><v /></c><c r="Y72" s="52" t="n" /><c r="Z72" s="52" t="n" /><c r="AA72" s="106"><f>AA71</f><v /></c><c r="AB72" s="299"><f>AB71</f><v /></c><c r="AC72" s="10"><f>LEFT(AB72,2)</f><v /></c><c r="AD72" s="10"><f>RIGHT(AB72,6)</f><v /></c><c r="AE72" s="10"><f>+(AC72*60+AD72)/(60*60)</f><v /></c><c r="AF72" s="13"><f>+AA72/AE72</f><v /></c><c r="AG72" s="303"><f>+(((Z72-Y72-AA72)/AA72)*100)</f><v /></c><c r="AH72" s="301"><f>AH71</f><v /></c><c r="AI72" s="301"><f>AI71</f><v /></c><c r="AJ72" s="301"><f>AJ71</f><v /></c><c r="AK72" s="52"><f>+Z72</f><v /></c><c r="AL72" s="52" t="n" /><c r="AM72" s="111"><f>AM71</f><v /></c><c r="AN72" s="299"><f>AN71</f><v /></c><c r="AO72" s="10"><f>LEFT(AN72,2)</f><v /></c><c r="AP72" s="10"><f>RIGHT(AN72,6)</f><v /></c><c r="AQ72" s="10"><f>+(AO72*60+AP72)/(60*60)</f><v /></c><c r="AR72" s="13"><f>+AM72/AQ72</f><v /></c><c r="AS72" s="303"><f>+(((AL72-AK72-AM72)/AM72)*100)</f><v /></c><c r="AT72" s="64"><f>IF(I72&gt;=1,"NO CONFORME",IF(BK72="SIGDIFERENTES",BC72,BL72))</f><v /></c><c r="AU72" s="21"><f>B72&lt;=C72</f><v /></c><c r="AV72" s="21"><f>N72&lt;Y72</f><v /></c><c r="AW72" s="21"><f>Z72&lt;=AK72</f><v /></c><c r="AX72" s="21"><f>IF(I72&gt;=1,"Qcorrecto",IF(AND(AY72="aceptable",AZ72="aceptable",BA72="aceptable"),"Qcorrecto","Qincorrecto"))</f><v /></c><c r="AY72" s="21"><f>IF(AR72&lt;$AH$6,"error",IF(AR72&gt;$AH$6*1.1,"error","aceptable"))</f><v /></c><c r="AZ72" s="21"><f>IF(AF72&lt;$V$6,"error",IF(AF72&gt;$V$6*1.1,"error","aceptable"))</f><v /></c><c r="BA72" s="21"><f>IF(T72&lt;$J$6*0.9,"error",IF(T72&gt;$J$6,"error","aceptable"))</f><v /></c><c r="BB72" s="65"><f>(IF(ABS(U72)&lt;1.05,"CONFORME",IF(ABS(AG72)&lt;1.05,"CONFORME",IF(ABS(AS72)&lt;2.55,"CONFORME","NO CONFORME"))))</f><v /></c><c r="BC72" s="62"><f>(IF(ABS(U72)&gt;2.05,"NO CONFORME",IF(ABS(AG72)&gt;2.05,"NO CONFORME",IF(ABS(AS72)&gt;5.05,"NO CONFORME","CONFORME"))))</f><v /></c><c r="BD72" s="64"><f>SIGN(U72)</f><v /></c><c r="BE72" s="64"><f>SIGN(AG72)</f><v /></c><c r="BF72" s="64"><f>SIGN(AS72)</f><v /></c><c r="BG72" s="64"><f>CONCATENATE(BD72,BE72,BF72)</f><v /></c><c r="BH72" s="64"><f>IF(BG72="111","SI","SD")</f><v /></c><c r="BI72" s="64"><f>IF(BG72="-1-1-1","SI","SD")</f><v /></c><c r="BJ72" s="64"><f>OR(BH72="SI",BI72="SI")</f><v /></c><c r="BK72" s="64"><f>IF(BJ72=FALSE,"SIGDIFERENTES","SIGIGUALES")</f><v /></c><c r="BL72" s="21"><f>IF(BC72="NO CONFORME","NO CONFORME",IF(BB72="CONFORME","CONFORME","NO CONFORME"))</f><v /></c><c r="BM72" s="66" t="n" /><c r="BN72" s="66" t="n" /></row><row r="73" ht="15" customHeight="1"><c r="A73" s="55" t="n"><v>65</v></c><c r="B73" s="304"><f>B72</f><v /></c><c r="C73" s="304"><f>C72</f><v /></c><c r="D73" s="94"><f>D72</f><v /></c><c r="E73" s="95"><f>E72</f><v /></c><c r="F73" s="96" t="n" /><c r="G73" s="305" t="n" /><c r="H73" s="98"><f>H72</f><v /></c><c r="I73" s="98" t="n" /><c r="J73" s="306"><f>J72</f><v /></c><c r="K73" s="306"><f>K72</f><v /></c><c r="L73" s="306"><f>L72</f><v /></c><c r="M73" s="100" t="n" /><c r="N73" s="100" t="n" /><c r="O73" s="101"><f>O72</f><v /></c><c r="P73" s="307"><f>P72</f><v /></c><c r="Q73" s="10"><f>LEFT(P73,1)</f><v /></c><c r="R73" s="10"><f>RIGHT(P73,6)</f><v /></c><c r="S73" s="10"><f>+(Q73*60+R73)/(60*60)</f><v /></c><c r="T73" s="13"><f>+O73/S73</f><v /></c><c r="U73" s="300"><f>+(((N73-M73-O73)/O73)*100)</f><v /></c><c r="V73" s="308"><f>V72</f><v /></c><c r="W73" s="309"><f>W72</f><v /></c><c r="X73" s="309"><f>X72</f><v /></c><c r="Y73" s="100" t="n" /><c r="Z73" s="100" t="n" /><c r="AA73" s="109"><f>AA72</f><v /></c><c r="AB73" s="307"><f>AB72</f><v /></c><c r="AC73" s="10"><f>LEFT(AB73,2)</f><v /></c><c r="AD73" s="10"><f>RIGHT(AB73,6)</f><v /></c><c r="AE73" s="10"><f>+(AC73*60+AD73)/(60*60)</f><v /></c><c r="AF73" s="13"><f>+AA73/AE73</f><v /></c><c r="AG73" s="303"><f>+(((Z73-Y73-AA73)/AA73)*100)</f><v /></c><c r="AH73" s="308"><f>AH72</f><v /></c><c r="AI73" s="308"><f>AI72</f><v /></c><c r="AJ73" s="308"><f>AJ72</f><v /></c><c r="AK73" s="100"><f>+Z73</f><v /></c><c r="AL73" s="100" t="n" /><c r="AM73" s="112"><f>AM72</f><v /></c><c r="AN73" s="307"><f>AN72</f><v /></c><c r="AO73" s="10"><f>LEFT(AN73,2)</f><v /></c><c r="AP73" s="10"><f>RIGHT(AN73,6)</f><v /></c><c r="AQ73" s="10"><f>+(AO73*60+AP73)/(60*60)</f><v /></c><c r="AR73" s="13"><f>+AM73/AQ73</f><v /></c><c r="AS73" s="303"><f>+(((AL73-AK73-AM73)/AM73)*100)</f><v /></c><c r="AT73" s="64"><f>IF(I73&gt;=1,"NO CONFORME",IF(BK73="SIGDIFERENTES",BC73,BL73))</f><v /></c><c r="AU73" s="21"><f>B73&lt;=C73</f><v /></c><c r="AV73" s="21"><f>N73&lt;Y73</f><v /></c><c r="AW73" s="21"><f>Z73&lt;=AK73</f><v /></c><c r="AX73" s="21"><f>IF(I73&gt;=1,"Qcorrecto",IF(AND(AY73="aceptable",AZ73="aceptable",BA73="aceptable"),"Qcorrecto","Qincorrecto"))</f><v /></c><c r="AY73" s="21"><f>IF(AR73&lt;$AH$6,"error",IF(AR73&gt;$AH$6*1.1,"error","aceptable"))</f><v /></c><c r="AZ73" s="21"><f>IF(AF73&lt;$V$6,"error",IF(AF73&gt;$V$6*1.1,"error","aceptable"))</f><v /></c><c r="BA73" s="21"><f>IF(T73&lt;$J$6*0.9,"error",IF(T73&gt;$J$6,"error","aceptable"))</f><v /></c><c r="BB73" s="65"><f>(IF(ABS(U73)&lt;1.05,"CONFORME",IF(ABS(AG73)&lt;1.05,"CONFORME",IF(ABS(AS73)&lt;2.55,"CONFORME","NO CONFORME"))))</f><v /></c><c r="BC73" s="62"><f>(IF(ABS(U73)&gt;2.05,"NO CONFORME",IF(ABS(AG73)&gt;2.05,"NO CONFORME",IF(ABS(AS73)&gt;5.05,"NO CONFORME","CONFORME"))))</f><v /></c><c r="BD73" s="64"><f>SIGN(U73)</f><v /></c><c r="BE73" s="64"><f>SIGN(AG73)</f><v /></c><c r="BF73" s="64"><f>SIGN(AS73)</f><v /></c><c r="BG73" s="64"><f>CONCATENATE(BD73,BE73,BF73)</f><v /></c><c r="BH73" s="64"><f>IF(BG73="111","SI","SD")</f><v /></c><c r="BI73" s="64"><f>IF(BG73="-1-1-1","SI","SD")</f><v /></c><c r="BJ73" s="64"><f>OR(BH73="SI",BI73="SI")</f><v /></c><c r="BK73" s="64"><f>IF(BJ73=FALSE,"SIGDIFERENTES","SIGIGUALES")</f><v /></c><c r="BL73" s="21"><f>IF(BC73="NO CONFORME","NO CONFORME",IF(BB73="CONFORME","CONFORME","NO CONFORME"))</f><v /></c><c r="BM73" s="66" t="n" /><c r="BN73" s="66" t="n" /></row><row r="74" ht="15.75" customHeight="1" thickBot="1"><c r="A74" s="9" t="n"><v>66</v></c><c r="B74" s="296"><f>B73</f><v /></c><c r="C74" s="296"><f>C73</f><v /></c><c r="D74" s="11"><f>D73</f><v /></c><c r="E74" s="9"><f>E73</f><v /></c><c r="F74" s="12" t="n" /><c r="G74" s="297" t="n" /><c r="H74" s="90"><f>H73</f><v /></c><c r="I74" s="90" t="n" /><c r="J74" s="298"><f>J73</f><v /></c><c r="K74" s="298"><f>K73</f><v /></c><c r="L74" s="298"><f>L73</f><v /></c><c r="M74" s="52" t="n" /><c r="N74" s="52" t="n" /><c r="O74" s="30"><f>O73</f><v /></c><c r="P74" s="299"><f>P73</f><v /></c><c r="Q74" s="10"><f>LEFT(P74,1)</f><v /></c><c r="R74" s="10"><f>RIGHT(P74,6)</f><v /></c><c r="S74" s="10"><f>+(Q74*60+R74)/(60*60)</f><v /></c><c r="T74" s="13"><f>+O74/S74</f><v /></c><c r="U74" s="300"><f>+(((N74-M74-O74)/O74)*100)</f><v /></c><c r="V74" s="301"><f>V73</f><v /></c><c r="W74" s="302"><f>W73</f><v /></c><c r="X74" s="302"><f>X73</f><v /></c><c r="Y74" s="52" t="n" /><c r="Z74" s="52" t="n" /><c r="AA74" s="106"><f>AA73</f><v /></c><c r="AB74" s="299"><f>AB73</f><v /></c><c r="AC74" s="10"><f>LEFT(AB74,2)</f><v /></c><c r="AD74" s="10"><f>RIGHT(AB74,6)</f><v /></c><c r="AE74" s="10"><f>+(AC74*60+AD74)/(60*60)</f><v /></c><c r="AF74" s="13"><f>+AA74/AE74</f><v /></c><c r="AG74" s="303"><f>+(((Z74-Y74-AA74)/AA74)*100)</f><v /></c><c r="AH74" s="301"><f>AH73</f><v /></c><c r="AI74" s="301"><f>AI73</f><v /></c><c r="AJ74" s="301"><f>AJ73</f><v /></c><c r="AK74" s="52"><f>+Z74</f><v /></c><c r="AL74" s="52" t="n" /><c r="AM74" s="111"><f>AM73</f><v /></c><c r="AN74" s="299"><f>AN73</f><v /></c><c r="AO74" s="10"><f>LEFT(AN74,2)</f><v /></c><c r="AP74" s="10"><f>RIGHT(AN74,6)</f><v /></c><c r="AQ74" s="10"><f>+(AO74*60+AP74)/(60*60)</f><v /></c><c r="AR74" s="13"><f>+AM74/AQ74</f><v /></c><c r="AS74" s="303"><f>+(((AL74-AK74-AM74)/AM74)*100)</f><v /></c><c r="AT74" s="64"><f>IF(I74&gt;=1,"NO CONFORME",IF(BK74="SIGDIFERENTES",BC74,BL74))</f><v /></c><c r="AU74" s="21"><f>B74&lt;=C74</f><v /></c><c r="AV74" s="21"><f>N74&lt;Y74</f><v /></c><c r="AW74" s="21"><f>Z74&lt;=AK74</f><v /></c><c r="AX74" s="21"><f>IF(I74&gt;=1,"Qcorrecto",IF(AND(AY74="aceptable",AZ74="aceptable",BA74="aceptable"),"Qcorrecto","Qincorrecto"))</f><v /></c><c r="AY74" s="21"><f>IF(AR74&lt;$AH$6,"error",IF(AR74&gt;$AH$6*1.1,"error","aceptable"))</f><v /></c><c r="AZ74" s="21"><f>IF(AF74&lt;$V$6,"error",IF(AF74&gt;$V$6*1.1,"error","aceptable"))</f><v /></c><c r="BA74" s="21"><f>IF(T74&lt;$J$6*0.9,"error",IF(T74&gt;$J$6,"error","aceptable"))</f><v /></c><c r="BB74" s="65"><f>(IF(ABS(U74)&lt;1.05,"CONFORME",IF(ABS(AG74)&lt;1.05,"CONFORME",IF(ABS(AS74)&lt;2.55,"CONFORME","NO CONFORME"))))</f><v /></c><c r="BC74" s="62"><f>(IF(ABS(U74)&gt;2.05,"NO CONFORME",IF(ABS(AG74)&gt;2.05,"NO CONFORME",IF(ABS(AS74)&gt;5.05,"NO CONFORME","CONFORME"))))</f><v /></c><c r="BD74" s="64"><f>SIGN(U74)</f><v /></c><c r="BE74" s="64"><f>SIGN(AG74)</f><v /></c><c r="BF74" s="64"><f>SIGN(AS74)</f><v /></c><c r="BG74" s="64"><f>CONCATENATE(BD74,BE74,BF74)</f><v /></c><c r="BH74" s="64"><f>IF(BG74="111","SI","SD")</f><v /></c><c r="BI74" s="64"><f>IF(BG74="-1-1-1","SI","SD")</f><v /></c><c r="BJ74" s="64"><f>OR(BH74="SI",BI74="SI")</f><v /></c><c r="BK74" s="64"><f>IF(BJ74=FALSE,"SIGDIFERENTES","SIGIGUALES")</f><v /></c><c r="BL74" s="21"><f>IF(BC74="NO CONFORME","NO CONFORME",IF(BB74="CONFORME","CONFORME","NO CONFORME"))</f><v /></c><c r="BM74" s="66" t="n" /><c r="BN74" s="66" t="n" /></row><row r="75" ht="15" customHeight="1"><c r="A75" s="55" t="n"><v>67</v></c><c r="B75" s="304"><f>B74</f><v /></c><c r="C75" s="304"><f>C74</f><v /></c><c r="D75" s="94"><f>D74</f><v /></c><c r="E75" s="95"><f>E74</f><v /></c><c r="F75" s="96" t="n" /><c r="G75" s="305" t="n" /><c r="H75" s="98"><f>H74</f><v /></c><c r="I75" s="98" t="n" /><c r="J75" s="306"><f>J74</f><v /></c><c r="K75" s="306"><f>K74</f><v /></c><c r="L75" s="306"><f>L74</f><v /></c><c r="M75" s="100" t="n" /><c r="N75" s="100" t="n" /><c r="O75" s="101"><f>O74</f><v /></c><c r="P75" s="307"><f>P74</f><v /></c><c r="Q75" s="10"><f>LEFT(P75,1)</f><v /></c><c r="R75" s="10"><f>RIGHT(P75,6)</f><v /></c><c r="S75" s="10"><f>+(Q75*60+R75)/(60*60)</f><v /></c><c r="T75" s="13"><f>+O75/S75</f><v /></c><c r="U75" s="300"><f>+(((N75-M75-O75)/O75)*100)</f><v /></c><c r="V75" s="308"><f>V74</f><v /></c><c r="W75" s="309"><f>W74</f><v /></c><c r="X75" s="309"><f>X74</f><v /></c><c r="Y75" s="100" t="n" /><c r="Z75" s="100" t="n" /><c r="AA75" s="109"><f>AA74</f><v /></c><c r="AB75" s="307"><f>AB74</f><v /></c><c r="AC75" s="10"><f>LEFT(AB75,2)</f><v /></c><c r="AD75" s="10"><f>RIGHT(AB75,6)</f><v /></c><c r="AE75" s="10"><f>+(AC75*60+AD75)/(60*60)</f><v /></c><c r="AF75" s="13"><f>+AA75/AE75</f><v /></c><c r="AG75" s="303"><f>+(((Z75-Y75-AA75)/AA75)*100)</f><v /></c><c r="AH75" s="308"><f>AH74</f><v /></c><c r="AI75" s="308"><f>AI74</f><v /></c><c r="AJ75" s="308"><f>AJ74</f><v /></c><c r="AK75" s="100"><f>+Z75</f><v /></c><c r="AL75" s="100" t="n" /><c r="AM75" s="112"><f>AM74</f><v /></c><c r="AN75" s="307"><f>AN74</f><v /></c><c r="AO75" s="10"><f>LEFT(AN75,2)</f><v /></c><c r="AP75" s="10"><f>RIGHT(AN75,6)</f><v /></c><c r="AQ75" s="10"><f>+(AO75*60+AP75)/(60*60)</f><v /></c><c r="AR75" s="13"><f>+AM75/AQ75</f><v /></c><c r="AS75" s="303"><f>+(((AL75-AK75-AM75)/AM75)*100)</f><v /></c><c r="AT75" s="64"><f>IF(I75&gt;=1,"NO CONFORME",IF(BK75="SIGDIFERENTES",BC75,BL75))</f><v /></c><c r="AU75" s="21"><f>B75&lt;=C75</f><v /></c><c r="AV75" s="21"><f>N75&lt;Y75</f><v /></c><c r="AW75" s="21"><f>Z75&lt;=AK75</f><v /></c><c r="AX75" s="21"><f>IF(I75&gt;=1,"Qcorrecto",IF(AND(AY75="aceptable",AZ75="aceptable",BA75="aceptable"),"Qcorrecto","Qincorrecto"))</f><v /></c><c r="AY75" s="21"><f>IF(AR75&lt;$AH$6,"error",IF(AR75&gt;$AH$6*1.1,"error","aceptable"))</f><v /></c><c r="AZ75" s="21"><f>IF(AF75&lt;$V$6,"error",IF(AF75&gt;$V$6*1.1,"error","aceptable"))</f><v /></c><c r="BA75" s="21"><f>IF(T75&lt;$J$6*0.9,"error",IF(T75&gt;$J$6,"error","aceptable"))</f><v /></c><c r="BB75" s="65"><f>(IF(ABS(U75)&lt;1.05,"CONFORME",IF(ABS(AG75)&lt;1.05,"CONFORME",IF(ABS(AS75)&lt;2.55,"CONFORME","NO CONFORME"))))</f><v /></c><c r="BC75" s="62"><f>(IF(ABS(U75)&gt;2.05,"NO CONFORME",IF(ABS(AG75)&gt;2.05,"NO CONFORME",IF(ABS(AS75)&gt;5.05,"NO CONFORME","CONFORME"))))</f><v /></c><c r="BD75" s="64"><f>SIGN(U75)</f><v /></c><c r="BE75" s="64"><f>SIGN(AG75)</f><v /></c><c r="BF75" s="64"><f>SIGN(AS75)</f><v /></c><c r="BG75" s="64"><f>CONCATENATE(BD75,BE75,BF75)</f><v /></c><c r="BH75" s="64"><f>IF(BG75="111","SI","SD")</f><v /></c><c r="BI75" s="64"><f>IF(BG75="-1-1-1","SI","SD")</f><v /></c><c r="BJ75" s="64"><f>OR(BH75="SI",BI75="SI")</f><v /></c><c r="BK75" s="64"><f>IF(BJ75=FALSE,"SIGDIFERENTES","SIGIGUALES")</f><v /></c><c r="BL75" s="21"><f>IF(BC75="NO CONFORME","NO CONFORME",IF(BB75="CONFORME","CONFORME","NO CONFORME"))</f><v /></c><c r="BM75" s="66" t="n" /><c r="BN75" s="66" t="n" /></row><row r="76" ht="15.75" customHeight="1" thickBot="1"><c r="A76" s="9" t="n"><v>68</v></c><c r="B76" s="296"><f>B75</f><v /></c><c r="C76" s="296"><f>C75</f><v /></c><c r="D76" s="11"><f>D75</f><v /></c><c r="E76" s="9"><f>E75</f><v /></c><c r="F76" s="12" t="n" /><c r="G76" s="297" t="n" /><c r="H76" s="90"><f>H75</f><v /></c><c r="I76" s="90" t="n" /><c r="J76" s="298"><f>J75</f><v /></c><c r="K76" s="298"><f>K75</f><v /></c><c r="L76" s="298"><f>L75</f><v /></c><c r="M76" s="52" t="n" /><c r="N76" s="52" t="n" /><c r="O76" s="30"><f>O75</f><v /></c><c r="P76" s="299"><f>P75</f><v /></c><c r="Q76" s="10"><f>LEFT(P76,1)</f><v /></c><c r="R76" s="10"><f>RIGHT(P76,6)</f><v /></c><c r="S76" s="10"><f>+(Q76*60+R76)/(60*60)</f><v /></c><c r="T76" s="13"><f>+O76/S76</f><v /></c><c r="U76" s="300"><f>+(((N76-M76-O76)/O76)*100)</f><v /></c><c r="V76" s="301"><f>V75</f><v /></c><c r="W76" s="302"><f>W75</f><v /></c><c r="X76" s="302"><f>X75</f><v /></c><c r="Y76" s="52" t="n" /><c r="Z76" s="52" t="n" /><c r="AA76" s="106"><f>AA75</f><v /></c><c r="AB76" s="299"><f>AB75</f><v /></c><c r="AC76" s="10"><f>LEFT(AB76,2)</f><v /></c><c r="AD76" s="10"><f>RIGHT(AB76,6)</f><v /></c><c r="AE76" s="10"><f>+(AC76*60+AD76)/(60*60)</f><v /></c><c r="AF76" s="13"><f>+AA76/AE76</f><v /></c><c r="AG76" s="303"><f>+(((Z76-Y76-AA76)/AA76)*100)</f><v /></c><c r="AH76" s="301"><f>AH75</f><v /></c><c r="AI76" s="301"><f>AI75</f><v /></c><c r="AJ76" s="301"><f>AJ75</f><v /></c><c r="AK76" s="52"><f>+Z76</f><v /></c><c r="AL76" s="52" t="n" /><c r="AM76" s="111"><f>AM75</f><v /></c><c r="AN76" s="299"><f>AN75</f><v /></c><c r="AO76" s="10"><f>LEFT(AN76,2)</f><v /></c><c r="AP76" s="10"><f>RIGHT(AN76,6)</f><v /></c><c r="AQ76" s="10"><f>+(AO76*60+AP76)/(60*60)</f><v /></c><c r="AR76" s="13"><f>+AM76/AQ76</f><v /></c><c r="AS76" s="303"><f>+(((AL76-AK76-AM76)/AM76)*100)</f><v /></c><c r="AT76" s="64"><f>IF(I76&gt;=1,"NO CONFORME",IF(BK76="SIGDIFERENTES",BC76,BL76))</f><v /></c><c r="AU76" s="21"><f>B76&lt;=C76</f><v /></c><c r="AV76" s="21"><f>N76&lt;Y76</f><v /></c><c r="AW76" s="21"><f>Z76&lt;=AK76</f><v /></c><c r="AX76" s="21"><f>IF(I76&gt;=1,"Qcorrecto",IF(AND(AY76="aceptable",AZ76="aceptable",BA76="aceptable"),"Qcorrecto","Qincorrecto"))</f><v /></c><c r="AY76" s="21"><f>IF(AR76&lt;$AH$6,"error",IF(AR76&gt;$AH$6*1.1,"error","aceptable"))</f><v /></c><c r="AZ76" s="21"><f>IF(AF76&lt;$V$6,"error",IF(AF76&gt;$V$6*1.1,"error","aceptable"))</f><v /></c><c r="BA76" s="21"><f>IF(T76&lt;$J$6*0.9,"error",IF(T76&gt;$J$6,"error","aceptable"))</f><v /></c><c r="BB76" s="65"><f>(IF(ABS(U76)&lt;1.05,"CONFORME",IF(ABS(AG76)&lt;1.05,"CONFORME",IF(ABS(AS76)&lt;2.55,"CONFORME","NO CONFORME"))))</f><v /></c><c r="BC76" s="62"><f>(IF(ABS(U76)&gt;2.05,"NO CONFORME",IF(ABS(AG76)&gt;2.05,"NO CONFORME",IF(ABS(AS76)&gt;5.05,"NO CONFORME","CONFORME"))))</f><v /></c><c r="BD76" s="64"><f>SIGN(U76)</f><v /></c><c r="BE76" s="64"><f>SIGN(AG76)</f><v /></c><c r="BF76" s="64"><f>SIGN(AS76)</f><v /></c><c r="BG76" s="64"><f>CONCATENATE(BD76,BE76,BF76)</f><v /></c><c r="BH76" s="64"><f>IF(BG76="111","SI","SD")</f><v /></c><c r="BI76" s="64"><f>IF(BG76="-1-1-1","SI","SD")</f><v /></c><c r="BJ76" s="64"><f>OR(BH76="SI",BI76="SI")</f><v /></c><c r="BK76" s="64"><f>IF(BJ76=FALSE,"SIGDIFERENTES","SIGIGUALES")</f><v /></c><c r="BL76" s="21"><f>IF(BC76="NO CONFORME","NO CONFORME",IF(BB76="CONFORME","CONFORME","NO CONFORME"))</f><v /></c><c r="BM76" s="66" t="n" /><c r="BN76" s="66" t="n" /></row><row r="77" ht="15" customHeight="1"><c r="A77" s="55" t="n"><v>69</v></c><c r="B77" s="304"><f>B76</f><v /></c><c r="C77" s="304"><f>C76</f><v /></c><c r="D77" s="94"><f>D76</f><v /></c><c r="E77" s="95"><f>E76</f><v /></c><c r="F77" s="96" t="n" /><c r="G77" s="305" t="n" /><c r="H77" s="98"><f>H76</f><v /></c><c r="I77" s="98" t="n" /><c r="J77" s="306"><f>J76</f><v /></c><c r="K77" s="306"><f>K76</f><v /></c><c r="L77" s="306"><f>L76</f><v /></c><c r="M77" s="100" t="n" /><c r="N77" s="100" t="n" /><c r="O77" s="101"><f>O76</f><v /></c><c r="P77" s="307"><f>P76</f><v /></c><c r="Q77" s="10"><f>LEFT(P77,1)</f><v /></c><c r="R77" s="10"><f>RIGHT(P77,6)</f><v /></c><c r="S77" s="10"><f>+(Q77*60+R77)/(60*60)</f><v /></c><c r="T77" s="13"><f>+O77/S77</f><v /></c><c r="U77" s="300"><f>+(((N77-M77-O77)/O77)*100)</f><v /></c><c r="V77" s="308"><f>V76</f><v /></c><c r="W77" s="309"><f>W76</f><v /></c><c r="X77" s="309"><f>X76</f><v /></c><c r="Y77" s="100" t="n" /><c r="Z77" s="100" t="n" /><c r="AA77" s="109"><f>AA76</f><v /></c><c r="AB77" s="307"><f>AB76</f><v /></c><c r="AC77" s="10"><f>LEFT(AB77,2)</f><v /></c><c r="AD77" s="10"><f>RIGHT(AB77,6)</f><v /></c><c r="AE77" s="10"><f>+(AC77*60+AD77)/(60*60)</f><v /></c><c r="AF77" s="13"><f>+AA77/AE77</f><v /></c><c r="AG77" s="303"><f>+(((Z77-Y77-AA77)/AA77)*100)</f><v /></c><c r="AH77" s="308"><f>AH76</f><v /></c><c r="AI77" s="308"><f>AI76</f><v /></c><c r="AJ77" s="308"><f>AJ76</f><v /></c><c r="AK77" s="100"><f>+Z77</f><v /></c><c r="AL77" s="100" t="n" /><c r="AM77" s="112"><f>AM76</f><v /></c><c r="AN77" s="307"><f>AN76</f><v /></c><c r="AO77" s="10"><f>LEFT(AN77,2)</f><v /></c><c r="AP77" s="10"><f>RIGHT(AN77,6)</f><v /></c><c r="AQ77" s="10"><f>+(AO77*60+AP77)/(60*60)</f><v /></c><c r="AR77" s="13"><f>+AM77/AQ77</f><v /></c><c r="AS77" s="303"><f>+(((AL77-AK77-AM77)/AM77)*100)</f><v /></c><c r="AT77" s="64"><f>IF(I77&gt;=1,"NO CONFORME",IF(BK77="SIGDIFERENTES",BC77,BL77))</f><v /></c><c r="AU77" s="21"><f>B77&lt;=C77</f><v /></c><c r="AV77" s="21"><f>N77&lt;Y77</f><v /></c><c r="AW77" s="21"><f>Z77&lt;=AK77</f><v /></c><c r="AX77" s="21"><f>IF(I77&gt;=1,"Qcorrecto",IF(AND(AY77="aceptable",AZ77="aceptable",BA77="aceptable"),"Qcorrecto","Qincorrecto"))</f><v /></c><c r="AY77" s="21"><f>IF(AR77&lt;$AH$6,"error",IF(AR77&gt;$AH$6*1.1,"error","aceptable"))</f><v /></c><c r="AZ77" s="21"><f>IF(AF77&lt;$V$6,"error",IF(AF77&gt;$V$6*1.1,"error","aceptable"))</f><v /></c><c r="BA77" s="21"><f>IF(T77&lt;$J$6*0.9,"error",IF(T77&gt;$J$6,"error","aceptable"))</f><v /></c><c r="BB77" s="65"><f>(IF(ABS(U77)&lt;1.05,"CONFORME",IF(ABS(AG77)&lt;1.05,"CONFORME",IF(ABS(AS77)&lt;2.55,"CONFORME","NO CONFORME"))))</f><v /></c><c r="BC77" s="62"><f>(IF(ABS(U77)&gt;2.05,"NO CONFORME",IF(ABS(AG77)&gt;2.05,"NO CONFORME",IF(ABS(AS77)&gt;5.05,"NO CONFORME","CONFORME"))))</f><v /></c><c r="BD77" s="64"><f>SIGN(U77)</f><v /></c><c r="BE77" s="64"><f>SIGN(AG77)</f><v /></c><c r="BF77" s="64"><f>SIGN(AS77)</f><v /></c><c r="BG77" s="64"><f>CONCATENATE(BD77,BE77,BF77)</f><v /></c><c r="BH77" s="64"><f>IF(BG77="111","SI","SD")</f><v /></c><c r="BI77" s="64"><f>IF(BG77="-1-1-1","SI","SD")</f><v /></c><c r="BJ77" s="64"><f>OR(BH77="SI",BI77="SI")</f><v /></c><c r="BK77" s="64"><f>IF(BJ77=FALSE,"SIGDIFERENTES","SIGIGUALES")</f><v /></c><c r="BL77" s="21"><f>IF(BC77="NO CONFORME","NO CONFORME",IF(BB77="CONFORME","CONFORME","NO CONFORME"))</f><v /></c><c r="BM77" s="66" t="n" /><c r="BN77" s="66" t="n" /></row><row r="78" ht="15.75" customHeight="1" thickBot="1"><c r="A78" s="9" t="n"><v>70</v></c><c r="B78" s="296"><f>B77</f><v /></c><c r="C78" s="296"><f>C77</f><v /></c><c r="D78" s="11"><f>D77</f><v /></c><c r="E78" s="9"><f>E77</f><v /></c><c r="F78" s="12" t="n" /><c r="G78" s="297" t="n" /><c r="H78" s="90"><f>H77</f><v /></c><c r="I78" s="90" t="n" /><c r="J78" s="298"><f>J77</f><v /></c><c r="K78" s="298"><f>K77</f><v /></c><c r="L78" s="298"><f>L77</f><v /></c><c r="M78" s="52" t="n" /><c r="N78" s="52" t="n" /><c r="O78" s="30"><f>O77</f><v /></c><c r="P78" s="299"><f>P77</f><v /></c><c r="Q78" s="10"><f>LEFT(P78,1)</f><v /></c><c r="R78" s="10"><f>RIGHT(P78,6)</f><v /></c><c r="S78" s="10"><f>+(Q78*60+R78)/(60*60)</f><v /></c><c r="T78" s="13"><f>+O78/S78</f><v /></c><c r="U78" s="300"><f>+(((N78-M78-O78)/O78)*100)</f><v /></c><c r="V78" s="301"><f>V77</f><v /></c><c r="W78" s="302"><f>W77</f><v /></c><c r="X78" s="302"><f>X77</f><v /></c><c r="Y78" s="52" t="n" /><c r="Z78" s="52" t="n" /><c r="AA78" s="106"><f>AA77</f><v /></c><c r="AB78" s="299"><f>AB77</f><v /></c><c r="AC78" s="10"><f>LEFT(AB78,2)</f><v /></c><c r="AD78" s="10"><f>RIGHT(AB78,6)</f><v /></c><c r="AE78" s="10"><f>+(AC78*60+AD78)/(60*60)</f><v /></c><c r="AF78" s="13"><f>+AA78/AE78</f><v /></c><c r="AG78" s="303"><f>+(((Z78-Y78-AA78)/AA78)*100)</f><v /></c><c r="AH78" s="301"><f>AH77</f><v /></c><c r="AI78" s="301"><f>AI77</f><v /></c><c r="AJ78" s="301"><f>AJ77</f><v /></c><c r="AK78" s="52"><f>+Z78</f><v /></c><c r="AL78" s="52" t="n" /><c r="AM78" s="111"><f>AM77</f><v /></c><c r="AN78" s="299"><f>AN77</f><v /></c><c r="AO78" s="10"><f>LEFT(AN78,2)</f><v /></c><c r="AP78" s="10"><f>RIGHT(AN78,6)</f><v /></c><c r="AQ78" s="10"><f>+(AO78*60+AP78)/(60*60)</f><v /></c><c r="AR78" s="13"><f>+AM78/AQ78</f><v /></c><c r="AS78" s="303"><f>+(((AL78-AK78-AM78)/AM78)*100)</f><v /></c><c r="AT78" s="64"><f>IF(I78&gt;=1,"NO CONFORME",IF(BK78="SIGDIFERENTES",BC78,BL78))</f><v /></c><c r="AU78" s="21"><f>B78&lt;=C78</f><v /></c><c r="AV78" s="21"><f>N78&lt;Y78</f><v /></c><c r="AW78" s="21"><f>Z78&lt;=AK78</f><v /></c><c r="AX78" s="21"><f>IF(I78&gt;=1,"Qcorrecto",IF(AND(AY78="aceptable",AZ78="aceptable",BA78="aceptable"),"Qcorrecto","Qincorrecto"))</f><v /></c><c r="AY78" s="21"><f>IF(AR78&lt;$AH$6,"error",IF(AR78&gt;$AH$6*1.1,"error","aceptable"))</f><v /></c><c r="AZ78" s="21"><f>IF(AF78&lt;$V$6,"error",IF(AF78&gt;$V$6*1.1,"error","aceptable"))</f><v /></c><c r="BA78" s="21"><f>IF(T78&lt;$J$6*0.9,"error",IF(T78&gt;$J$6,"error","aceptable"))</f><v /></c><c r="BB78" s="65"><f>(IF(ABS(U78)&lt;1.05,"CONFORME",IF(ABS(AG78)&lt;1.05,"CONFORME",IF(ABS(AS78)&lt;2.55,"CONFORME","NO CONFORME"))))</f><v /></c><c r="BC78" s="62"><f>(IF(ABS(U78)&gt;2.05,"NO CONFORME",IF(ABS(AG78)&gt;2.05,"NO CONFORME",IF(ABS(AS78)&gt;5.05,"NO CONFORME","CONFORME"))))</f><v /></c><c r="BD78" s="64"><f>SIGN(U78)</f><v /></c><c r="BE78" s="64"><f>SIGN(AG78)</f><v /></c><c r="BF78" s="64"><f>SIGN(AS78)</f><v /></c><c r="BG78" s="64"><f>CONCATENATE(BD78,BE78,BF78)</f><v /></c><c r="BH78" s="64"><f>IF(BG78="111","SI","SD")</f><v /></c><c r="BI78" s="64"><f>IF(BG78="-1-1-1","SI","SD")</f><v /></c><c r="BJ78" s="64"><f>OR(BH78="SI",BI78="SI")</f><v /></c><c r="BK78" s="64"><f>IF(BJ78=FALSE,"SIGDIFERENTES","SIGIGUALES")</f><v /></c><c r="BL78" s="21"><f>IF(BC78="NO CONFORME","NO CONFORME",IF(BB78="CONFORME","CONFORME","NO CONFORME"))</f><v /></c><c r="BM78" s="66" t="n" /><c r="BN78" s="66" t="n" /></row><row r="79" ht="15" customHeight="1"><c r="A79" s="55" t="n"><v>71</v></c><c r="B79" s="304"><f>B78</f><v /></c><c r="C79" s="304"><f>C78</f><v /></c><c r="D79" s="94"><f>D78</f><v /></c><c r="E79" s="95"><f>E78</f><v /></c><c r="F79" s="96" t="n" /><c r="G79" s="305" t="n" /><c r="H79" s="98"><f>H78</f><v /></c><c r="I79" s="98" t="n" /><c r="J79" s="306"><f>J78</f><v /></c><c r="K79" s="306"><f>K78</f><v /></c><c r="L79" s="306"><f>L78</f><v /></c><c r="M79" s="100" t="n" /><c r="N79" s="100" t="n" /><c r="O79" s="101"><f>O78</f><v /></c><c r="P79" s="307"><f>P78</f><v /></c><c r="Q79" s="10"><f>LEFT(P79,1)</f><v /></c><c r="R79" s="10"><f>RIGHT(P79,6)</f><v /></c><c r="S79" s="10"><f>+(Q79*60+R79)/(60*60)</f><v /></c><c r="T79" s="13"><f>+O79/S79</f><v /></c><c r="U79" s="300"><f>+(((N79-M79-O79)/O79)*100)</f><v /></c><c r="V79" s="308"><f>V78</f><v /></c><c r="W79" s="309"><f>W78</f><v /></c><c r="X79" s="309"><f>X78</f><v /></c><c r="Y79" s="100" t="n" /><c r="Z79" s="100" t="n" /><c r="AA79" s="109"><f>AA78</f><v /></c><c r="AB79" s="307"><f>AB78</f><v /></c><c r="AC79" s="10"><f>LEFT(AB79,2)</f><v /></c><c r="AD79" s="10"><f>RIGHT(AB79,6)</f><v /></c><c r="AE79" s="10"><f>+(AC79*60+AD79)/(60*60)</f><v /></c><c r="AF79" s="13"><f>+AA79/AE79</f><v /></c><c r="AG79" s="303"><f>+(((Z79-Y79-AA79)/AA79)*100)</f><v /></c><c r="AH79" s="308"><f>AH78</f><v /></c><c r="AI79" s="308"><f>AI78</f><v /></c><c r="AJ79" s="308"><f>AJ78</f><v /></c><c r="AK79" s="100"><f>+Z79</f><v /></c><c r="AL79" s="100" t="n" /><c r="AM79" s="112"><f>AM78</f><v /></c><c r="AN79" s="307"><f>AN78</f><v /></c><c r="AO79" s="10"><f>LEFT(AN79,2)</f><v /></c><c r="AP79" s="10"><f>RIGHT(AN79,6)</f><v /></c><c r="AQ79" s="10"><f>+(AO79*60+AP79)/(60*60)</f><v /></c><c r="AR79" s="13"><f>+AM79/AQ79</f><v /></c><c r="AS79" s="303"><f>+(((AL79-AK79-AM79)/AM79)*100)</f><v /></c><c r="AT79" s="64"><f>IF(I79&gt;=1,"NO CONFORME",IF(BK79="SIGDIFERENTES",BC79,BL79))</f><v /></c><c r="AU79" s="21"><f>B79&lt;=C79</f><v /></c><c r="AV79" s="21"><f>N79&lt;Y79</f><v /></c><c r="AW79" s="21"><f>Z79&lt;=AK79</f><v /></c><c r="AX79" s="21"><f>IF(I79&gt;=1,"Qcorrecto",IF(AND(AY79="aceptable",AZ79="aceptable",BA79="aceptable"),"Qcorrecto","Qincorrecto"))</f><v /></c><c r="AY79" s="21"><f>IF(AR79&lt;$AH$6,"error",IF(AR79&gt;$AH$6*1.1,"error","aceptable"))</f><v /></c><c r="AZ79" s="21"><f>IF(AF79&lt;$V$6,"error",IF(AF79&gt;$V$6*1.1,"error","aceptable"))</f><v /></c><c r="BA79" s="21"><f>IF(T79&lt;$J$6*0.9,"error",IF(T79&gt;$J$6,"error","aceptable"))</f><v /></c><c r="BB79" s="65"><f>(IF(ABS(U79)&lt;1.05,"CONFORME",IF(ABS(AG79)&lt;1.05,"CONFORME",IF(ABS(AS79)&lt;2.55,"CONFORME","NO CONFORME"))))</f><v /></c><c r="BC79" s="62"><f>(IF(ABS(U79)&gt;2.05,"NO CONFORME",IF(ABS(AG79)&gt;2.05,"NO CONFORME",IF(ABS(AS79)&gt;5.05,"NO CONFORME","CONFORME"))))</f><v /></c><c r="BD79" s="64"><f>SIGN(U79)</f><v /></c><c r="BE79" s="64"><f>SIGN(AG79)</f><v /></c><c r="BF79" s="64"><f>SIGN(AS79)</f><v /></c><c r="BG79" s="64"><f>CONCATENATE(BD79,BE79,BF79)</f><v /></c><c r="BH79" s="64"><f>IF(BG79="111","SI","SD")</f><v /></c><c r="BI79" s="64"><f>IF(BG79="-1-1-1","SI","SD")</f><v /></c><c r="BJ79" s="64"><f>OR(BH79="SI",BI79="SI")</f><v /></c><c r="BK79" s="64"><f>IF(BJ79=FALSE,"SIGDIFERENTES","SIGIGUALES")</f><v /></c><c r="BL79" s="21"><f>IF(BC79="NO CONFORME","NO CONFORME",IF(BB79="CONFORME","CONFORME","NO CONFORME"))</f><v /></c><c r="BM79" s="66" t="n" /><c r="BN79" s="66" t="n" /></row><row r="80" ht="15.75" customHeight="1" thickBot="1"><c r="A80" s="9" t="n"><v>72</v></c><c r="B80" s="296"><f>B79</f><v /></c><c r="C80" s="296"><f>C79</f><v /></c><c r="D80" s="11"><f>D79</f><v /></c><c r="E80" s="9"><f>E79</f><v /></c><c r="F80" s="12" t="n" /><c r="G80" s="297" t="n" /><c r="H80" s="90"><f>H79</f><v /></c><c r="I80" s="90" t="n" /><c r="J80" s="298"><f>J79</f><v /></c><c r="K80" s="298"><f>K79</f><v /></c><c r="L80" s="298"><f>L79</f><v /></c><c r="M80" s="52" t="n" /><c r="N80" s="52" t="n" /><c r="O80" s="30"><f>O79</f><v /></c><c r="P80" s="299"><f>P79</f><v /></c><c r="Q80" s="10"><f>LEFT(P80,1)</f><v /></c><c r="R80" s="10"><f>RIGHT(P80,6)</f><v /></c><c r="S80" s="10"><f>+(Q80*60+R80)/(60*60)</f><v /></c><c r="T80" s="13"><f>+O80/S80</f><v /></c><c r="U80" s="300"><f>+(((N80-M80-O80)/O80)*100)</f><v /></c><c r="V80" s="301"><f>V79</f><v /></c><c r="W80" s="302"><f>W79</f><v /></c><c r="X80" s="302"><f>X79</f><v /></c><c r="Y80" s="52" t="n" /><c r="Z80" s="52" t="n" /><c r="AA80" s="106"><f>AA79</f><v /></c><c r="AB80" s="299"><f>AB79</f><v /></c><c r="AC80" s="10"><f>LEFT(AB80,2)</f><v /></c><c r="AD80" s="10"><f>RIGHT(AB80,6)</f><v /></c><c r="AE80" s="10"><f>+(AC80*60+AD80)/(60*60)</f><v /></c><c r="AF80" s="13"><f>+AA80/AE80</f><v /></c><c r="AG80" s="303"><f>+(((Z80-Y80-AA80)/AA80)*100)</f><v /></c><c r="AH80" s="301"><f>AH79</f><v /></c><c r="AI80" s="301"><f>AI79</f><v /></c><c r="AJ80" s="301"><f>AJ79</f><v /></c><c r="AK80" s="52"><f>+Z80</f><v /></c><c r="AL80" s="52" t="n" /><c r="AM80" s="111"><f>AM79</f><v /></c><c r="AN80" s="299"><f>AN79</f><v /></c><c r="AO80" s="10"><f>LEFT(AN80,2)</f><v /></c><c r="AP80" s="10"><f>RIGHT(AN80,6)</f><v /></c><c r="AQ80" s="10"><f>+(AO80*60+AP80)/(60*60)</f><v /></c><c r="AR80" s="13"><f>+AM80/AQ80</f><v /></c><c r="AS80" s="303"><f>+(((AL80-AK80-AM80)/AM80)*100)</f><v /></c><c r="AT80" s="64"><f>IF(I80&gt;=1,"NO CONFORME",IF(BK80="SIGDIFERENTES",BC80,BL80))</f><v /></c><c r="AU80" s="21"><f>B80&lt;=C80</f><v /></c><c r="AV80" s="21"><f>N80&lt;Y80</f><v /></c><c r="AW80" s="21"><f>Z80&lt;=AK80</f><v /></c><c r="AX80" s="21"><f>IF(I80&gt;=1,"Qcorrecto",IF(AND(AY80="aceptable",AZ80="aceptable",BA80="aceptable"),"Qcorrecto","Qincorrecto"))</f><v /></c><c r="AY80" s="21"><f>IF(AR80&lt;$AH$6,"error",IF(AR80&gt;$AH$6*1.1,"error","aceptable"))</f><v /></c><c r="AZ80" s="21"><f>IF(AF80&lt;$V$6,"error",IF(AF80&gt;$V$6*1.1,"error","aceptable"))</f><v /></c><c r="BA80" s="21"><f>IF(T80&lt;$J$6*0.9,"error",IF(T80&gt;$J$6,"error","aceptable"))</f><v /></c><c r="BB80" s="65"><f>(IF(ABS(U80)&lt;1.05,"CONFORME",IF(ABS(AG80)&lt;1.05,"CONFORME",IF(ABS(AS80)&lt;2.55,"CONFORME","NO CONFORME"))))</f><v /></c><c r="BC80" s="62"><f>(IF(ABS(U80)&gt;2.05,"NO CONFORME",IF(ABS(AG80)&gt;2.05,"NO CONFORME",IF(ABS(AS80)&gt;5.05,"NO CONFORME","CONFORME"))))</f><v /></c><c r="BD80" s="64"><f>SIGN(U80)</f><v /></c><c r="BE80" s="64"><f>SIGN(AG80)</f><v /></c><c r="BF80" s="64"><f>SIGN(AS80)</f><v /></c><c r="BG80" s="64"><f>CONCATENATE(BD80,BE80,BF80)</f><v /></c><c r="BH80" s="64"><f>IF(BG80="111","SI","SD")</f><v /></c><c r="BI80" s="64"><f>IF(BG80="-1-1-1","SI","SD")</f><v /></c><c r="BJ80" s="64"><f>OR(BH80="SI",BI80="SI")</f><v /></c><c r="BK80" s="64"><f>IF(BJ80=FALSE,"SIGDIFERENTES","SIGIGUALES")</f><v /></c><c r="BL80" s="21"><f>IF(BC80="NO CONFORME","NO CONFORME",IF(BB80="CONFORME","CONFORME","NO CONFORME"))</f><v /></c><c r="BM80" s="66" t="n" /><c r="BN80" s="66" t="n" /></row><row r="81" ht="15" customHeight="1"><c r="A81" s="55" t="n"><v>73</v></c><c r="B81" s="304"><f>B80</f><v /></c><c r="C81" s="304"><f>C80</f><v /></c><c r="D81" s="94"><f>D80</f><v /></c><c r="E81" s="95"><f>E80</f><v /></c><c r="F81" s="96" t="n" /><c r="G81" s="305" t="n" /><c r="H81" s="98"><f>H80</f><v /></c><c r="I81" s="98" t="n" /><c r="J81" s="306"><f>J80</f><v /></c><c r="K81" s="306"><f>K80</f><v /></c><c r="L81" s="306"><f>L80</f><v /></c><c r="M81" s="100" t="n" /><c r="N81" s="100" t="n" /><c r="O81" s="101"><f>O80</f><v /></c><c r="P81" s="307"><f>P80</f><v /></c><c r="Q81" s="10"><f>LEFT(P81,1)</f><v /></c><c r="R81" s="10"><f>RIGHT(P81,6)</f><v /></c><c r="S81" s="10"><f>+(Q81*60+R81)/(60*60)</f><v /></c><c r="T81" s="13"><f>+O81/S81</f><v /></c><c r="U81" s="300"><f>+(((N81-M81-O81)/O81)*100)</f><v /></c><c r="V81" s="308"><f>V80</f><v /></c><c r="W81" s="309"><f>W80</f><v /></c><c r="X81" s="309"><f>X80</f><v /></c><c r="Y81" s="100" t="n" /><c r="Z81" s="100" t="n" /><c r="AA81" s="109"><f>AA80</f><v /></c><c r="AB81" s="307"><f>AB80</f><v /></c><c r="AC81" s="10"><f>LEFT(AB81,2)</f><v /></c><c r="AD81" s="10"><f>RIGHT(AB81,6)</f><v /></c><c r="AE81" s="10"><f>+(AC81*60+AD81)/(60*60)</f><v /></c><c r="AF81" s="13"><f>+AA81/AE81</f><v /></c><c r="AG81" s="303"><f>+(((Z81-Y81-AA81)/AA81)*100)</f><v /></c><c r="AH81" s="308"><f>AH80</f><v /></c><c r="AI81" s="308"><f>AI80</f><v /></c><c r="AJ81" s="308"><f>AJ80</f><v /></c><c r="AK81" s="100"><f>+Z81</f><v /></c><c r="AL81" s="100" t="n" /><c r="AM81" s="112"><f>AM80</f><v /></c><c r="AN81" s="307"><f>AN80</f><v /></c><c r="AO81" s="10"><f>LEFT(AN81,2)</f><v /></c><c r="AP81" s="10"><f>RIGHT(AN81,6)</f><v /></c><c r="AQ81" s="10"><f>+(AO81*60+AP81)/(60*60)</f><v /></c><c r="AR81" s="13"><f>+AM81/AQ81</f><v /></c><c r="AS81" s="303"><f>+(((AL81-AK81-AM81)/AM81)*100)</f><v /></c><c r="AT81" s="64"><f>IF(I81&gt;=1,"NO CONFORME",IF(BK81="SIGDIFERENTES",BC81,BL81))</f><v /></c><c r="AU81" s="21"><f>B81&lt;=C81</f><v /></c><c r="AV81" s="21"><f>N81&lt;Y81</f><v /></c><c r="AW81" s="21"><f>Z81&lt;=AK81</f><v /></c><c r="AX81" s="21"><f>IF(I81&gt;=1,"Qcorrecto",IF(AND(AY81="aceptable",AZ81="aceptable",BA81="aceptable"),"Qcorrecto","Qincorrecto"))</f><v /></c><c r="AY81" s="21"><f>IF(AR81&lt;$AH$6,"error",IF(AR81&gt;$AH$6*1.1,"error","aceptable"))</f><v /></c><c r="AZ81" s="21"><f>IF(AF81&lt;$V$6,"error",IF(AF81&gt;$V$6*1.1,"error","aceptable"))</f><v /></c><c r="BA81" s="21"><f>IF(T81&lt;$J$6*0.9,"error",IF(T81&gt;$J$6,"error","aceptable"))</f><v /></c><c r="BB81" s="65"><f>(IF(ABS(U81)&lt;1.05,"CONFORME",IF(ABS(AG81)&lt;1.05,"CONFORME",IF(ABS(AS81)&lt;2.55,"CONFORME","NO CONFORME"))))</f><v /></c><c r="BC81" s="62"><f>(IF(ABS(U81)&gt;2.05,"NO CONFORME",IF(ABS(AG81)&gt;2.05,"NO CONFORME",IF(ABS(AS81)&gt;5.05,"NO CONFORME","CONFORME"))))</f><v /></c><c r="BD81" s="64"><f>SIGN(U81)</f><v /></c><c r="BE81" s="64"><f>SIGN(AG81)</f><v /></c><c r="BF81" s="64"><f>SIGN(AS81)</f><v /></c><c r="BG81" s="64"><f>CONCATENATE(BD81,BE81,BF81)</f><v /></c><c r="BH81" s="64"><f>IF(BG81="111","SI","SD")</f><v /></c><c r="BI81" s="64"><f>IF(BG81="-1-1-1","SI","SD")</f><v /></c><c r="BJ81" s="64"><f>OR(BH81="SI",BI81="SI")</f><v /></c><c r="BK81" s="64"><f>IF(BJ81=FALSE,"SIGDIFERENTES","SIGIGUALES")</f><v /></c><c r="BL81" s="21"><f>IF(BC81="NO CONFORME","NO CONFORME",IF(BB81="CONFORME","CONFORME","NO CONFORME"))</f><v /></c><c r="BM81" s="66" t="n" /><c r="BN81" s="66" t="n" /></row><row r="82" ht="15.75" customHeight="1" thickBot="1"><c r="A82" s="9" t="n"><v>74</v></c><c r="B82" s="296"><f>B81</f><v /></c><c r="C82" s="296"><f>C81</f><v /></c><c r="D82" s="11"><f>D81</f><v /></c><c r="E82" s="9"><f>E81</f><v /></c><c r="F82" s="12" t="n" /><c r="G82" s="297" t="n" /><c r="H82" s="90"><f>H81</f><v /></c><c r="I82" s="90" t="n" /><c r="J82" s="298"><f>J81</f><v /></c><c r="K82" s="298"><f>K81</f><v /></c><c r="L82" s="298"><f>L81</f><v /></c><c r="M82" s="52" t="n" /><c r="N82" s="52" t="n" /><c r="O82" s="30"><f>O81</f><v /></c><c r="P82" s="299"><f>P81</f><v /></c><c r="Q82" s="10"><f>LEFT(P82,1)</f><v /></c><c r="R82" s="10"><f>RIGHT(P82,6)</f><v /></c><c r="S82" s="10"><f>+(Q82*60+R82)/(60*60)</f><v /></c><c r="T82" s="13"><f>+O82/S82</f><v /></c><c r="U82" s="300"><f>+(((N82-M82-O82)/O82)*100)</f><v /></c><c r="V82" s="301"><f>V81</f><v /></c><c r="W82" s="302"><f>W81</f><v /></c><c r="X82" s="302"><f>X81</f><v /></c><c r="Y82" s="52" t="n" /><c r="Z82" s="52" t="n" /><c r="AA82" s="106"><f>AA81</f><v /></c><c r="AB82" s="299"><f>AB81</f><v /></c><c r="AC82" s="10"><f>LEFT(AB82,2)</f><v /></c><c r="AD82" s="10"><f>RIGHT(AB82,6)</f><v /></c><c r="AE82" s="10"><f>+(AC82*60+AD82)/(60*60)</f><v /></c><c r="AF82" s="13"><f>+AA82/AE82</f><v /></c><c r="AG82" s="303"><f>+(((Z82-Y82-AA82)/AA82)*100)</f><v /></c><c r="AH82" s="301"><f>AH81</f><v /></c><c r="AI82" s="301"><f>AI81</f><v /></c><c r="AJ82" s="301"><f>AJ81</f><v /></c><c r="AK82" s="52"><f>+Z82</f><v /></c><c r="AL82" s="52" t="n" /><c r="AM82" s="111"><f>AM81</f><v /></c><c r="AN82" s="299"><f>AN81</f><v /></c><c r="AO82" s="10"><f>LEFT(AN82,2)</f><v /></c><c r="AP82" s="10"><f>RIGHT(AN82,6)</f><v /></c><c r="AQ82" s="10"><f>+(AO82*60+AP82)/(60*60)</f><v /></c><c r="AR82" s="13"><f>+AM82/AQ82</f><v /></c><c r="AS82" s="303"><f>+(((AL82-AK82-AM82)/AM82)*100)</f><v /></c><c r="AT82" s="64"><f>IF(I82&gt;=1,"NO CONFORME",IF(BK82="SIGDIFERENTES",BC82,BL82))</f><v /></c><c r="AU82" s="21"><f>B82&lt;=C82</f><v /></c><c r="AV82" s="21"><f>N82&lt;Y82</f><v /></c><c r="AW82" s="21"><f>Z82&lt;=AK82</f><v /></c><c r="AX82" s="21"><f>IF(I82&gt;=1,"Qcorrecto",IF(AND(AY82="aceptable",AZ82="aceptable",BA82="aceptable"),"Qcorrecto","Qincorrecto"))</f><v /></c><c r="AY82" s="21"><f>IF(AR82&lt;$AH$6,"error",IF(AR82&gt;$AH$6*1.1,"error","aceptable"))</f><v /></c><c r="AZ82" s="21"><f>IF(AF82&lt;$V$6,"error",IF(AF82&gt;$V$6*1.1,"error","aceptable"))</f><v /></c><c r="BA82" s="21"><f>IF(T82&lt;$J$6*0.9,"error",IF(T82&gt;$J$6,"error","aceptable"))</f><v /></c><c r="BB82" s="65"><f>(IF(ABS(U82)&lt;1.05,"CONFORME",IF(ABS(AG82)&lt;1.05,"CONFORME",IF(ABS(AS82)&lt;2.55,"CONFORME","NO CONFORME"))))</f><v /></c><c r="BC82" s="62"><f>(IF(ABS(U82)&gt;2.05,"NO CONFORME",IF(ABS(AG82)&gt;2.05,"NO CONFORME",IF(ABS(AS82)&gt;5.05,"NO CONFORME","CONFORME"))))</f><v /></c><c r="BD82" s="64"><f>SIGN(U82)</f><v /></c><c r="BE82" s="64"><f>SIGN(AG82)</f><v /></c><c r="BF82" s="64"><f>SIGN(AS82)</f><v /></c><c r="BG82" s="64"><f>CONCATENATE(BD82,BE82,BF82)</f><v /></c><c r="BH82" s="64"><f>IF(BG82="111","SI","SD")</f><v /></c><c r="BI82" s="64"><f>IF(BG82="-1-1-1","SI","SD")</f><v /></c><c r="BJ82" s="64"><f>OR(BH82="SI",BI82="SI")</f><v /></c><c r="BK82" s="64"><f>IF(BJ82=FALSE,"SIGDIFERENTES","SIGIGUALES")</f><v /></c><c r="BL82" s="21"><f>IF(BC82="NO CONFORME","NO CONFORME",IF(BB82="CONFORME","CONFORME","NO CONFORME"))</f><v /></c><c r="BM82" s="66" t="n" /><c r="BN82" s="66" t="n" /></row><row r="83" ht="15" customHeight="1"><c r="A83" s="55" t="n"><v>75</v></c><c r="B83" s="304"><f>B82</f><v /></c><c r="C83" s="304"><f>C82</f><v /></c><c r="D83" s="94"><f>D82</f><v /></c><c r="E83" s="95"><f>E82</f><v /></c><c r="F83" s="96" t="n" /><c r="G83" s="305" t="n" /><c r="H83" s="98"><f>H82</f><v /></c><c r="I83" s="98" t="n" /><c r="J83" s="306"><f>J82</f><v /></c><c r="K83" s="306"><f>K82</f><v /></c><c r="L83" s="306"><f>L82</f><v /></c><c r="M83" s="100" t="n" /><c r="N83" s="100" t="n" /><c r="O83" s="101"><f>O82</f><v /></c><c r="P83" s="307"><f>P82</f><v /></c><c r="Q83" s="10"><f>LEFT(P83,1)</f><v /></c><c r="R83" s="10"><f>RIGHT(P83,6)</f><v /></c><c r="S83" s="10"><f>+(Q83*60+R83)/(60*60)</f><v /></c><c r="T83" s="13"><f>+O83/S83</f><v /></c><c r="U83" s="300"><f>+(((N83-M83-O83)/O83)*100)</f><v /></c><c r="V83" s="308"><f>V82</f><v /></c><c r="W83" s="309"><f>W82</f><v /></c><c r="X83" s="309"><f>X82</f><v /></c><c r="Y83" s="100" t="n" /><c r="Z83" s="100" t="n" /><c r="AA83" s="109"><f>AA82</f><v /></c><c r="AB83" s="307"><f>AB82</f><v /></c><c r="AC83" s="10"><f>LEFT(AB83,2)</f><v /></c><c r="AD83" s="10"><f>RIGHT(AB83,6)</f><v /></c><c r="AE83" s="10"><f>+(AC83*60+AD83)/(60*60)</f><v /></c><c r="AF83" s="13"><f>+AA83/AE83</f><v /></c><c r="AG83" s="303"><f>+(((Z83-Y83-AA83)/AA83)*100)</f><v /></c><c r="AH83" s="308"><f>AH82</f><v /></c><c r="AI83" s="308"><f>AI82</f><v /></c><c r="AJ83" s="308"><f>AJ82</f><v /></c><c r="AK83" s="100"><f>+Z83</f><v /></c><c r="AL83" s="100" t="n" /><c r="AM83" s="112"><f>AM82</f><v /></c><c r="AN83" s="307"><f>AN82</f><v /></c><c r="AO83" s="10"><f>LEFT(AN83,2)</f><v /></c><c r="AP83" s="10"><f>RIGHT(AN83,6)</f><v /></c><c r="AQ83" s="10"><f>+(AO83*60+AP83)/(60*60)</f><v /></c><c r="AR83" s="13"><f>+AM83/AQ83</f><v /></c><c r="AS83" s="303"><f>+(((AL83-AK83-AM83)/AM83)*100)</f><v /></c><c r="AT83" s="64"><f>IF(I83&gt;=1,"NO CONFORME",IF(BK83="SIGDIFERENTES",BC83,BL83))</f><v /></c><c r="AU83" s="21"><f>B83&lt;=C83</f><v /></c><c r="AV83" s="21"><f>N83&lt;Y83</f><v /></c><c r="AW83" s="21"><f>Z83&lt;=AK83</f><v /></c><c r="AX83" s="21"><f>IF(I83&gt;=1,"Qcorrecto",IF(AND(AY83="aceptable",AZ83="aceptable",BA83="aceptable"),"Qcorrecto","Qincorrecto"))</f><v /></c><c r="AY83" s="21"><f>IF(AR83&lt;$AH$6,"error",IF(AR83&gt;$AH$6*1.1,"error","aceptable"))</f><v /></c><c r="AZ83" s="21"><f>IF(AF83&lt;$V$6,"error",IF(AF83&gt;$V$6*1.1,"error","aceptable"))</f><v /></c><c r="BA83" s="21"><f>IF(T83&lt;$J$6*0.9,"error",IF(T83&gt;$J$6,"error","aceptable"))</f><v /></c><c r="BB83" s="65"><f>(IF(ABS(U83)&lt;1.05,"CONFORME",IF(ABS(AG83)&lt;1.05,"CONFORME",IF(ABS(AS83)&lt;2.55,"CONFORME","NO CONFORME"))))</f><v /></c><c r="BC83" s="62"><f>(IF(ABS(U83)&gt;2.05,"NO CONFORME",IF(ABS(AG83)&gt;2.05,"NO CONFORME",IF(ABS(AS83)&gt;5.05,"NO CONFORME","CONFORME"))))</f><v /></c><c r="BD83" s="64"><f>SIGN(U83)</f><v /></c><c r="BE83" s="64"><f>SIGN(AG83)</f><v /></c><c r="BF83" s="64"><f>SIGN(AS83)</f><v /></c><c r="BG83" s="64"><f>CONCATENATE(BD83,BE83,BF83)</f><v /></c><c r="BH83" s="64"><f>IF(BG83="111","SI","SD")</f><v /></c><c r="BI83" s="64"><f>IF(BG83="-1-1-1","SI","SD")</f><v /></c><c r="BJ83" s="64"><f>OR(BH83="SI",BI83="SI")</f><v /></c><c r="BK83" s="64"><f>IF(BJ83=FALSE,"SIGDIFERENTES","SIGIGUALES")</f><v /></c><c r="BL83" s="21"><f>IF(BC83="NO CONFORME","NO CONFORME",IF(BB83="CONFORME","CONFORME","NO CONFORME"))</f><v /></c><c r="BM83" s="66" t="n" /><c r="BN83" s="66" t="n" /></row><row r="84" ht="15.75" customHeight="1" thickBot="1"><c r="A84" s="9" t="n"><v>76</v></c><c r="B84" s="296"><f>B83</f><v /></c><c r="C84" s="296"><f>C83</f><v /></c><c r="D84" s="11"><f>D83</f><v /></c><c r="E84" s="9"><f>E83</f><v /></c><c r="F84" s="12" t="n" /><c r="G84" s="297" t="n" /><c r="H84" s="90"><f>H83</f><v /></c><c r="I84" s="90" t="n" /><c r="J84" s="298"><f>J83</f><v /></c><c r="K84" s="298"><f>K83</f><v /></c><c r="L84" s="298"><f>L83</f><v /></c><c r="M84" s="52" t="n" /><c r="N84" s="52" t="n" /><c r="O84" s="30"><f>O83</f><v /></c><c r="P84" s="299"><f>P83</f><v /></c><c r="Q84" s="10"><f>LEFT(P84,1)</f><v /></c><c r="R84" s="10"><f>RIGHT(P84,6)</f><v /></c><c r="S84" s="10"><f>+(Q84*60+R84)/(60*60)</f><v /></c><c r="T84" s="13"><f>+O84/S84</f><v /></c><c r="U84" s="300"><f>+(((N84-M84-O84)/O84)*100)</f><v /></c><c r="V84" s="301"><f>V83</f><v /></c><c r="W84" s="302"><f>W83</f><v /></c><c r="X84" s="302"><f>X83</f><v /></c><c r="Y84" s="52" t="n" /><c r="Z84" s="52" t="n" /><c r="AA84" s="106"><f>AA83</f><v /></c><c r="AB84" s="299"><f>AB83</f><v /></c><c r="AC84" s="10"><f>LEFT(AB84,2)</f><v /></c><c r="AD84" s="10"><f>RIGHT(AB84,6)</f><v /></c><c r="AE84" s="10"><f>+(AC84*60+AD84)/(60*60)</f><v /></c><c r="AF84" s="13"><f>+AA84/AE84</f><v /></c><c r="AG84" s="303"><f>+(((Z84-Y84-AA84)/AA84)*100)</f><v /></c><c r="AH84" s="301"><f>AH83</f><v /></c><c r="AI84" s="301"><f>AI83</f><v /></c><c r="AJ84" s="301"><f>AJ83</f><v /></c><c r="AK84" s="52"><f>+Z84</f><v /></c><c r="AL84" s="52" t="n" /><c r="AM84" s="111"><f>AM83</f><v /></c><c r="AN84" s="299"><f>AN83</f><v /></c><c r="AO84" s="10"><f>LEFT(AN84,2)</f><v /></c><c r="AP84" s="10"><f>RIGHT(AN84,6)</f><v /></c><c r="AQ84" s="10"><f>+(AO84*60+AP84)/(60*60)</f><v /></c><c r="AR84" s="13"><f>+AM84/AQ84</f><v /></c><c r="AS84" s="303"><f>+(((AL84-AK84-AM84)/AM84)*100)</f><v /></c><c r="AT84" s="64"><f>IF(I84&gt;=1,"NO CONFORME",IF(BK84="SIGDIFERENTES",BC84,BL84))</f><v /></c><c r="AU84" s="21"><f>B84&lt;=C84</f><v /></c><c r="AV84" s="21"><f>N84&lt;Y84</f><v /></c><c r="AW84" s="21"><f>Z84&lt;=AK84</f><v /></c><c r="AX84" s="21"><f>IF(I84&gt;=1,"Qcorrecto",IF(AND(AY84="aceptable",AZ84="aceptable",BA84="aceptable"),"Qcorrecto","Qincorrecto"))</f><v /></c><c r="AY84" s="21"><f>IF(AR84&lt;$AH$6,"error",IF(AR84&gt;$AH$6*1.1,"error","aceptable"))</f><v /></c><c r="AZ84" s="21"><f>IF(AF84&lt;$V$6,"error",IF(AF84&gt;$V$6*1.1,"error","aceptable"))</f><v /></c><c r="BA84" s="21"><f>IF(T84&lt;$J$6*0.9,"error",IF(T84&gt;$J$6,"error","aceptable"))</f><v /></c><c r="BB84" s="65"><f>(IF(ABS(U84)&lt;1.05,"CONFORME",IF(ABS(AG84)&lt;1.05,"CONFORME",IF(ABS(AS84)&lt;2.55,"CONFORME","NO CONFORME"))))</f><v /></c><c r="BC84" s="62"><f>(IF(ABS(U84)&gt;2.05,"NO CONFORME",IF(ABS(AG84)&gt;2.05,"NO CONFORME",IF(ABS(AS84)&gt;5.05,"NO CONFORME","CONFORME"))))</f><v /></c><c r="BD84" s="64"><f>SIGN(U84)</f><v /></c><c r="BE84" s="64"><f>SIGN(AG84)</f><v /></c><c r="BF84" s="64"><f>SIGN(AS84)</f><v /></c><c r="BG84" s="64"><f>CONCATENATE(BD84,BE84,BF84)</f><v /></c><c r="BH84" s="64"><f>IF(BG84="111","SI","SD")</f><v /></c><c r="BI84" s="64"><f>IF(BG84="-1-1-1","SI","SD")</f><v /></c><c r="BJ84" s="64"><f>OR(BH84="SI",BI84="SI")</f><v /></c><c r="BK84" s="64"><f>IF(BJ84=FALSE,"SIGDIFERENTES","SIGIGUALES")</f><v /></c><c r="BL84" s="21"><f>IF(BC84="NO CONFORME","NO CONFORME",IF(BB84="CONFORME","CONFORME","NO CONFORME"))</f><v /></c><c r="BM84" s="66" t="n" /><c r="BN84" s="66" t="n" /></row><row r="85" ht="15" customHeight="1"><c r="A85" s="55" t="n"><v>77</v></c><c r="B85" s="304"><f>B84</f><v /></c><c r="C85" s="304"><f>C84</f><v /></c><c r="D85" s="94"><f>D84</f><v /></c><c r="E85" s="95"><f>E84</f><v /></c><c r="F85" s="96" t="n" /><c r="G85" s="305" t="n" /><c r="H85" s="98"><f>H84</f><v /></c><c r="I85" s="98" t="n" /><c r="J85" s="306"><f>J84</f><v /></c><c r="K85" s="306"><f>K84</f><v /></c><c r="L85" s="306"><f>L84</f><v /></c><c r="M85" s="100" t="n" /><c r="N85" s="100" t="n" /><c r="O85" s="101"><f>O84</f><v /></c><c r="P85" s="307"><f>P84</f><v /></c><c r="Q85" s="10"><f>LEFT(P85,1)</f><v /></c><c r="R85" s="10"><f>RIGHT(P85,6)</f><v /></c><c r="S85" s="10"><f>+(Q85*60+R85)/(60*60)</f><v /></c><c r="T85" s="13"><f>+O85/S85</f><v /></c><c r="U85" s="300"><f>+(((N85-M85-O85)/O85)*100)</f><v /></c><c r="V85" s="308"><f>V84</f><v /></c><c r="W85" s="309"><f>W84</f><v /></c><c r="X85" s="309"><f>X84</f><v /></c><c r="Y85" s="100" t="n" /><c r="Z85" s="100" t="n" /><c r="AA85" s="109"><f>AA84</f><v /></c><c r="AB85" s="307"><f>AB84</f><v /></c><c r="AC85" s="10"><f>LEFT(AB85,2)</f><v /></c><c r="AD85" s="10"><f>RIGHT(AB85,6)</f><v /></c><c r="AE85" s="10"><f>+(AC85*60+AD85)/(60*60)</f><v /></c><c r="AF85" s="13"><f>+AA85/AE85</f><v /></c><c r="AG85" s="303"><f>+(((Z85-Y85-AA85)/AA85)*100)</f><v /></c><c r="AH85" s="308"><f>AH84</f><v /></c><c r="AI85" s="308"><f>AI84</f><v /></c><c r="AJ85" s="308"><f>AJ84</f><v /></c><c r="AK85" s="100"><f>+Z85</f><v /></c><c r="AL85" s="100" t="n" /><c r="AM85" s="112"><f>AM84</f><v /></c><c r="AN85" s="307"><f>AN84</f><v /></c><c r="AO85" s="10"><f>LEFT(AN85,2)</f><v /></c><c r="AP85" s="10"><f>RIGHT(AN85,6)</f><v /></c><c r="AQ85" s="10"><f>+(AO85*60+AP85)/(60*60)</f><v /></c><c r="AR85" s="13"><f>+AM85/AQ85</f><v /></c><c r="AS85" s="303"><f>+(((AL85-AK85-AM85)/AM85)*100)</f><v /></c><c r="AT85" s="64"><f>IF(I85&gt;=1,"NO CONFORME",IF(BK85="SIGDIFERENTES",BC85,BL85))</f><v /></c><c r="AU85" s="21"><f>B85&lt;=C85</f><v /></c><c r="AV85" s="21"><f>N85&lt;Y85</f><v /></c><c r="AW85" s="21"><f>Z85&lt;=AK85</f><v /></c><c r="AX85" s="21"><f>IF(I85&gt;=1,"Qcorrecto",IF(AND(AY85="aceptable",AZ85="aceptable",BA85="aceptable"),"Qcorrecto","Qincorrecto"))</f><v /></c><c r="AY85" s="21"><f>IF(AR85&lt;$AH$6,"error",IF(AR85&gt;$AH$6*1.1,"error","aceptable"))</f><v /></c><c r="AZ85" s="21"><f>IF(AF85&lt;$V$6,"error",IF(AF85&gt;$V$6*1.1,"error","aceptable"))</f><v /></c><c r="BA85" s="21"><f>IF(T85&lt;$J$6*0.9,"error",IF(T85&gt;$J$6,"error","aceptable"))</f><v /></c><c r="BB85" s="65"><f>(IF(ABS(U85)&lt;1.05,"CONFORME",IF(ABS(AG85)&lt;1.05,"CONFORME",IF(ABS(AS85)&lt;2.55,"CONFORME","NO CONFORME"))))</f><v /></c><c r="BC85" s="62"><f>(IF(ABS(U85)&gt;2.05,"NO CONFORME",IF(ABS(AG85)&gt;2.05,"NO CONFORME",IF(ABS(AS85)&gt;5.05,"NO CONFORME","CONFORME"))))</f><v /></c><c r="BD85" s="64"><f>SIGN(U85)</f><v /></c><c r="BE85" s="64"><f>SIGN(AG85)</f><v /></c><c r="BF85" s="64"><f>SIGN(AS85)</f><v /></c><c r="BG85" s="64"><f>CONCATENATE(BD85,BE85,BF85)</f><v /></c><c r="BH85" s="64"><f>IF(BG85="111","SI","SD")</f><v /></c><c r="BI85" s="64"><f>IF(BG85="-1-1-1","SI","SD")</f><v /></c><c r="BJ85" s="64"><f>OR(BH85="SI",BI85="SI")</f><v /></c><c r="BK85" s="64"><f>IF(BJ85=FALSE,"SIGDIFERENTES","SIGIGUALES")</f><v /></c><c r="BL85" s="21"><f>IF(BC85="NO CONFORME","NO CONFORME",IF(BB85="CONFORME","CONFORME","NO CONFORME"))</f><v /></c><c r="BM85" s="66" t="n" /><c r="BN85" s="66" t="n" /></row><row r="86" ht="15.75" customHeight="1" thickBot="1"><c r="A86" s="9" t="n"><v>78</v></c><c r="B86" s="296"><f>B85</f><v /></c><c r="C86" s="296"><f>C85</f><v /></c><c r="D86" s="11"><f>D85</f><v /></c><c r="E86" s="9"><f>E85</f><v /></c><c r="F86" s="12" t="n" /><c r="G86" s="297" t="n" /><c r="H86" s="90"><f>H85</f><v /></c><c r="I86" s="90" t="n" /><c r="J86" s="298"><f>J85</f><v /></c><c r="K86" s="298"><f>K85</f><v /></c><c r="L86" s="298"><f>L85</f><v /></c><c r="M86" s="52" t="n" /><c r="N86" s="52" t="n" /><c r="O86" s="30"><f>O85</f><v /></c><c r="P86" s="299"><f>P85</f><v /></c><c r="Q86" s="10"><f>LEFT(P86,1)</f><v /></c><c r="R86" s="10"><f>RIGHT(P86,6)</f><v /></c><c r="S86" s="10"><f>+(Q86*60+R86)/(60*60)</f><v /></c><c r="T86" s="13"><f>+O86/S86</f><v /></c><c r="U86" s="300"><f>+(((N86-M86-O86)/O86)*100)</f><v /></c><c r="V86" s="301"><f>V85</f><v /></c><c r="W86" s="302"><f>W85</f><v /></c><c r="X86" s="302"><f>X85</f><v /></c><c r="Y86" s="52" t="n" /><c r="Z86" s="52" t="n" /><c r="AA86" s="106"><f>AA85</f><v /></c><c r="AB86" s="299"><f>AB85</f><v /></c><c r="AC86" s="10"><f>LEFT(AB86,2)</f><v /></c><c r="AD86" s="10"><f>RIGHT(AB86,6)</f><v /></c><c r="AE86" s="10"><f>+(AC86*60+AD86)/(60*60)</f><v /></c><c r="AF86" s="13"><f>+AA86/AE86</f><v /></c><c r="AG86" s="303"><f>+(((Z86-Y86-AA86)/AA86)*100)</f><v /></c><c r="AH86" s="301"><f>AH85</f><v /></c><c r="AI86" s="301"><f>AI85</f><v /></c><c r="AJ86" s="301"><f>AJ85</f><v /></c><c r="AK86" s="52"><f>+Z86</f><v /></c><c r="AL86" s="52" t="n" /><c r="AM86" s="111"><f>AM85</f><v /></c><c r="AN86" s="299"><f>AN85</f><v /></c><c r="AO86" s="10"><f>LEFT(AN86,2)</f><v /></c><c r="AP86" s="10"><f>RIGHT(AN86,6)</f><v /></c><c r="AQ86" s="10"><f>+(AO86*60+AP86)/(60*60)</f><v /></c><c r="AR86" s="13"><f>+AM86/AQ86</f><v /></c><c r="AS86" s="303"><f>+(((AL86-AK86-AM86)/AM86)*100)</f><v /></c><c r="AT86" s="64"><f>IF(I86&gt;=1,"NO CONFORME",IF(BK86="SIGDIFERENTES",BC86,BL86))</f><v /></c><c r="AU86" s="21"><f>B86&lt;=C86</f><v /></c><c r="AV86" s="21"><f>N86&lt;Y86</f><v /></c><c r="AW86" s="21"><f>Z86&lt;=AK86</f><v /></c><c r="AX86" s="21"><f>IF(I86&gt;=1,"Qcorrecto",IF(AND(AY86="aceptable",AZ86="aceptable",BA86="aceptable"),"Qcorrecto","Qincorrecto"))</f><v /></c><c r="AY86" s="21"><f>IF(AR86&lt;$AH$6,"error",IF(AR86&gt;$AH$6*1.1,"error","aceptable"))</f><v /></c><c r="AZ86" s="21"><f>IF(AF86&lt;$V$6,"error",IF(AF86&gt;$V$6*1.1,"error","aceptable"))</f><v /></c><c r="BA86" s="21"><f>IF(T86&lt;$J$6*0.9,"error",IF(T86&gt;$J$6,"error","aceptable"))</f><v /></c><c r="BB86" s="65"><f>(IF(ABS(U86)&lt;1.05,"CONFORME",IF(ABS(AG86)&lt;1.05,"CONFORME",IF(ABS(AS86)&lt;2.55,"CONFORME","NO CONFORME"))))</f><v /></c><c r="BC86" s="62"><f>(IF(ABS(U86)&gt;2.05,"NO CONFORME",IF(ABS(AG86)&gt;2.05,"NO CONFORME",IF(ABS(AS86)&gt;5.05,"NO CONFORME","CONFORME"))))</f><v /></c><c r="BD86" s="64"><f>SIGN(U86)</f><v /></c><c r="BE86" s="64"><f>SIGN(AG86)</f><v /></c><c r="BF86" s="64"><f>SIGN(AS86)</f><v /></c><c r="BG86" s="64"><f>CONCATENATE(BD86,BE86,BF86)</f><v /></c><c r="BH86" s="64"><f>IF(BG86="111","SI","SD")</f><v /></c><c r="BI86" s="64"><f>IF(BG86="-1-1-1","SI","SD")</f><v /></c><c r="BJ86" s="64"><f>OR(BH86="SI",BI86="SI")</f><v /></c><c r="BK86" s="64"><f>IF(BJ86=FALSE,"SIGDIFERENTES","SIGIGUALES")</f><v /></c><c r="BL86" s="21"><f>IF(BC86="NO CONFORME","NO CONFORME",IF(BB86="CONFORME","CONFORME","NO CONFORME"))</f><v /></c><c r="BM86" s="66" t="n" /><c r="BN86" s="66" t="n" /></row><row r="87" ht="15" customHeight="1"><c r="A87" s="55" t="n"><v>79</v></c><c r="B87" s="304"><f>B86</f><v /></c><c r="C87" s="304"><f>C86</f><v /></c><c r="D87" s="94"><f>D86</f><v /></c><c r="E87" s="95"><f>E86</f><v /></c><c r="F87" s="96" t="n" /><c r="G87" s="305" t="n" /><c r="H87" s="98"><f>H86</f><v /></c><c r="I87" s="98" t="n" /><c r="J87" s="306"><f>J86</f><v /></c><c r="K87" s="306"><f>K86</f><v /></c><c r="L87" s="306"><f>L86</f><v /></c><c r="M87" s="100" t="n" /><c r="N87" s="100" t="n" /><c r="O87" s="101"><f>O86</f><v /></c><c r="P87" s="307"><f>P86</f><v /></c><c r="Q87" s="10"><f>LEFT(P87,1)</f><v /></c><c r="R87" s="10"><f>RIGHT(P87,6)</f><v /></c><c r="S87" s="10"><f>+(Q87*60+R87)/(60*60)</f><v /></c><c r="T87" s="13"><f>+O87/S87</f><v /></c><c r="U87" s="300"><f>+(((N87-M87-O87)/O87)*100)</f><v /></c><c r="V87" s="308"><f>V86</f><v /></c><c r="W87" s="309"><f>W86</f><v /></c><c r="X87" s="309"><f>X86</f><v /></c><c r="Y87" s="100" t="n" /><c r="Z87" s="100" t="n" /><c r="AA87" s="109"><f>AA86</f><v /></c><c r="AB87" s="307"><f>AB86</f><v /></c><c r="AC87" s="10"><f>LEFT(AB87,2)</f><v /></c><c r="AD87" s="10"><f>RIGHT(AB87,6)</f><v /></c><c r="AE87" s="10"><f>+(AC87*60+AD87)/(60*60)</f><v /></c><c r="AF87" s="13"><f>+AA87/AE87</f><v /></c><c r="AG87" s="303"><f>+(((Z87-Y87-AA87)/AA87)*100)</f><v /></c><c r="AH87" s="308"><f>AH86</f><v /></c><c r="AI87" s="308"><f>AI86</f><v /></c><c r="AJ87" s="308"><f>AJ86</f><v /></c><c r="AK87" s="100"><f>+Z87</f><v /></c><c r="AL87" s="100" t="n" /><c r="AM87" s="112"><f>AM86</f><v /></c><c r="AN87" s="307"><f>AN86</f><v /></c><c r="AO87" s="10"><f>LEFT(AN87,2)</f><v /></c><c r="AP87" s="10"><f>RIGHT(AN87,6)</f><v /></c><c r="AQ87" s="10"><f>+(AO87*60+AP87)/(60*60)</f><v /></c><c r="AR87" s="13"><f>+AM87/AQ87</f><v /></c><c r="AS87" s="303"><f>+(((AL87-AK87-AM87)/AM87)*100)</f><v /></c><c r="AT87" s="64"><f>IF(I87&gt;=1,"NO CONFORME",IF(BK87="SIGDIFERENTES",BC87,BL87))</f><v /></c><c r="AU87" s="21"><f>B87&lt;=C87</f><v /></c><c r="AV87" s="21"><f>N87&lt;Y87</f><v /></c><c r="AW87" s="21"><f>Z87&lt;=AK87</f><v /></c><c r="AX87" s="21"><f>IF(I87&gt;=1,"Qcorrecto",IF(AND(AY87="aceptable",AZ87="aceptable",BA87="aceptable"),"Qcorrecto","Qincorrecto"))</f><v /></c><c r="AY87" s="21"><f>IF(AR87&lt;$AH$6,"error",IF(AR87&gt;$AH$6*1.1,"error","aceptable"))</f><v /></c><c r="AZ87" s="21"><f>IF(AF87&lt;$V$6,"error",IF(AF87&gt;$V$6*1.1,"error","aceptable"))</f><v /></c><c r="BA87" s="21"><f>IF(T87&lt;$J$6*0.9,"error",IF(T87&gt;$J$6,"error","aceptable"))</f><v /></c><c r="BB87" s="65"><f>(IF(ABS(U87)&lt;1.05,"CONFORME",IF(ABS(AG87)&lt;1.05,"CONFORME",IF(ABS(AS87)&lt;2.55,"CONFORME","NO CONFORME"))))</f><v /></c><c r="BC87" s="62"><f>(IF(ABS(U87)&gt;2.05,"NO CONFORME",IF(ABS(AG87)&gt;2.05,"NO CONFORME",IF(ABS(AS87)&gt;5.05,"NO CONFORME","CONFORME"))))</f><v /></c><c r="BD87" s="64"><f>SIGN(U87)</f><v /></c><c r="BE87" s="64"><f>SIGN(AG87)</f><v /></c><c r="BF87" s="64"><f>SIGN(AS87)</f><v /></c><c r="BG87" s="64"><f>CONCATENATE(BD87,BE87,BF87)</f><v /></c><c r="BH87" s="64"><f>IF(BG87="111","SI","SD")</f><v /></c><c r="BI87" s="64"><f>IF(BG87="-1-1-1","SI","SD")</f><v /></c><c r="BJ87" s="64"><f>OR(BH87="SI",BI87="SI")</f><v /></c><c r="BK87" s="64"><f>IF(BJ87=FALSE,"SIGDIFERENTES","SIGIGUALES")</f><v /></c><c r="BL87" s="21"><f>IF(BC87="NO CONFORME","NO CONFORME",IF(BB87="CONFORME","CONFORME","NO CONFORME"))</f><v /></c><c r="BM87" s="66" t="n" /><c r="BN87" s="66" t="n" /></row><row r="88" ht="15.75" customHeight="1" thickBot="1"><c r="A88" s="9" t="n"><v>80</v></c><c r="B88" s="296"><f>B87</f><v /></c><c r="C88" s="296"><f>C87</f><v /></c><c r="D88" s="11"><f>D87</f><v /></c><c r="E88" s="9"><f>E87</f><v /></c><c r="F88" s="12" t="n" /><c r="G88" s="297" t="n" /><c r="H88" s="90"><f>H87</f><v /></c><c r="I88" s="90" t="n" /><c r="J88" s="298"><f>J87</f><v /></c><c r="K88" s="298"><f>K87</f><v /></c><c r="L88" s="298"><f>L87</f><v /></c><c r="M88" s="52" t="n" /><c r="N88" s="52" t="n" /><c r="O88" s="30"><f>O87</f><v /></c><c r="P88" s="299"><f>P87</f><v /></c><c r="Q88" s="10"><f>LEFT(P88,1)</f><v /></c><c r="R88" s="10"><f>RIGHT(P88,6)</f><v /></c><c r="S88" s="10"><f>+(Q88*60+R88)/(60*60)</f><v /></c><c r="T88" s="13"><f>+O88/S88</f><v /></c><c r="U88" s="300"><f>+(((N88-M88-O88)/O88)*100)</f><v /></c><c r="V88" s="301"><f>V87</f><v /></c><c r="W88" s="302"><f>W87</f><v /></c><c r="X88" s="302"><f>X87</f><v /></c><c r="Y88" s="52" t="n" /><c r="Z88" s="52" t="n" /><c r="AA88" s="106"><f>AA87</f><v /></c><c r="AB88" s="299"><f>AB87</f><v /></c><c r="AC88" s="10"><f>LEFT(AB88,2)</f><v /></c><c r="AD88" s="10"><f>RIGHT(AB88,6)</f><v /></c><c r="AE88" s="10"><f>+(AC88*60+AD88)/(60*60)</f><v /></c><c r="AF88" s="13"><f>+AA88/AE88</f><v /></c><c r="AG88" s="303"><f>+(((Z88-Y88-AA88)/AA88)*100)</f><v /></c><c r="AH88" s="301"><f>AH87</f><v /></c><c r="AI88" s="301"><f>AI87</f><v /></c><c r="AJ88" s="301"><f>AJ87</f><v /></c><c r="AK88" s="52"><f>+Z88</f><v /></c><c r="AL88" s="52" t="n" /><c r="AM88" s="111"><f>AM87</f><v /></c><c r="AN88" s="299"><f>AN87</f><v /></c><c r="AO88" s="10"><f>LEFT(AN88,2)</f><v /></c><c r="AP88" s="10"><f>RIGHT(AN88,6)</f><v /></c><c r="AQ88" s="10"><f>+(AO88*60+AP88)/(60*60)</f><v /></c><c r="AR88" s="13"><f>+AM88/AQ88</f><v /></c><c r="AS88" s="303"><f>+(((AL88-AK88-AM88)/AM88)*100)</f><v /></c><c r="AT88" s="64"><f>IF(I88&gt;=1,"NO CONFORME",IF(BK88="SIGDIFERENTES",BC88,BL88))</f><v /></c><c r="AU88" s="21"><f>B88&lt;=C88</f><v /></c><c r="AV88" s="21"><f>N88&lt;Y88</f><v /></c><c r="AW88" s="21"><f>Z88&lt;=AK88</f><v /></c><c r="AX88" s="21"><f>IF(I88&gt;=1,"Qcorrecto",IF(AND(AY88="aceptable",AZ88="aceptable",BA88="aceptable"),"Qcorrecto","Qincorrecto"))</f><v /></c><c r="AY88" s="21"><f>IF(AR88&lt;$AH$6,"error",IF(AR88&gt;$AH$6*1.1,"error","aceptable"))</f><v /></c><c r="AZ88" s="21"><f>IF(AF88&lt;$V$6,"error",IF(AF88&gt;$V$6*1.1,"error","aceptable"))</f><v /></c><c r="BA88" s="21"><f>IF(T88&lt;$J$6*0.9,"error",IF(T88&gt;$J$6,"error","aceptable"))</f><v /></c><c r="BB88" s="65"><f>(IF(ABS(U88)&lt;1.05,"CONFORME",IF(ABS(AG88)&lt;1.05,"CONFORME",IF(ABS(AS88)&lt;2.55,"CONFORME","NO CONFORME"))))</f><v /></c><c r="BC88" s="62"><f>(IF(ABS(U88)&gt;2.05,"NO CONFORME",IF(ABS(AG88)&gt;2.05,"NO CONFORME",IF(ABS(AS88)&gt;5.05,"NO CONFORME","CONFORME"))))</f><v /></c><c r="BD88" s="64"><f>SIGN(U88)</f><v /></c><c r="BE88" s="64"><f>SIGN(AG88)</f><v /></c><c r="BF88" s="64"><f>SIGN(AS88)</f><v /></c><c r="BG88" s="64"><f>CONCATENATE(BD88,BE88,BF88)</f><v /></c><c r="BH88" s="64"><f>IF(BG88="111","SI","SD")</f><v /></c><c r="BI88" s="64"><f>IF(BG88="-1-1-1","SI","SD")</f><v /></c><c r="BJ88" s="64"><f>OR(BH88="SI",BI88="SI")</f><v /></c><c r="BK88" s="64"><f>IF(BJ88=FALSE,"SIGDIFERENTES","SIGIGUALES")</f><v /></c><c r="BL88" s="21"><f>IF(BC88="NO CONFORME","NO CONFORME",IF(BB88="CONFORME","CONFORME","NO CONFORME"))</f><v /></c><c r="BM88" s="66" t="n" /><c r="BN88" s="66" t="n" /></row><row r="89" ht="15" customHeight="1"><c r="A89" s="55" t="n"><v>81</v></c><c r="B89" s="304"><f>B88</f><v /></c><c r="C89" s="304"><f>C88</f><v /></c><c r="D89" s="94"><f>D88</f><v /></c><c r="E89" s="95"><f>E88</f><v /></c><c r="F89" s="96" t="n" /><c r="G89" s="305" t="n" /><c r="H89" s="98"><f>H88</f><v /></c><c r="I89" s="98" t="n" /><c r="J89" s="306"><f>J88</f><v /></c><c r="K89" s="306"><f>K88</f><v /></c><c r="L89" s="306"><f>L88</f><v /></c><c r="M89" s="100" t="n" /><c r="N89" s="100" t="n" /><c r="O89" s="101"><f>O88</f><v /></c><c r="P89" s="307"><f>P88</f><v /></c><c r="Q89" s="10"><f>LEFT(P89,1)</f><v /></c><c r="R89" s="10"><f>RIGHT(P89,6)</f><v /></c><c r="S89" s="10"><f>+(Q89*60+R89)/(60*60)</f><v /></c><c r="T89" s="13"><f>+O89/S89</f><v /></c><c r="U89" s="300"><f>+(((N89-M89-O89)/O89)*100)</f><v /></c><c r="V89" s="308"><f>V88</f><v /></c><c r="W89" s="309"><f>W88</f><v /></c><c r="X89" s="309"><f>X88</f><v /></c><c r="Y89" s="100" t="n" /><c r="Z89" s="100" t="n" /><c r="AA89" s="109"><f>AA88</f><v /></c><c r="AB89" s="307"><f>AB88</f><v /></c><c r="AC89" s="10"><f>LEFT(AB89,2)</f><v /></c><c r="AD89" s="10"><f>RIGHT(AB89,6)</f><v /></c><c r="AE89" s="10"><f>+(AC89*60+AD89)/(60*60)</f><v /></c><c r="AF89" s="13"><f>+AA89/AE89</f><v /></c><c r="AG89" s="303"><f>+(((Z89-Y89-AA89)/AA89)*100)</f><v /></c><c r="AH89" s="308"><f>AH88</f><v /></c><c r="AI89" s="308"><f>AI88</f><v /></c><c r="AJ89" s="308"><f>AJ88</f><v /></c><c r="AK89" s="100"><f>+Z89</f><v /></c><c r="AL89" s="100" t="n" /><c r="AM89" s="112"><f>AM88</f><v /></c><c r="AN89" s="307"><f>AN88</f><v /></c><c r="AO89" s="10"><f>LEFT(AN89,2)</f><v /></c><c r="AP89" s="10"><f>RIGHT(AN89,6)</f><v /></c><c r="AQ89" s="10"><f>+(AO89*60+AP89)/(60*60)</f><v /></c><c r="AR89" s="13"><f>+AM89/AQ89</f><v /></c><c r="AS89" s="303"><f>+(((AL89-AK89-AM89)/AM89)*100)</f><v /></c><c r="AT89" s="64"><f>IF(I89&gt;=1,"NO CONFORME",IF(BK89="SIGDIFERENTES",BC89,BL89))</f><v /></c><c r="AU89" s="21"><f>B89&lt;=C89</f><v /></c><c r="AV89" s="21"><f>N89&lt;Y89</f><v /></c><c r="AW89" s="21"><f>Z89&lt;=AK89</f><v /></c><c r="AX89" s="21"><f>IF(I89&gt;=1,"Qcorrecto",IF(AND(AY89="aceptable",AZ89="aceptable",BA89="aceptable"),"Qcorrecto","Qincorrecto"))</f><v /></c><c r="AY89" s="21"><f>IF(AR89&lt;$AH$6,"error",IF(AR89&gt;$AH$6*1.1,"error","aceptable"))</f><v /></c><c r="AZ89" s="21"><f>IF(AF89&lt;$V$6,"error",IF(AF89&gt;$V$6*1.1,"error","aceptable"))</f><v /></c><c r="BA89" s="21"><f>IF(T89&lt;$J$6*0.9,"error",IF(T89&gt;$J$6,"error","aceptable"))</f><v /></c><c r="BB89" s="65"><f>(IF(ABS(U89)&lt;1.05,"CONFORME",IF(ABS(AG89)&lt;1.05,"CONFORME",IF(ABS(AS89)&lt;2.55,"CONFORME","NO CONFORME"))))</f><v /></c><c r="BC89" s="62"><f>(IF(ABS(U89)&gt;2.05,"NO CONFORME",IF(ABS(AG89)&gt;2.05,"NO CONFORME",IF(ABS(AS89)&gt;5.05,"NO CONFORME","CONFORME"))))</f><v /></c><c r="BD89" s="64"><f>SIGN(U89)</f><v /></c><c r="BE89" s="64"><f>SIGN(AG89)</f><v /></c><c r="BF89" s="64"><f>SIGN(AS89)</f><v /></c><c r="BG89" s="64"><f>CONCATENATE(BD89,BE89,BF89)</f><v /></c><c r="BH89" s="64"><f>IF(BG89="111","SI","SD")</f><v /></c><c r="BI89" s="64"><f>IF(BG89="-1-1-1","SI","SD")</f><v /></c><c r="BJ89" s="64"><f>OR(BH89="SI",BI89="SI")</f><v /></c><c r="BK89" s="64"><f>IF(BJ89=FALSE,"SIGDIFERENTES","SIGIGUALES")</f><v /></c><c r="BL89" s="21"><f>IF(BC89="NO CONFORME","NO CONFORME",IF(BB89="CONFORME","CONFORME","NO CONFORME"))</f><v /></c><c r="BM89" s="66" t="n" /><c r="BN89" s="66" t="n" /></row><row r="90" ht="15.75" customHeight="1" thickBot="1"><c r="A90" s="9" t="n"><v>82</v></c><c r="B90" s="296"><f>B89</f><v /></c><c r="C90" s="296"><f>C89</f><v /></c><c r="D90" s="11"><f>D89</f><v /></c><c r="E90" s="9"><f>E89</f><v /></c><c r="F90" s="12" t="n" /><c r="G90" s="297" t="n" /><c r="H90" s="90"><f>H89</f><v /></c><c r="I90" s="90" t="n" /><c r="J90" s="298"><f>J89</f><v /></c><c r="K90" s="298"><f>K89</f><v /></c><c r="L90" s="298"><f>L89</f><v /></c><c r="M90" s="52" t="n" /><c r="N90" s="52" t="n" /><c r="O90" s="30"><f>O89</f><v /></c><c r="P90" s="299"><f>P89</f><v /></c><c r="Q90" s="10"><f>LEFT(P90,1)</f><v /></c><c r="R90" s="10"><f>RIGHT(P90,6)</f><v /></c><c r="S90" s="10"><f>+(Q90*60+R90)/(60*60)</f><v /></c><c r="T90" s="13"><f>+O90/S90</f><v /></c><c r="U90" s="300"><f>+(((N90-M90-O90)/O90)*100)</f><v /></c><c r="V90" s="301"><f>V89</f><v /></c><c r="W90" s="302"><f>W89</f><v /></c><c r="X90" s="302"><f>X89</f><v /></c><c r="Y90" s="52" t="n" /><c r="Z90" s="52" t="n" /><c r="AA90" s="106"><f>AA89</f><v /></c><c r="AB90" s="299"><f>AB89</f><v /></c><c r="AC90" s="10"><f>LEFT(AB90,2)</f><v /></c><c r="AD90" s="10"><f>RIGHT(AB90,6)</f><v /></c><c r="AE90" s="10"><f>+(AC90*60+AD90)/(60*60)</f><v /></c><c r="AF90" s="13"><f>+AA90/AE90</f><v /></c><c r="AG90" s="303"><f>+(((Z90-Y90-AA90)/AA90)*100)</f><v /></c><c r="AH90" s="301"><f>AH89</f><v /></c><c r="AI90" s="301"><f>AI89</f><v /></c><c r="AJ90" s="301"><f>AJ89</f><v /></c><c r="AK90" s="52"><f>+Z90</f><v /></c><c r="AL90" s="52" t="n" /><c r="AM90" s="111"><f>AM89</f><v /></c><c r="AN90" s="299"><f>AN89</f><v /></c><c r="AO90" s="10"><f>LEFT(AN90,2)</f><v /></c><c r="AP90" s="10"><f>RIGHT(AN90,6)</f><v /></c><c r="AQ90" s="10"><f>+(AO90*60+AP90)/(60*60)</f><v /></c><c r="AR90" s="13"><f>+AM90/AQ90</f><v /></c><c r="AS90" s="303"><f>+(((AL90-AK90-AM90)/AM90)*100)</f><v /></c><c r="AT90" s="64"><f>IF(I90&gt;=1,"NO CONFORME",IF(BK90="SIGDIFERENTES",BC90,BL90))</f><v /></c><c r="AU90" s="21"><f>B90&lt;=C90</f><v /></c><c r="AV90" s="21"><f>N90&lt;Y90</f><v /></c><c r="AW90" s="21"><f>Z90&lt;=AK90</f><v /></c><c r="AX90" s="21"><f>IF(I90&gt;=1,"Qcorrecto",IF(AND(AY90="aceptable",AZ90="aceptable",BA90="aceptable"),"Qcorrecto","Qincorrecto"))</f><v /></c><c r="AY90" s="21"><f>IF(AR90&lt;$AH$6,"error",IF(AR90&gt;$AH$6*1.1,"error","aceptable"))</f><v /></c><c r="AZ90" s="21"><f>IF(AF90&lt;$V$6,"error",IF(AF90&gt;$V$6*1.1,"error","aceptable"))</f><v /></c><c r="BA90" s="21"><f>IF(T90&lt;$J$6*0.9,"error",IF(T90&gt;$J$6,"error","aceptable"))</f><v /></c><c r="BB90" s="65"><f>(IF(ABS(U90)&lt;1.05,"CONFORME",IF(ABS(AG90)&lt;1.05,"CONFORME",IF(ABS(AS90)&lt;2.55,"CONFORME","NO CONFORME"))))</f><v /></c><c r="BC90" s="62"><f>(IF(ABS(U90)&gt;2.05,"NO CONFORME",IF(ABS(AG90)&gt;2.05,"NO CONFORME",IF(ABS(AS90)&gt;5.05,"NO CONFORME","CONFORME"))))</f><v /></c><c r="BD90" s="64"><f>SIGN(U90)</f><v /></c><c r="BE90" s="64"><f>SIGN(AG90)</f><v /></c><c r="BF90" s="64"><f>SIGN(AS90)</f><v /></c><c r="BG90" s="64"><f>CONCATENATE(BD90,BE90,BF90)</f><v /></c><c r="BH90" s="64"><f>IF(BG90="111","SI","SD")</f><v /></c><c r="BI90" s="64"><f>IF(BG90="-1-1-1","SI","SD")</f><v /></c><c r="BJ90" s="64"><f>OR(BH90="SI",BI90="SI")</f><v /></c><c r="BK90" s="64"><f>IF(BJ90=FALSE,"SIGDIFERENTES","SIGIGUALES")</f><v /></c><c r="BL90" s="21"><f>IF(BC90="NO CONFORME","NO CONFORME",IF(BB90="CONFORME","CONFORME","NO CONFORME"))</f><v /></c><c r="BM90" s="66" t="n" /><c r="BN90" s="66" t="n" /></row><row r="91" ht="15" customHeight="1"><c r="A91" s="55" t="n"><v>83</v></c><c r="B91" s="304"><f>B90</f><v /></c><c r="C91" s="304"><f>C90</f><v /></c><c r="D91" s="94"><f>D90</f><v /></c><c r="E91" s="95"><f>E90</f><v /></c><c r="F91" s="96" t="n" /><c r="G91" s="305" t="n" /><c r="H91" s="98"><f>H90</f><v /></c><c r="I91" s="98" t="n" /><c r="J91" s="306"><f>J90</f><v /></c><c r="K91" s="306"><f>K90</f><v /></c><c r="L91" s="306"><f>L90</f><v /></c><c r="M91" s="100" t="n" /><c r="N91" s="100" t="n" /><c r="O91" s="101"><f>O90</f><v /></c><c r="P91" s="307"><f>P90</f><v /></c><c r="Q91" s="10"><f>LEFT(P91,1)</f><v /></c><c r="R91" s="10"><f>RIGHT(P91,6)</f><v /></c><c r="S91" s="10"><f>+(Q91*60+R91)/(60*60)</f><v /></c><c r="T91" s="13"><f>+O91/S91</f><v /></c><c r="U91" s="300"><f>+(((N91-M91-O91)/O91)*100)</f><v /></c><c r="V91" s="308"><f>V90</f><v /></c><c r="W91" s="309"><f>W90</f><v /></c><c r="X91" s="309"><f>X90</f><v /></c><c r="Y91" s="100" t="n" /><c r="Z91" s="100" t="n" /><c r="AA91" s="109"><f>AA90</f><v /></c><c r="AB91" s="307"><f>AB90</f><v /></c><c r="AC91" s="10"><f>LEFT(AB91,2)</f><v /></c><c r="AD91" s="10"><f>RIGHT(AB91,6)</f><v /></c><c r="AE91" s="10"><f>+(AC91*60+AD91)/(60*60)</f><v /></c><c r="AF91" s="13"><f>+AA91/AE91</f><v /></c><c r="AG91" s="303"><f>+(((Z91-Y91-AA91)/AA91)*100)</f><v /></c><c r="AH91" s="308"><f>AH90</f><v /></c><c r="AI91" s="308"><f>AI90</f><v /></c><c r="AJ91" s="308"><f>AJ90</f><v /></c><c r="AK91" s="100"><f>+Z91</f><v /></c><c r="AL91" s="100" t="n" /><c r="AM91" s="112"><f>AM90</f><v /></c><c r="AN91" s="307"><f>AN90</f><v /></c><c r="AO91" s="10"><f>LEFT(AN91,2)</f><v /></c><c r="AP91" s="10"><f>RIGHT(AN91,6)</f><v /></c><c r="AQ91" s="10"><f>+(AO91*60+AP91)/(60*60)</f><v /></c><c r="AR91" s="13"><f>+AM91/AQ91</f><v /></c><c r="AS91" s="303"><f>+(((AL91-AK91-AM91)/AM91)*100)</f><v /></c><c r="AT91" s="64"><f>IF(I91&gt;=1,"NO CONFORME",IF(BK91="SIGDIFERENTES",BC91,BL91))</f><v /></c><c r="AU91" s="21"><f>B91&lt;=C91</f><v /></c><c r="AV91" s="21"><f>N91&lt;Y91</f><v /></c><c r="AW91" s="21"><f>Z91&lt;=AK91</f><v /></c><c r="AX91" s="21"><f>IF(I91&gt;=1,"Qcorrecto",IF(AND(AY91="aceptable",AZ91="aceptable",BA91="aceptable"),"Qcorrecto","Qincorrecto"))</f><v /></c><c r="AY91" s="21"><f>IF(AR91&lt;$AH$6,"error",IF(AR91&gt;$AH$6*1.1,"error","aceptable"))</f><v /></c><c r="AZ91" s="21"><f>IF(AF91&lt;$V$6,"error",IF(AF91&gt;$V$6*1.1,"error","aceptable"))</f><v /></c><c r="BA91" s="21"><f>IF(T91&lt;$J$6*0.9,"error",IF(T91&gt;$J$6,"error","aceptable"))</f><v /></c><c r="BB91" s="65"><f>(IF(ABS(U91)&lt;1.05,"CONFORME",IF(ABS(AG91)&lt;1.05,"CONFORME",IF(ABS(AS91)&lt;2.55,"CONFORME","NO CONFORME"))))</f><v /></c><c r="BC91" s="62"><f>(IF(ABS(U91)&gt;2.05,"NO CONFORME",IF(ABS(AG91)&gt;2.05,"NO CONFORME",IF(ABS(AS91)&gt;5.05,"NO CONFORME","CONFORME"))))</f><v /></c><c r="BD91" s="64"><f>SIGN(U91)</f><v /></c><c r="BE91" s="64"><f>SIGN(AG91)</f><v /></c><c r="BF91" s="64"><f>SIGN(AS91)</f><v /></c><c r="BG91" s="64"><f>CONCATENATE(BD91,BE91,BF91)</f><v /></c><c r="BH91" s="64"><f>IF(BG91="111","SI","SD")</f><v /></c><c r="BI91" s="64"><f>IF(BG91="-1-1-1","SI","SD")</f><v /></c><c r="BJ91" s="64"><f>OR(BH91="SI",BI91="SI")</f><v /></c><c r="BK91" s="64"><f>IF(BJ91=FALSE,"SIGDIFERENTES","SIGIGUALES")</f><v /></c><c r="BL91" s="21"><f>IF(BC91="NO CONFORME","NO CONFORME",IF(BB91="CONFORME","CONFORME","NO CONFORME"))</f><v /></c><c r="BM91" s="66" t="n" /><c r="BN91" s="66" t="n" /></row><row r="92" ht="15.75" customHeight="1" thickBot="1"><c r="A92" s="9" t="n"><v>84</v></c><c r="B92" s="296"><f>B91</f><v /></c><c r="C92" s="296"><f>C91</f><v /></c><c r="D92" s="11"><f>D91</f><v /></c><c r="E92" s="9"><f>E91</f><v /></c><c r="F92" s="12" t="n" /><c r="G92" s="297" t="n" /><c r="H92" s="90"><f>H91</f><v /></c><c r="I92" s="90" t="n" /><c r="J92" s="298"><f>J91</f><v /></c><c r="K92" s="298"><f>K91</f><v /></c><c r="L92" s="298"><f>L91</f><v /></c><c r="M92" s="52" t="n" /><c r="N92" s="52" t="n" /><c r="O92" s="30"><f>O91</f><v /></c><c r="P92" s="299"><f>P91</f><v /></c><c r="Q92" s="10"><f>LEFT(P92,1)</f><v /></c><c r="R92" s="10"><f>RIGHT(P92,6)</f><v /></c><c r="S92" s="10"><f>+(Q92*60+R92)/(60*60)</f><v /></c><c r="T92" s="13"><f>+O92/S92</f><v /></c><c r="U92" s="300"><f>+(((N92-M92-O92)/O92)*100)</f><v /></c><c r="V92" s="301"><f>V91</f><v /></c><c r="W92" s="302"><f>W91</f><v /></c><c r="X92" s="302"><f>X91</f><v /></c><c r="Y92" s="52" t="n" /><c r="Z92" s="52" t="n" /><c r="AA92" s="106"><f>AA91</f><v /></c><c r="AB92" s="299"><f>AB91</f><v /></c><c r="AC92" s="10"><f>LEFT(AB92,2)</f><v /></c><c r="AD92" s="10"><f>RIGHT(AB92,6)</f><v /></c><c r="AE92" s="10"><f>+(AC92*60+AD92)/(60*60)</f><v /></c><c r="AF92" s="13"><f>+AA92/AE92</f><v /></c><c r="AG92" s="303"><f>+(((Z92-Y92-AA92)/AA92)*100)</f><v /></c><c r="AH92" s="301"><f>AH91</f><v /></c><c r="AI92" s="301"><f>AI91</f><v /></c><c r="AJ92" s="301"><f>AJ91</f><v /></c><c r="AK92" s="52"><f>+Z92</f><v /></c><c r="AL92" s="52" t="n" /><c r="AM92" s="111"><f>AM91</f><v /></c><c r="AN92" s="299"><f>AN91</f><v /></c><c r="AO92" s="10"><f>LEFT(AN92,2)</f><v /></c><c r="AP92" s="10"><f>RIGHT(AN92,6)</f><v /></c><c r="AQ92" s="10"><f>+(AO92*60+AP92)/(60*60)</f><v /></c><c r="AR92" s="13"><f>+AM92/AQ92</f><v /></c><c r="AS92" s="303"><f>+(((AL92-AK92-AM92)/AM92)*100)</f><v /></c><c r="AT92" s="64"><f>IF(I92&gt;=1,"NO CONFORME",IF(BK92="SIGDIFERENTES",BC92,BL92))</f><v /></c><c r="AU92" s="21"><f>B92&lt;=C92</f><v /></c><c r="AV92" s="21"><f>N92&lt;Y92</f><v /></c><c r="AW92" s="21"><f>Z92&lt;=AK92</f><v /></c><c r="AX92" s="21"><f>IF(I92&gt;=1,"Qcorrecto",IF(AND(AY92="aceptable",AZ92="aceptable",BA92="aceptable"),"Qcorrecto","Qincorrecto"))</f><v /></c><c r="AY92" s="21"><f>IF(AR92&lt;$AH$6,"error",IF(AR92&gt;$AH$6*1.1,"error","aceptable"))</f><v /></c><c r="AZ92" s="21"><f>IF(AF92&lt;$V$6,"error",IF(AF92&gt;$V$6*1.1,"error","aceptable"))</f><v /></c><c r="BA92" s="21"><f>IF(T92&lt;$J$6*0.9,"error",IF(T92&gt;$J$6,"error","aceptable"))</f><v /></c><c r="BB92" s="65"><f>(IF(ABS(U92)&lt;1.05,"CONFORME",IF(ABS(AG92)&lt;1.05,"CONFORME",IF(ABS(AS92)&lt;2.55,"CONFORME","NO CONFORME"))))</f><v /></c><c r="BC92" s="62"><f>(IF(ABS(U92)&gt;2.05,"NO CONFORME",IF(ABS(AG92)&gt;2.05,"NO CONFORME",IF(ABS(AS92)&gt;5.05,"NO CONFORME","CONFORME"))))</f><v /></c><c r="BD92" s="64"><f>SIGN(U92)</f><v /></c><c r="BE92" s="64"><f>SIGN(AG92)</f><v /></c><c r="BF92" s="64"><f>SIGN(AS92)</f><v /></c><c r="BG92" s="64"><f>CONCATENATE(BD92,BE92,BF92)</f><v /></c><c r="BH92" s="64"><f>IF(BG92="111","SI","SD")</f><v /></c><c r="BI92" s="64"><f>IF(BG92="-1-1-1","SI","SD")</f><v /></c><c r="BJ92" s="64"><f>OR(BH92="SI",BI92="SI")</f><v /></c><c r="BK92" s="64"><f>IF(BJ92=FALSE,"SIGDIFERENTES","SIGIGUALES")</f><v /></c><c r="BL92" s="21"><f>IF(BC92="NO CONFORME","NO CONFORME",IF(BB92="CONFORME","CONFORME","NO CONFORME"))</f><v /></c><c r="BM92" s="66" t="n" /><c r="BN92" s="66" t="n" /></row><row r="93" ht="15" customHeight="1"><c r="A93" s="55" t="n"><v>85</v></c><c r="B93" s="304"><f>B92</f><v /></c><c r="C93" s="304"><f>C92</f><v /></c><c r="D93" s="94"><f>D92</f><v /></c><c r="E93" s="95"><f>E92</f><v /></c><c r="F93" s="96" t="n" /><c r="G93" s="305" t="n" /><c r="H93" s="98"><f>H92</f><v /></c><c r="I93" s="98" t="n" /><c r="J93" s="306"><f>J92</f><v /></c><c r="K93" s="306"><f>K92</f><v /></c><c r="L93" s="306"><f>L92</f><v /></c><c r="M93" s="100" t="n" /><c r="N93" s="100" t="n" /><c r="O93" s="101"><f>O92</f><v /></c><c r="P93" s="307"><f>P92</f><v /></c><c r="Q93" s="10"><f>LEFT(P93,1)</f><v /></c><c r="R93" s="10"><f>RIGHT(P93,6)</f><v /></c><c r="S93" s="10"><f>+(Q93*60+R93)/(60*60)</f><v /></c><c r="T93" s="13"><f>+O93/S93</f><v /></c><c r="U93" s="300"><f>+(((N93-M93-O93)/O93)*100)</f><v /></c><c r="V93" s="308"><f>V92</f><v /></c><c r="W93" s="309"><f>W92</f><v /></c><c r="X93" s="309"><f>X92</f><v /></c><c r="Y93" s="100" t="n" /><c r="Z93" s="100" t="n" /><c r="AA93" s="109"><f>AA92</f><v /></c><c r="AB93" s="307"><f>AB92</f><v /></c><c r="AC93" s="10"><f>LEFT(AB93,2)</f><v /></c><c r="AD93" s="10"><f>RIGHT(AB93,6)</f><v /></c><c r="AE93" s="10"><f>+(AC93*60+AD93)/(60*60)</f><v /></c><c r="AF93" s="13"><f>+AA93/AE93</f><v /></c><c r="AG93" s="303"><f>+(((Z93-Y93-AA93)/AA93)*100)</f><v /></c><c r="AH93" s="308"><f>AH92</f><v /></c><c r="AI93" s="308"><f>AI92</f><v /></c><c r="AJ93" s="308"><f>AJ92</f><v /></c><c r="AK93" s="100"><f>+Z93</f><v /></c><c r="AL93" s="100" t="n" /><c r="AM93" s="112"><f>AM92</f><v /></c><c r="AN93" s="307"><f>AN92</f><v /></c><c r="AO93" s="10"><f>LEFT(AN93,2)</f><v /></c><c r="AP93" s="10"><f>RIGHT(AN93,6)</f><v /></c><c r="AQ93" s="10"><f>+(AO93*60+AP93)/(60*60)</f><v /></c><c r="AR93" s="13"><f>+AM93/AQ93</f><v /></c><c r="AS93" s="303"><f>+(((AL93-AK93-AM93)/AM93)*100)</f><v /></c><c r="AT93" s="64"><f>IF(I93&gt;=1,"NO CONFORME",IF(BK93="SIGDIFERENTES",BC93,BL93))</f><v /></c><c r="AU93" s="21"><f>B93&lt;=C93</f><v /></c><c r="AV93" s="21"><f>N93&lt;Y93</f><v /></c><c r="AW93" s="21"><f>Z93&lt;=AK93</f><v /></c><c r="AX93" s="21"><f>IF(I93&gt;=1,"Qcorrecto",IF(AND(AY93="aceptable",AZ93="aceptable",BA93="aceptable"),"Qcorrecto","Qincorrecto"))</f><v /></c><c r="AY93" s="21"><f>IF(AR93&lt;$AH$6,"error",IF(AR93&gt;$AH$6*1.1,"error","aceptable"))</f><v /></c><c r="AZ93" s="21"><f>IF(AF93&lt;$V$6,"error",IF(AF93&gt;$V$6*1.1,"error","aceptable"))</f><v /></c><c r="BA93" s="21"><f>IF(T93&lt;$J$6*0.9,"error",IF(T93&gt;$J$6,"error","aceptable"))</f><v /></c><c r="BB93" s="65"><f>(IF(ABS(U93)&lt;1.05,"CONFORME",IF(ABS(AG93)&lt;1.05,"CONFORME",IF(ABS(AS93)&lt;2.55,"CONFORME","NO CONFORME"))))</f><v /></c><c r="BC93" s="62"><f>(IF(ABS(U93)&gt;2.05,"NO CONFORME",IF(ABS(AG93)&gt;2.05,"NO CONFORME",IF(ABS(AS93)&gt;5.05,"NO CONFORME","CONFORME"))))</f><v /></c><c r="BD93" s="64"><f>SIGN(U93)</f><v /></c><c r="BE93" s="64"><f>SIGN(AG93)</f><v /></c><c r="BF93" s="64"><f>SIGN(AS93)</f><v /></c><c r="BG93" s="64"><f>CONCATENATE(BD93,BE93,BF93)</f><v /></c><c r="BH93" s="64"><f>IF(BG93="111","SI","SD")</f><v /></c><c r="BI93" s="64"><f>IF(BG93="-1-1-1","SI","SD")</f><v /></c><c r="BJ93" s="64"><f>OR(BH93="SI",BI93="SI")</f><v /></c><c r="BK93" s="64"><f>IF(BJ93=FALSE,"SIGDIFERENTES","SIGIGUALES")</f><v /></c><c r="BL93" s="21"><f>IF(BC93="NO CONFORME","NO CONFORME",IF(BB93="CONFORME","CONFORME","NO CONFORME"))</f><v /></c><c r="BM93" s="66" t="n" /><c r="BN93" s="66" t="n" /></row><row r="94" ht="15.75" customHeight="1" thickBot="1"><c r="A94" s="9" t="n"><v>86</v></c><c r="B94" s="296"><f>B93</f><v /></c><c r="C94" s="296"><f>C93</f><v /></c><c r="D94" s="11"><f>D93</f><v /></c><c r="E94" s="9"><f>E93</f><v /></c><c r="F94" s="12" t="n" /><c r="G94" s="297" t="n" /><c r="H94" s="90"><f>H93</f><v /></c><c r="I94" s="90" t="n" /><c r="J94" s="298"><f>J93</f><v /></c><c r="K94" s="298"><f>K93</f><v /></c><c r="L94" s="298"><f>L93</f><v /></c><c r="M94" s="52" t="n" /><c r="N94" s="52" t="n" /><c r="O94" s="30"><f>O93</f><v /></c><c r="P94" s="299"><f>P93</f><v /></c><c r="Q94" s="10"><f>LEFT(P94,1)</f><v /></c><c r="R94" s="10"><f>RIGHT(P94,6)</f><v /></c><c r="S94" s="10"><f>+(Q94*60+R94)/(60*60)</f><v /></c><c r="T94" s="13"><f>+O94/S94</f><v /></c><c r="U94" s="300"><f>+(((N94-M94-O94)/O94)*100)</f><v /></c><c r="V94" s="301"><f>V93</f><v /></c><c r="W94" s="302"><f>W93</f><v /></c><c r="X94" s="302"><f>X93</f><v /></c><c r="Y94" s="52" t="n" /><c r="Z94" s="52" t="n" /><c r="AA94" s="106"><f>AA93</f><v /></c><c r="AB94" s="299"><f>AB93</f><v /></c><c r="AC94" s="10"><f>LEFT(AB94,2)</f><v /></c><c r="AD94" s="10"><f>RIGHT(AB94,6)</f><v /></c><c r="AE94" s="10"><f>+(AC94*60+AD94)/(60*60)</f><v /></c><c r="AF94" s="13"><f>+AA94/AE94</f><v /></c><c r="AG94" s="303"><f>+(((Z94-Y94-AA94)/AA94)*100)</f><v /></c><c r="AH94" s="301"><f>AH93</f><v /></c><c r="AI94" s="301"><f>AI93</f><v /></c><c r="AJ94" s="301"><f>AJ93</f><v /></c><c r="AK94" s="52"><f>+Z94</f><v /></c><c r="AL94" s="52" t="n" /><c r="AM94" s="111"><f>AM93</f><v /></c><c r="AN94" s="299"><f>AN93</f><v /></c><c r="AO94" s="10"><f>LEFT(AN94,2)</f><v /></c><c r="AP94" s="10"><f>RIGHT(AN94,6)</f><v /></c><c r="AQ94" s="10"><f>+(AO94*60+AP94)/(60*60)</f><v /></c><c r="AR94" s="13"><f>+AM94/AQ94</f><v /></c><c r="AS94" s="303"><f>+(((AL94-AK94-AM94)/AM94)*100)</f><v /></c><c r="AT94" s="64"><f>IF(I94&gt;=1,"NO CONFORME",IF(BK94="SIGDIFERENTES",BC94,BL94))</f><v /></c><c r="AU94" s="21"><f>B94&lt;=C94</f><v /></c><c r="AV94" s="21"><f>N94&lt;Y94</f><v /></c><c r="AW94" s="21"><f>Z94&lt;=AK94</f><v /></c><c r="AX94" s="21"><f>IF(I94&gt;=1,"Qcorrecto",IF(AND(AY94="aceptable",AZ94="aceptable",BA94="aceptable"),"Qcorrecto","Qincorrecto"))</f><v /></c><c r="AY94" s="21"><f>IF(AR94&lt;$AH$6,"error",IF(AR94&gt;$AH$6*1.1,"error","aceptable"))</f><v /></c><c r="AZ94" s="21"><f>IF(AF94&lt;$V$6,"error",IF(AF94&gt;$V$6*1.1,"error","aceptable"))</f><v /></c><c r="BA94" s="21"><f>IF(T94&lt;$J$6*0.9,"error",IF(T94&gt;$J$6,"error","aceptable"))</f><v /></c><c r="BB94" s="65"><f>(IF(ABS(U94)&lt;1.05,"CONFORME",IF(ABS(AG94)&lt;1.05,"CONFORME",IF(ABS(AS94)&lt;2.55,"CONFORME","NO CONFORME"))))</f><v /></c><c r="BC94" s="62"><f>(IF(ABS(U94)&gt;2.05,"NO CONFORME",IF(ABS(AG94)&gt;2.05,"NO CONFORME",IF(ABS(AS94)&gt;5.05,"NO CONFORME","CONFORME"))))</f><v /></c><c r="BD94" s="64"><f>SIGN(U94)</f><v /></c><c r="BE94" s="64"><f>SIGN(AG94)</f><v /></c><c r="BF94" s="64"><f>SIGN(AS94)</f><v /></c><c r="BG94" s="64"><f>CONCATENATE(BD94,BE94,BF94)</f><v /></c><c r="BH94" s="64"><f>IF(BG94="111","SI","SD")</f><v /></c><c r="BI94" s="64"><f>IF(BG94="-1-1-1","SI","SD")</f><v /></c><c r="BJ94" s="64"><f>OR(BH94="SI",BI94="SI")</f><v /></c><c r="BK94" s="64"><f>IF(BJ94=FALSE,"SIGDIFERENTES","SIGIGUALES")</f><v /></c><c r="BL94" s="21"><f>IF(BC94="NO CONFORME","NO CONFORME",IF(BB94="CONFORME","CONFORME","NO CONFORME"))</f><v /></c><c r="BM94" s="66" t="n" /><c r="BN94" s="66" t="n" /></row><row r="95" ht="15" customHeight="1"><c r="A95" s="55" t="n"><v>87</v></c><c r="B95" s="304"><f>B94</f><v /></c><c r="C95" s="304"><f>C94</f><v /></c><c r="D95" s="94"><f>D94</f><v /></c><c r="E95" s="95"><f>E94</f><v /></c><c r="F95" s="96" t="n" /><c r="G95" s="305" t="n" /><c r="H95" s="98"><f>H94</f><v /></c><c r="I95" s="98" t="n" /><c r="J95" s="306"><f>J94</f><v /></c><c r="K95" s="306"><f>K94</f><v /></c><c r="L95" s="306"><f>L94</f><v /></c><c r="M95" s="100" t="n" /><c r="N95" s="100" t="n" /><c r="O95" s="101"><f>O94</f><v /></c><c r="P95" s="307"><f>P94</f><v /></c><c r="Q95" s="10"><f>LEFT(P95,1)</f><v /></c><c r="R95" s="10"><f>RIGHT(P95,6)</f><v /></c><c r="S95" s="10"><f>+(Q95*60+R95)/(60*60)</f><v /></c><c r="T95" s="13"><f>+O95/S95</f><v /></c><c r="U95" s="300"><f>+(((N95-M95-O95)/O95)*100)</f><v /></c><c r="V95" s="308"><f>V94</f><v /></c><c r="W95" s="309"><f>W94</f><v /></c><c r="X95" s="309"><f>X94</f><v /></c><c r="Y95" s="100" t="n" /><c r="Z95" s="100" t="n" /><c r="AA95" s="109"><f>AA94</f><v /></c><c r="AB95" s="307"><f>AB94</f><v /></c><c r="AC95" s="10"><f>LEFT(AB95,2)</f><v /></c><c r="AD95" s="10"><f>RIGHT(AB95,6)</f><v /></c><c r="AE95" s="10"><f>+(AC95*60+AD95)/(60*60)</f><v /></c><c r="AF95" s="13"><f>+AA95/AE95</f><v /></c><c r="AG95" s="303"><f>+(((Z95-Y95-AA95)/AA95)*100)</f><v /></c><c r="AH95" s="308"><f>AH94</f><v /></c><c r="AI95" s="308"><f>AI94</f><v /></c><c r="AJ95" s="308"><f>AJ94</f><v /></c><c r="AK95" s="100"><f>+Z95</f><v /></c><c r="AL95" s="100" t="n" /><c r="AM95" s="112"><f>AM94</f><v /></c><c r="AN95" s="307"><f>AN94</f><v /></c><c r="AO95" s="10"><f>LEFT(AN95,2)</f><v /></c><c r="AP95" s="10"><f>RIGHT(AN95,6)</f><v /></c><c r="AQ95" s="10"><f>+(AO95*60+AP95)/(60*60)</f><v /></c><c r="AR95" s="13"><f>+AM95/AQ95</f><v /></c><c r="AS95" s="303"><f>+(((AL95-AK95-AM95)/AM95)*100)</f><v /></c><c r="AT95" s="64"><f>IF(I95&gt;=1,"NO CONFORME",IF(BK95="SIGDIFERENTES",BC95,BL95))</f><v /></c><c r="AU95" s="21"><f>B95&lt;=C95</f><v /></c><c r="AV95" s="21"><f>N95&lt;Y95</f><v /></c><c r="AW95" s="21"><f>Z95&lt;=AK95</f><v /></c><c r="AX95" s="21"><f>IF(I95&gt;=1,"Qcorrecto",IF(AND(AY95="aceptable",AZ95="aceptable",BA95="aceptable"),"Qcorrecto","Qincorrecto"))</f><v /></c><c r="AY95" s="21"><f>IF(AR95&lt;$AH$6,"error",IF(AR95&gt;$AH$6*1.1,"error","aceptable"))</f><v /></c><c r="AZ95" s="21"><f>IF(AF95&lt;$V$6,"error",IF(AF95&gt;$V$6*1.1,"error","aceptable"))</f><v /></c><c r="BA95" s="21"><f>IF(T95&lt;$J$6*0.9,"error",IF(T95&gt;$J$6,"error","aceptable"))</f><v /></c><c r="BB95" s="65"><f>(IF(ABS(U95)&lt;1.05,"CONFORME",IF(ABS(AG95)&lt;1.05,"CONFORME",IF(ABS(AS95)&lt;2.55,"CONFORME","NO CONFORME"))))</f><v /></c><c r="BC95" s="62"><f>(IF(ABS(U95)&gt;2.05,"NO CONFORME",IF(ABS(AG95)&gt;2.05,"NO CONFORME",IF(ABS(AS95)&gt;5.05,"NO CONFORME","CONFORME"))))</f><v /></c><c r="BD95" s="64"><f>SIGN(U95)</f><v /></c><c r="BE95" s="64"><f>SIGN(AG95)</f><v /></c><c r="BF95" s="64"><f>SIGN(AS95)</f><v /></c><c r="BG95" s="64"><f>CONCATENATE(BD95,BE95,BF95)</f><v /></c><c r="BH95" s="64"><f>IF(BG95="111","SI","SD")</f><v /></c><c r="BI95" s="64"><f>IF(BG95="-1-1-1","SI","SD")</f><v /></c><c r="BJ95" s="64"><f>OR(BH95="SI",BI95="SI")</f><v /></c><c r="BK95" s="64"><f>IF(BJ95=FALSE,"SIGDIFERENTES","SIGIGUALES")</f><v /></c><c r="BL95" s="21"><f>IF(BC95="NO CONFORME","NO CONFORME",IF(BB95="CONFORME","CONFORME","NO CONFORME"))</f><v /></c><c r="BM95" s="66" t="n" /><c r="BN95" s="66" t="n" /></row><row r="96" ht="15.75" customHeight="1" thickBot="1"><c r="A96" s="9" t="n"><v>88</v></c><c r="B96" s="296"><f>B95</f><v /></c><c r="C96" s="296"><f>C95</f><v /></c><c r="D96" s="11"><f>D95</f><v /></c><c r="E96" s="9"><f>E95</f><v /></c><c r="F96" s="12" t="n" /><c r="G96" s="297" t="n" /><c r="H96" s="90"><f>H95</f><v /></c><c r="I96" s="90" t="n" /><c r="J96" s="298"><f>J95</f><v /></c><c r="K96" s="298"><f>K95</f><v /></c><c r="L96" s="298"><f>L95</f><v /></c><c r="M96" s="52" t="n" /><c r="N96" s="52" t="n" /><c r="O96" s="30"><f>O95</f><v /></c><c r="P96" s="299"><f>P95</f><v /></c><c r="Q96" s="10"><f>LEFT(P96,1)</f><v /></c><c r="R96" s="10"><f>RIGHT(P96,6)</f><v /></c><c r="S96" s="10"><f>+(Q96*60+R96)/(60*60)</f><v /></c><c r="T96" s="13"><f>+O96/S96</f><v /></c><c r="U96" s="300"><f>+(((N96-M96-O96)/O96)*100)</f><v /></c><c r="V96" s="301"><f>V95</f><v /></c><c r="W96" s="302"><f>W95</f><v /></c><c r="X96" s="302"><f>X95</f><v /></c><c r="Y96" s="52" t="n" /><c r="Z96" s="52" t="n" /><c r="AA96" s="106"><f>AA95</f><v /></c><c r="AB96" s="299"><f>AB95</f><v /></c><c r="AC96" s="10"><f>LEFT(AB96,2)</f><v /></c><c r="AD96" s="10"><f>RIGHT(AB96,6)</f><v /></c><c r="AE96" s="10"><f>+(AC96*60+AD96)/(60*60)</f><v /></c><c r="AF96" s="13"><f>+AA96/AE96</f><v /></c><c r="AG96" s="303"><f>+(((Z96-Y96-AA96)/AA96)*100)</f><v /></c><c r="AH96" s="301"><f>AH95</f><v /></c><c r="AI96" s="301"><f>AI95</f><v /></c><c r="AJ96" s="301"><f>AJ95</f><v /></c><c r="AK96" s="52"><f>+Z96</f><v /></c><c r="AL96" s="52" t="n" /><c r="AM96" s="111"><f>AM95</f><v /></c><c r="AN96" s="299"><f>AN95</f><v /></c><c r="AO96" s="10"><f>LEFT(AN96,2)</f><v /></c><c r="AP96" s="10"><f>RIGHT(AN96,6)</f><v /></c><c r="AQ96" s="10"><f>+(AO96*60+AP96)/(60*60)</f><v /></c><c r="AR96" s="13"><f>+AM96/AQ96</f><v /></c><c r="AS96" s="303"><f>+(((AL96-AK96-AM96)/AM96)*100)</f><v /></c><c r="AT96" s="64"><f>IF(I96&gt;=1,"NO CONFORME",IF(BK96="SIGDIFERENTES",BC96,BL96))</f><v /></c><c r="AU96" s="21"><f>B96&lt;=C96</f><v /></c><c r="AV96" s="21"><f>N96&lt;Y96</f><v /></c><c r="AW96" s="21"><f>Z96&lt;=AK96</f><v /></c><c r="AX96" s="21"><f>IF(I96&gt;=1,"Qcorrecto",IF(AND(AY96="aceptable",AZ96="aceptable",BA96="aceptable"),"Qcorrecto","Qincorrecto"))</f><v /></c><c r="AY96" s="21"><f>IF(AR96&lt;$AH$6,"error",IF(AR96&gt;$AH$6*1.1,"error","aceptable"))</f><v /></c><c r="AZ96" s="21"><f>IF(AF96&lt;$V$6,"error",IF(AF96&gt;$V$6*1.1,"error","aceptable"))</f><v /></c><c r="BA96" s="21"><f>IF(T96&lt;$J$6*0.9,"error",IF(T96&gt;$J$6,"error","aceptable"))</f><v /></c><c r="BB96" s="65"><f>(IF(ABS(U96)&lt;1.05,"CONFORME",IF(ABS(AG96)&lt;1.05,"CONFORME",IF(ABS(AS96)&lt;2.55,"CONFORME","NO CONFORME"))))</f><v /></c><c r="BC96" s="62"><f>(IF(ABS(U96)&gt;2.05,"NO CONFORME",IF(ABS(AG96)&gt;2.05,"NO CONFORME",IF(ABS(AS96)&gt;5.05,"NO CONFORME","CONFORME"))))</f><v /></c><c r="BD96" s="64"><f>SIGN(U96)</f><v /></c><c r="BE96" s="64"><f>SIGN(AG96)</f><v /></c><c r="BF96" s="64"><f>SIGN(AS96)</f><v /></c><c r="BG96" s="64"><f>CONCATENATE(BD96,BE96,BF96)</f><v /></c><c r="BH96" s="64"><f>IF(BG96="111","SI","SD")</f><v /></c><c r="BI96" s="64"><f>IF(BG96="-1-1-1","SI","SD")</f><v /></c><c r="BJ96" s="64"><f>OR(BH96="SI",BI96="SI")</f><v /></c><c r="BK96" s="64"><f>IF(BJ96=FALSE,"SIGDIFERENTES","SIGIGUALES")</f><v /></c><c r="BL96" s="21"><f>IF(BC96="NO CONFORME","NO CONFORME",IF(BB96="CONFORME","CONFORME","NO CONFORME"))</f><v /></c><c r="BM96" s="66" t="n" /><c r="BN96" s="66" t="n" /></row><row r="97" ht="15" customHeight="1"><c r="A97" s="55" t="n"><v>89</v></c><c r="B97" s="304"><f>B96</f><v /></c><c r="C97" s="304"><f>C96</f><v /></c><c r="D97" s="94"><f>D96</f><v /></c><c r="E97" s="95"><f>E96</f><v /></c><c r="F97" s="96" t="n" /><c r="G97" s="305" t="n" /><c r="H97" s="98"><f>H96</f><v /></c><c r="I97" s="98" t="n" /><c r="J97" s="306"><f>J96</f><v /></c><c r="K97" s="306"><f>K96</f><v /></c><c r="L97" s="306"><f>L96</f><v /></c><c r="M97" s="100" t="n" /><c r="N97" s="100" t="n" /><c r="O97" s="101"><f>O96</f><v /></c><c r="P97" s="307"><f>P96</f><v /></c><c r="Q97" s="10"><f>LEFT(P97,1)</f><v /></c><c r="R97" s="10"><f>RIGHT(P97,6)</f><v /></c><c r="S97" s="10"><f>+(Q97*60+R97)/(60*60)</f><v /></c><c r="T97" s="13"><f>+O97/S97</f><v /></c><c r="U97" s="300"><f>+(((N97-M97-O97)/O97)*100)</f><v /></c><c r="V97" s="308"><f>V96</f><v /></c><c r="W97" s="309"><f>W96</f><v /></c><c r="X97" s="309"><f>X96</f><v /></c><c r="Y97" s="100" t="n" /><c r="Z97" s="100" t="n" /><c r="AA97" s="109"><f>AA96</f><v /></c><c r="AB97" s="307"><f>AB96</f><v /></c><c r="AC97" s="10"><f>LEFT(AB97,2)</f><v /></c><c r="AD97" s="10"><f>RIGHT(AB97,6)</f><v /></c><c r="AE97" s="10"><f>+(AC97*60+AD97)/(60*60)</f><v /></c><c r="AF97" s="13"><f>+AA97/AE97</f><v /></c><c r="AG97" s="303"><f>+(((Z97-Y97-AA97)/AA97)*100)</f><v /></c><c r="AH97" s="308"><f>AH96</f><v /></c><c r="AI97" s="308"><f>AI96</f><v /></c><c r="AJ97" s="308"><f>AJ96</f><v /></c><c r="AK97" s="100"><f>+Z97</f><v /></c><c r="AL97" s="100" t="n" /><c r="AM97" s="112"><f>AM96</f><v /></c><c r="AN97" s="307"><f>AN96</f><v /></c><c r="AO97" s="10"><f>LEFT(AN97,2)</f><v /></c><c r="AP97" s="10"><f>RIGHT(AN97,6)</f><v /></c><c r="AQ97" s="10"><f>+(AO97*60+AP97)/(60*60)</f><v /></c><c r="AR97" s="13"><f>+AM97/AQ97</f><v /></c><c r="AS97" s="303"><f>+(((AL97-AK97-AM97)/AM97)*100)</f><v /></c><c r="AT97" s="64"><f>IF(I97&gt;=1,"NO CONFORME",IF(BK97="SIGDIFERENTES",BC97,BL97))</f><v /></c><c r="AU97" s="21"><f>B97&lt;=C97</f><v /></c><c r="AV97" s="21"><f>N97&lt;Y97</f><v /></c><c r="AW97" s="21"><f>Z97&lt;=AK97</f><v /></c><c r="AX97" s="21"><f>IF(I97&gt;=1,"Qcorrecto",IF(AND(AY97="aceptable",AZ97="aceptable",BA97="aceptable"),"Qcorrecto","Qincorrecto"))</f><v /></c><c r="AY97" s="21"><f>IF(AR97&lt;$AH$6,"error",IF(AR97&gt;$AH$6*1.1,"error","aceptable"))</f><v /></c><c r="AZ97" s="21"><f>IF(AF97&lt;$V$6,"error",IF(AF97&gt;$V$6*1.1,"error","aceptable"))</f><v /></c><c r="BA97" s="21"><f>IF(T97&lt;$J$6*0.9,"error",IF(T97&gt;$J$6,"error","aceptable"))</f><v /></c><c r="BB97" s="65"><f>(IF(ABS(U97)&lt;1.05,"CONFORME",IF(ABS(AG97)&lt;1.05,"CONFORME",IF(ABS(AS97)&lt;2.55,"CONFORME","NO CONFORME"))))</f><v /></c><c r="BC97" s="62"><f>(IF(ABS(U97)&gt;2.05,"NO CONFORME",IF(ABS(AG97)&gt;2.05,"NO CONFORME",IF(ABS(AS97)&gt;5.05,"NO CONFORME","CONFORME"))))</f><v /></c><c r="BD97" s="64"><f>SIGN(U97)</f><v /></c><c r="BE97" s="64"><f>SIGN(AG97)</f><v /></c><c r="BF97" s="64"><f>SIGN(AS97)</f><v /></c><c r="BG97" s="64"><f>CONCATENATE(BD97,BE97,BF97)</f><v /></c><c r="BH97" s="64"><f>IF(BG97="111","SI","SD")</f><v /></c><c r="BI97" s="64"><f>IF(BG97="-1-1-1","SI","SD")</f><v /></c><c r="BJ97" s="64"><f>OR(BH97="SI",BI97="SI")</f><v /></c><c r="BK97" s="64"><f>IF(BJ97=FALSE,"SIGDIFERENTES","SIGIGUALES")</f><v /></c><c r="BL97" s="21"><f>IF(BC97="NO CONFORME","NO CONFORME",IF(BB97="CONFORME","CONFORME","NO CONFORME"))</f><v /></c><c r="BM97" s="66" t="n" /><c r="BN97" s="66" t="n" /></row><row r="98" ht="15.75" customHeight="1" thickBot="1"><c r="A98" s="9" t="n"><v>90</v></c><c r="B98" s="296"><f>B97</f><v /></c><c r="C98" s="296"><f>C97</f><v /></c><c r="D98" s="11"><f>D97</f><v /></c><c r="E98" s="9"><f>E97</f><v /></c><c r="F98" s="12" t="n" /><c r="G98" s="297" t="n" /><c r="H98" s="90"><f>H97</f><v /></c><c r="I98" s="90" t="n" /><c r="J98" s="298"><f>J97</f><v /></c><c r="K98" s="298"><f>K97</f><v /></c><c r="L98" s="298"><f>L97</f><v /></c><c r="M98" s="52" t="n" /><c r="N98" s="52" t="n" /><c r="O98" s="30"><f>O97</f><v /></c><c r="P98" s="299"><f>P97</f><v /></c><c r="Q98" s="10"><f>LEFT(P98,1)</f><v /></c><c r="R98" s="10"><f>RIGHT(P98,6)</f><v /></c><c r="S98" s="10"><f>+(Q98*60+R98)/(60*60)</f><v /></c><c r="T98" s="13"><f>+O98/S98</f><v /></c><c r="U98" s="300"><f>+(((N98-M98-O98)/O98)*100)</f><v /></c><c r="V98" s="301"><f>V97</f><v /></c><c r="W98" s="302"><f>W97</f><v /></c><c r="X98" s="302"><f>X97</f><v /></c><c r="Y98" s="52" t="n" /><c r="Z98" s="52" t="n" /><c r="AA98" s="106"><f>AA97</f><v /></c><c r="AB98" s="299"><f>AB97</f><v /></c><c r="AC98" s="10"><f>LEFT(AB98,2)</f><v /></c><c r="AD98" s="10"><f>RIGHT(AB98,6)</f><v /></c><c r="AE98" s="10"><f>+(AC98*60+AD98)/(60*60)</f><v /></c><c r="AF98" s="13"><f>+AA98/AE98</f><v /></c><c r="AG98" s="303"><f>+(((Z98-Y98-AA98)/AA98)*100)</f><v /></c><c r="AH98" s="301"><f>AH97</f><v /></c><c r="AI98" s="301"><f>AI97</f><v /></c><c r="AJ98" s="301"><f>AJ97</f><v /></c><c r="AK98" s="52"><f>+Z98</f><v /></c><c r="AL98" s="52" t="n" /><c r="AM98" s="111"><f>AM97</f><v /></c><c r="AN98" s="299"><f>AN97</f><v /></c><c r="AO98" s="10"><f>LEFT(AN98,2)</f><v /></c><c r="AP98" s="10"><f>RIGHT(AN98,6)</f><v /></c><c r="AQ98" s="10"><f>+(AO98*60+AP98)/(60*60)</f><v /></c><c r="AR98" s="13"><f>+AM98/AQ98</f><v /></c><c r="AS98" s="303"><f>+(((AL98-AK98-AM98)/AM98)*100)</f><v /></c><c r="AT98" s="64"><f>IF(I98&gt;=1,"NO CONFORME",IF(BK98="SIGDIFERENTES",BC98,BL98))</f><v /></c><c r="AU98" s="21"><f>B98&lt;=C98</f><v /></c><c r="AV98" s="21"><f>N98&lt;Y98</f><v /></c><c r="AW98" s="21"><f>Z98&lt;=AK98</f><v /></c><c r="AX98" s="21"><f>IF(I98&gt;=1,"Qcorrecto",IF(AND(AY98="aceptable",AZ98="aceptable",BA98="aceptable"),"Qcorrecto","Qincorrecto"))</f><v /></c><c r="AY98" s="21"><f>IF(AR98&lt;$AH$6,"error",IF(AR98&gt;$AH$6*1.1,"error","aceptable"))</f><v /></c><c r="AZ98" s="21"><f>IF(AF98&lt;$V$6,"error",IF(AF98&gt;$V$6*1.1,"error","aceptable"))</f><v /></c><c r="BA98" s="21"><f>IF(T98&lt;$J$6*0.9,"error",IF(T98&gt;$J$6,"error","aceptable"))</f><v /></c><c r="BB98" s="65"><f>(IF(ABS(U98)&lt;1.05,"CONFORME",IF(ABS(AG98)&lt;1.05,"CONFORME",IF(ABS(AS98)&lt;2.55,"CONFORME","NO CONFORME"))))</f><v /></c><c r="BC98" s="62"><f>(IF(ABS(U98)&gt;2.05,"NO CONFORME",IF(ABS(AG98)&gt;2.05,"NO CONFORME",IF(ABS(AS98)&gt;5.05,"NO CONFORME","CONFORME"))))</f><v /></c><c r="BD98" s="64"><f>SIGN(U98)</f><v /></c><c r="BE98" s="64"><f>SIGN(AG98)</f><v /></c><c r="BF98" s="64"><f>SIGN(AS98)</f><v /></c><c r="BG98" s="64"><f>CONCATENATE(BD98,BE98,BF98)</f><v /></c><c r="BH98" s="64"><f>IF(BG98="111","SI","SD")</f><v /></c><c r="BI98" s="64"><f>IF(BG98="-1-1-1","SI","SD")</f><v /></c><c r="BJ98" s="64"><f>OR(BH98="SI",BI98="SI")</f><v /></c><c r="BK98" s="64"><f>IF(BJ98=FALSE,"SIGDIFERENTES","SIGIGUALES")</f><v /></c><c r="BL98" s="21"><f>IF(BC98="NO CONFORME","NO CONFORME",IF(BB98="CONFORME","CONFORME","NO CONFORME"))</f><v /></c><c r="BM98" s="66" t="n" /><c r="BN98" s="66" t="n" /></row><row r="99" ht="15" customHeight="1"><c r="A99" s="55" t="n"><v>91</v></c><c r="B99" s="304"><f>B98</f><v /></c><c r="C99" s="304"><f>C98</f><v /></c><c r="D99" s="94"><f>D98</f><v /></c><c r="E99" s="95"><f>E98</f><v /></c><c r="F99" s="96" t="n" /><c r="G99" s="305" t="n" /><c r="H99" s="98"><f>H98</f><v /></c><c r="I99" s="98" t="n" /><c r="J99" s="306"><f>J98</f><v /></c><c r="K99" s="306"><f>K98</f><v /></c><c r="L99" s="306"><f>L98</f><v /></c><c r="M99" s="100" t="n" /><c r="N99" s="100" t="n" /><c r="O99" s="101"><f>O98</f><v /></c><c r="P99" s="307"><f>P98</f><v /></c><c r="Q99" s="10"><f>LEFT(P99,1)</f><v /></c><c r="R99" s="10"><f>RIGHT(P99,6)</f><v /></c><c r="S99" s="10"><f>+(Q99*60+R99)/(60*60)</f><v /></c><c r="T99" s="13"><f>+O99/S99</f><v /></c><c r="U99" s="300"><f>+(((N99-M99-O99)/O99)*100)</f><v /></c><c r="V99" s="308"><f>V98</f><v /></c><c r="W99" s="309"><f>W98</f><v /></c><c r="X99" s="309"><f>X98</f><v /></c><c r="Y99" s="100" t="n" /><c r="Z99" s="100" t="n" /><c r="AA99" s="109"><f>AA98</f><v /></c><c r="AB99" s="307"><f>AB98</f><v /></c><c r="AC99" s="10"><f>LEFT(AB99,2)</f><v /></c><c r="AD99" s="10"><f>RIGHT(AB99,6)</f><v /></c><c r="AE99" s="10"><f>+(AC99*60+AD99)/(60*60)</f><v /></c><c r="AF99" s="13"><f>+AA99/AE99</f><v /></c><c r="AG99" s="303"><f>+(((Z99-Y99-AA99)/AA99)*100)</f><v /></c><c r="AH99" s="308"><f>AH98</f><v /></c><c r="AI99" s="308"><f>AI98</f><v /></c><c r="AJ99" s="308"><f>AJ98</f><v /></c><c r="AK99" s="100"><f>+Z99</f><v /></c><c r="AL99" s="100" t="n" /><c r="AM99" s="112"><f>AM98</f><v /></c><c r="AN99" s="307"><f>AN98</f><v /></c><c r="AO99" s="10"><f>LEFT(AN99,2)</f><v /></c><c r="AP99" s="10"><f>RIGHT(AN99,6)</f><v /></c><c r="AQ99" s="10"><f>+(AO99*60+AP99)/(60*60)</f><v /></c><c r="AR99" s="13"><f>+AM99/AQ99</f><v /></c><c r="AS99" s="303"><f>+(((AL99-AK99-AM99)/AM99)*100)</f><v /></c><c r="AT99" s="64"><f>IF(I99&gt;=1,"NO CONFORME",IF(BK99="SIGDIFERENTES",BC99,BL99))</f><v /></c><c r="AU99" s="21"><f>B99&lt;=C99</f><v /></c><c r="AV99" s="21"><f>N99&lt;Y99</f><v /></c><c r="AW99" s="21"><f>Z99&lt;=AK99</f><v /></c><c r="AX99" s="21"><f>IF(I99&gt;=1,"Qcorrecto",IF(AND(AY99="aceptable",AZ99="aceptable",BA99="aceptable"),"Qcorrecto","Qincorrecto"))</f><v /></c><c r="AY99" s="21"><f>IF(AR99&lt;$AH$6,"error",IF(AR99&gt;$AH$6*1.1,"error","aceptable"))</f><v /></c><c r="AZ99" s="21"><f>IF(AF99&lt;$V$6,"error",IF(AF99&gt;$V$6*1.1,"error","aceptable"))</f><v /></c><c r="BA99" s="21"><f>IF(T99&lt;$J$6*0.9,"error",IF(T99&gt;$J$6,"error","aceptable"))</f><v /></c><c r="BB99" s="65"><f>(IF(ABS(U99)&lt;1.05,"CONFORME",IF(ABS(AG99)&lt;1.05,"CONFORME",IF(ABS(AS99)&lt;2.55,"CONFORME","NO CONFORME"))))</f><v /></c><c r="BC99" s="62"><f>(IF(ABS(U99)&gt;2.05,"NO CONFORME",IF(ABS(AG99)&gt;2.05,"NO CONFORME",IF(ABS(AS99)&gt;5.05,"NO CONFORME","CONFORME"))))</f><v /></c><c r="BD99" s="64"><f>SIGN(U99)</f><v /></c><c r="BE99" s="64"><f>SIGN(AG99)</f><v /></c><c r="BF99" s="64"><f>SIGN(AS99)</f><v /></c><c r="BG99" s="64"><f>CONCATENATE(BD99,BE99,BF99)</f><v /></c><c r="BH99" s="64"><f>IF(BG99="111","SI","SD")</f><v /></c><c r="BI99" s="64"><f>IF(BG99="-1-1-1","SI","SD")</f><v /></c><c r="BJ99" s="64"><f>OR(BH99="SI",BI99="SI")</f><v /></c><c r="BK99" s="64"><f>IF(BJ99=FALSE,"SIGDIFERENTES","SIGIGUALES")</f><v /></c><c r="BL99" s="21"><f>IF(BC99="NO CONFORME","NO CONFORME",IF(BB99="CONFORME","CONFORME","NO CONFORME"))</f><v /></c><c r="BM99" s="66" t="n" /><c r="BN99" s="66" t="n" /></row><row r="100" ht="15.75" customHeight="1" thickBot="1"><c r="A100" s="9" t="n"><v>92</v></c><c r="B100" s="296"><f>B99</f><v /></c><c r="C100" s="296"><f>C99</f><v /></c><c r="D100" s="11"><f>D99</f><v /></c><c r="E100" s="9"><f>E99</f><v /></c><c r="F100" s="12" t="n" /><c r="G100" s="297" t="n" /><c r="H100" s="90"><f>H99</f><v /></c><c r="I100" s="90" t="n" /><c r="J100" s="298"><f>J99</f><v /></c><c r="K100" s="298"><f>K99</f><v /></c><c r="L100" s="298"><f>L99</f><v /></c><c r="M100" s="52" t="n" /><c r="N100" s="52" t="n" /><c r="O100" s="30"><f>O99</f><v /></c><c r="P100" s="299"><f>P99</f><v /></c><c r="Q100" s="10"><f>LEFT(P100,1)</f><v /></c><c r="R100" s="10"><f>RIGHT(P100,6)</f><v /></c><c r="S100" s="10"><f>+(Q100*60+R100)/(60*60)</f><v /></c><c r="T100" s="13"><f>+O100/S100</f><v /></c><c r="U100" s="300"><f>+(((N100-M100-O100)/O100)*100)</f><v /></c><c r="V100" s="301"><f>V99</f><v /></c><c r="W100" s="302"><f>W99</f><v /></c><c r="X100" s="302"><f>X99</f><v /></c><c r="Y100" s="52" t="n" /><c r="Z100" s="52" t="n" /><c r="AA100" s="106"><f>AA99</f><v /></c><c r="AB100" s="299"><f>AB99</f><v /></c><c r="AC100" s="10"><f>LEFT(AB100,2)</f><v /></c><c r="AD100" s="10"><f>RIGHT(AB100,6)</f><v /></c><c r="AE100" s="10"><f>+(AC100*60+AD100)/(60*60)</f><v /></c><c r="AF100" s="13"><f>+AA100/AE100</f><v /></c><c r="AG100" s="303"><f>+(((Z100-Y100-AA100)/AA100)*100)</f><v /></c><c r="AH100" s="301"><f>AH99</f><v /></c><c r="AI100" s="301"><f>AI99</f><v /></c><c r="AJ100" s="301"><f>AJ99</f><v /></c><c r="AK100" s="52"><f>+Z100</f><v /></c><c r="AL100" s="52" t="n" /><c r="AM100" s="111"><f>AM99</f><v /></c><c r="AN100" s="299"><f>AN99</f><v /></c><c r="AO100" s="10"><f>LEFT(AN100,2)</f><v /></c><c r="AP100" s="10"><f>RIGHT(AN100,6)</f><v /></c><c r="AQ100" s="10"><f>+(AO100*60+AP100)/(60*60)</f><v /></c><c r="AR100" s="13"><f>+AM100/AQ100</f><v /></c><c r="AS100" s="303"><f>+(((AL100-AK100-AM100)/AM100)*100)</f><v /></c><c r="AT100" s="64"><f>IF(I100&gt;=1,"NO CONFORME",IF(BK100="SIGDIFERENTES",BC100,BL100))</f><v /></c><c r="AU100" s="21"><f>B100&lt;=C100</f><v /></c><c r="AV100" s="21"><f>N100&lt;Y100</f><v /></c><c r="AW100" s="21"><f>Z100&lt;=AK100</f><v /></c><c r="AX100" s="21"><f>IF(I100&gt;=1,"Qcorrecto",IF(AND(AY100="aceptable",AZ100="aceptable",BA100="aceptable"),"Qcorrecto","Qincorrecto"))</f><v /></c><c r="AY100" s="21"><f>IF(AR100&lt;$AH$6,"error",IF(AR100&gt;$AH$6*1.1,"error","aceptable"))</f><v /></c><c r="AZ100" s="21"><f>IF(AF100&lt;$V$6,"error",IF(AF100&gt;$V$6*1.1,"error","aceptable"))</f><v /></c><c r="BA100" s="21"><f>IF(T100&lt;$J$6*0.9,"error",IF(T100&gt;$J$6,"error","aceptable"))</f><v /></c><c r="BB100" s="65"><f>(IF(ABS(U100)&lt;1.05,"CONFORME",IF(ABS(AG100)&lt;1.05,"CONFORME",IF(ABS(AS100)&lt;2.55,"CONFORME","NO CONFORME"))))</f><v /></c><c r="BC100" s="62"><f>(IF(ABS(U100)&gt;2.05,"NO CONFORME",IF(ABS(AG100)&gt;2.05,"NO CONFORME",IF(ABS(AS100)&gt;5.05,"NO CONFORME","CONFORME"))))</f><v /></c><c r="BD100" s="64"><f>SIGN(U100)</f><v /></c><c r="BE100" s="64"><f>SIGN(AG100)</f><v /></c><c r="BF100" s="64"><f>SIGN(AS100)</f><v /></c><c r="BG100" s="64"><f>CONCATENATE(BD100,BE100,BF100)</f><v /></c><c r="BH100" s="64"><f>IF(BG100="111","SI","SD")</f><v /></c><c r="BI100" s="64"><f>IF(BG100="-1-1-1","SI","SD")</f><v /></c><c r="BJ100" s="64"><f>OR(BH100="SI",BI100="SI")</f><v /></c><c r="BK100" s="64"><f>IF(BJ100=FALSE,"SIGDIFERENTES","SIGIGUALES")</f><v /></c><c r="BL100" s="21"><f>IF(BC100="NO CONFORME","NO CONFORME",IF(BB100="CONFORME","CONFORME","NO CONFORME"))</f><v /></c><c r="BM100" s="66" t="n" /><c r="BN100" s="66" t="n" /></row><row r="101" ht="15" customHeight="1"><c r="A101" s="55" t="n"><v>93</v></c><c r="B101" s="304"><f>B100</f><v /></c><c r="C101" s="304"><f>C100</f><v /></c><c r="D101" s="94"><f>D100</f><v /></c><c r="E101" s="95"><f>E100</f><v /></c><c r="F101" s="96" t="n" /><c r="G101" s="305" t="n" /><c r="H101" s="98"><f>H100</f><v /></c><c r="I101" s="98" t="n" /><c r="J101" s="306"><f>J100</f><v /></c><c r="K101" s="306"><f>K100</f><v /></c><c r="L101" s="306"><f>L100</f><v /></c><c r="M101" s="100" t="n" /><c r="N101" s="100" t="n" /><c r="O101" s="101"><f>O100</f><v /></c><c r="P101" s="307"><f>P100</f><v /></c><c r="Q101" s="10"><f>LEFT(P101,1)</f><v /></c><c r="R101" s="10"><f>RIGHT(P101,6)</f><v /></c><c r="S101" s="10"><f>+(Q101*60+R101)/(60*60)</f><v /></c><c r="T101" s="13"><f>+O101/S101</f><v /></c><c r="U101" s="300"><f>+(((N101-M101-O101)/O101)*100)</f><v /></c><c r="V101" s="308"><f>V100</f><v /></c><c r="W101" s="309"><f>W100</f><v /></c><c r="X101" s="309"><f>X100</f><v /></c><c r="Y101" s="100" t="n" /><c r="Z101" s="100" t="n" /><c r="AA101" s="109"><f>AA100</f><v /></c><c r="AB101" s="307"><f>AB100</f><v /></c><c r="AC101" s="10"><f>LEFT(AB101,2)</f><v /></c><c r="AD101" s="10"><f>RIGHT(AB101,6)</f><v /></c><c r="AE101" s="10"><f>+(AC101*60+AD101)/(60*60)</f><v /></c><c r="AF101" s="13"><f>+AA101/AE101</f><v /></c><c r="AG101" s="303"><f>+(((Z101-Y101-AA101)/AA101)*100)</f><v /></c><c r="AH101" s="308"><f>AH100</f><v /></c><c r="AI101" s="308"><f>AI100</f><v /></c><c r="AJ101" s="308"><f>AJ100</f><v /></c><c r="AK101" s="100"><f>+Z101</f><v /></c><c r="AL101" s="100" t="n" /><c r="AM101" s="112"><f>AM100</f><v /></c><c r="AN101" s="307"><f>AN100</f><v /></c><c r="AO101" s="10"><f>LEFT(AN101,2)</f><v /></c><c r="AP101" s="10"><f>RIGHT(AN101,6)</f><v /></c><c r="AQ101" s="10"><f>+(AO101*60+AP101)/(60*60)</f><v /></c><c r="AR101" s="13"><f>+AM101/AQ101</f><v /></c><c r="AS101" s="303"><f>+(((AL101-AK101-AM101)/AM101)*100)</f><v /></c><c r="AT101" s="64"><f>IF(I101&gt;=1,"NO CONFORME",IF(BK101="SIGDIFERENTES",BC101,BL101))</f><v /></c><c r="AU101" s="21"><f>B101&lt;=C101</f><v /></c><c r="AV101" s="21"><f>N101&lt;Y101</f><v /></c><c r="AW101" s="21"><f>Z101&lt;=AK101</f><v /></c><c r="AX101" s="21"><f>IF(I101&gt;=1,"Qcorrecto",IF(AND(AY101="aceptable",AZ101="aceptable",BA101="aceptable"),"Qcorrecto","Qincorrecto"))</f><v /></c><c r="AY101" s="21"><f>IF(AR101&lt;$AH$6,"error",IF(AR101&gt;$AH$6*1.1,"error","aceptable"))</f><v /></c><c r="AZ101" s="21"><f>IF(AF101&lt;$V$6,"error",IF(AF101&gt;$V$6*1.1,"error","aceptable"))</f><v /></c><c r="BA101" s="21"><f>IF(T101&lt;$J$6*0.9,"error",IF(T101&gt;$J$6,"error","aceptable"))</f><v /></c><c r="BB101" s="65"><f>(IF(ABS(U101)&lt;1.05,"CONFORME",IF(ABS(AG101)&lt;1.05,"CONFORME",IF(ABS(AS101)&lt;2.55,"CONFORME","NO CONFORME"))))</f><v /></c><c r="BC101" s="62"><f>(IF(ABS(U101)&gt;2.05,"NO CONFORME",IF(ABS(AG101)&gt;2.05,"NO CONFORME",IF(ABS(AS101)&gt;5.05,"NO CONFORME","CONFORME"))))</f><v /></c><c r="BD101" s="64"><f>SIGN(U101)</f><v /></c><c r="BE101" s="64"><f>SIGN(AG101)</f><v /></c><c r="BF101" s="64"><f>SIGN(AS101)</f><v /></c><c r="BG101" s="64"><f>CONCATENATE(BD101,BE101,BF101)</f><v /></c><c r="BH101" s="64"><f>IF(BG101="111","SI","SD")</f><v /></c><c r="BI101" s="64"><f>IF(BG101="-1-1-1","SI","SD")</f><v /></c><c r="BJ101" s="64"><f>OR(BH101="SI",BI101="SI")</f><v /></c><c r="BK101" s="64"><f>IF(BJ101=FALSE,"SIGDIFERENTES","SIGIGUALES")</f><v /></c><c r="BL101" s="21"><f>IF(BC101="NO CONFORME","NO CONFORME",IF(BB101="CONFORME","CONFORME","NO CONFORME"))</f><v /></c><c r="BM101" s="66" t="n" /><c r="BN101" s="66" t="n" /></row><row r="102" ht="15.75" customHeight="1" thickBot="1"><c r="A102" s="9" t="n"><v>94</v></c><c r="B102" s="296"><f>B101</f><v /></c><c r="C102" s="296"><f>C101</f><v /></c><c r="D102" s="11"><f>D101</f><v /></c><c r="E102" s="9"><f>E101</f><v /></c><c r="F102" s="12" t="n" /><c r="G102" s="297" t="n" /><c r="H102" s="90"><f>H101</f><v /></c><c r="I102" s="90" t="n" /><c r="J102" s="298"><f>J101</f><v /></c><c r="K102" s="298"><f>K101</f><v /></c><c r="L102" s="298"><f>L101</f><v /></c><c r="M102" s="52" t="n" /><c r="N102" s="52" t="n" /><c r="O102" s="30"><f>O101</f><v /></c><c r="P102" s="299"><f>P101</f><v /></c><c r="Q102" s="10"><f>LEFT(P102,1)</f><v /></c><c r="R102" s="10"><f>RIGHT(P102,6)</f><v /></c><c r="S102" s="10"><f>+(Q102*60+R102)/(60*60)</f><v /></c><c r="T102" s="13"><f>+O102/S102</f><v /></c><c r="U102" s="300"><f>+(((N102-M102-O102)/O102)*100)</f><v /></c><c r="V102" s="301"><f>V101</f><v /></c><c r="W102" s="302"><f>W101</f><v /></c><c r="X102" s="302"><f>X101</f><v /></c><c r="Y102" s="52" t="n" /><c r="Z102" s="52" t="n" /><c r="AA102" s="106"><f>AA101</f><v /></c><c r="AB102" s="299"><f>AB101</f><v /></c><c r="AC102" s="10"><f>LEFT(AB102,2)</f><v /></c><c r="AD102" s="10"><f>RIGHT(AB102,6)</f><v /></c><c r="AE102" s="10"><f>+(AC102*60+AD102)/(60*60)</f><v /></c><c r="AF102" s="13"><f>+AA102/AE102</f><v /></c><c r="AG102" s="303"><f>+(((Z102-Y102-AA102)/AA102)*100)</f><v /></c><c r="AH102" s="301"><f>AH101</f><v /></c><c r="AI102" s="301"><f>AI101</f><v /></c><c r="AJ102" s="301"><f>AJ101</f><v /></c><c r="AK102" s="52"><f>+Z102</f><v /></c><c r="AL102" s="52" t="n" /><c r="AM102" s="111"><f>AM101</f><v /></c><c r="AN102" s="299"><f>AN101</f><v /></c><c r="AO102" s="10"><f>LEFT(AN102,2)</f><v /></c><c r="AP102" s="10"><f>RIGHT(AN102,6)</f><v /></c><c r="AQ102" s="10"><f>+(AO102*60+AP102)/(60*60)</f><v /></c><c r="AR102" s="13"><f>+AM102/AQ102</f><v /></c><c r="AS102" s="303"><f>+(((AL102-AK102-AM102)/AM102)*100)</f><v /></c><c r="AT102" s="64"><f>IF(I102&gt;=1,"NO CONFORME",IF(BK102="SIGDIFERENTES",BC102,BL102))</f><v /></c><c r="AU102" s="21"><f>B102&lt;=C102</f><v /></c><c r="AV102" s="21"><f>N102&lt;Y102</f><v /></c><c r="AW102" s="21"><f>Z102&lt;=AK102</f><v /></c><c r="AX102" s="21"><f>IF(I102&gt;=1,"Qcorrecto",IF(AND(AY102="aceptable",AZ102="aceptable",BA102="aceptable"),"Qcorrecto","Qincorrecto"))</f><v /></c><c r="AY102" s="21"><f>IF(AR102&lt;$AH$6,"error",IF(AR102&gt;$AH$6*1.1,"error","aceptable"))</f><v /></c><c r="AZ102" s="21"><f>IF(AF102&lt;$V$6,"error",IF(AF102&gt;$V$6*1.1,"error","aceptable"))</f><v /></c><c r="BA102" s="21"><f>IF(T102&lt;$J$6*0.9,"error",IF(T102&gt;$J$6,"error","aceptable"))</f><v /></c><c r="BB102" s="65"><f>(IF(ABS(U102)&lt;1.05,"CONFORME",IF(ABS(AG102)&lt;1.05,"CONFORME",IF(ABS(AS102)&lt;2.55,"CONFORME","NO CONFORME"))))</f><v /></c><c r="BC102" s="62"><f>(IF(ABS(U102)&gt;2.05,"NO CONFORME",IF(ABS(AG102)&gt;2.05,"NO CONFORME",IF(ABS(AS102)&gt;5.05,"NO CONFORME","CONFORME"))))</f><v /></c><c r="BD102" s="64"><f>SIGN(U102)</f><v /></c><c r="BE102" s="64"><f>SIGN(AG102)</f><v /></c><c r="BF102" s="64"><f>SIGN(AS102)</f><v /></c><c r="BG102" s="64"><f>CONCATENATE(BD102,BE102,BF102)</f><v /></c><c r="BH102" s="64"><f>IF(BG102="111","SI","SD")</f><v /></c><c r="BI102" s="64"><f>IF(BG102="-1-1-1","SI","SD")</f><v /></c><c r="BJ102" s="64"><f>OR(BH102="SI",BI102="SI")</f><v /></c><c r="BK102" s="64"><f>IF(BJ102=FALSE,"SIGDIFERENTES","SIGIGUALES")</f><v /></c><c r="BL102" s="21"><f>IF(BC102="NO CONFORME","NO CONFORME",IF(BB102="CONFORME","CONFORME","NO CONFORME"))</f><v /></c><c r="BM102" s="66" t="n" /><c r="BN102" s="66" t="n" /></row><row r="103" ht="15" customHeight="1"><c r="A103" s="55" t="n"><v>95</v></c><c r="B103" s="304"><f>B102</f><v /></c><c r="C103" s="304"><f>C102</f><v /></c><c r="D103" s="94"><f>D102</f><v /></c><c r="E103" s="95"><f>E102</f><v /></c><c r="F103" s="96" t="n" /><c r="G103" s="305" t="n" /><c r="H103" s="98"><f>H102</f><v /></c><c r="I103" s="98" t="n" /><c r="J103" s="306"><f>J102</f><v /></c><c r="K103" s="306"><f>K102</f><v /></c><c r="L103" s="306"><f>L102</f><v /></c><c r="M103" s="100" t="n" /><c r="N103" s="100" t="n" /><c r="O103" s="101"><f>O102</f><v /></c><c r="P103" s="307"><f>P102</f><v /></c><c r="Q103" s="10"><f>LEFT(P103,1)</f><v /></c><c r="R103" s="10"><f>RIGHT(P103,6)</f><v /></c><c r="S103" s="10"><f>+(Q103*60+R103)/(60*60)</f><v /></c><c r="T103" s="13"><f>+O103/S103</f><v /></c><c r="U103" s="300"><f>+(((N103-M103-O103)/O103)*100)</f><v /></c><c r="V103" s="308"><f>V102</f><v /></c><c r="W103" s="309"><f>W102</f><v /></c><c r="X103" s="309"><f>X102</f><v /></c><c r="Y103" s="100" t="n" /><c r="Z103" s="100" t="n" /><c r="AA103" s="109"><f>AA102</f><v /></c><c r="AB103" s="307"><f>AB102</f><v /></c><c r="AC103" s="10"><f>LEFT(AB103,2)</f><v /></c><c r="AD103" s="10"><f>RIGHT(AB103,6)</f><v /></c><c r="AE103" s="10"><f>+(AC103*60+AD103)/(60*60)</f><v /></c><c r="AF103" s="13"><f>+AA103/AE103</f><v /></c><c r="AG103" s="303"><f>+(((Z103-Y103-AA103)/AA103)*100)</f><v /></c><c r="AH103" s="308"><f>AH102</f><v /></c><c r="AI103" s="308"><f>AI102</f><v /></c><c r="AJ103" s="308"><f>AJ102</f><v /></c><c r="AK103" s="100"><f>+Z103</f><v /></c><c r="AL103" s="100" t="n" /><c r="AM103" s="112"><f>AM102</f><v /></c><c r="AN103" s="307"><f>AN102</f><v /></c><c r="AO103" s="10"><f>LEFT(AN103,2)</f><v /></c><c r="AP103" s="10"><f>RIGHT(AN103,6)</f><v /></c><c r="AQ103" s="10"><f>+(AO103*60+AP103)/(60*60)</f><v /></c><c r="AR103" s="13"><f>+AM103/AQ103</f><v /></c><c r="AS103" s="303"><f>+(((AL103-AK103-AM103)/AM103)*100)</f><v /></c><c r="AT103" s="64"><f>IF(I103&gt;=1,"NO CONFORME",IF(BK103="SIGDIFERENTES",BC103,BL103))</f><v /></c><c r="AU103" s="21"><f>B103&lt;=C103</f><v /></c><c r="AV103" s="21"><f>N103&lt;Y103</f><v /></c><c r="AW103" s="21"><f>Z103&lt;=AK103</f><v /></c><c r="AX103" s="21"><f>IF(I103&gt;=1,"Qcorrecto",IF(AND(AY103="aceptable",AZ103="aceptable",BA103="aceptable"),"Qcorrecto","Qincorrecto"))</f><v /></c><c r="AY103" s="21"><f>IF(AR103&lt;$AH$6,"error",IF(AR103&gt;$AH$6*1.1,"error","aceptable"))</f><v /></c><c r="AZ103" s="21"><f>IF(AF103&lt;$V$6,"error",IF(AF103&gt;$V$6*1.1,"error","aceptable"))</f><v /></c><c r="BA103" s="21"><f>IF(T103&lt;$J$6*0.9,"error",IF(T103&gt;$J$6,"error","aceptable"))</f><v /></c><c r="BB103" s="65"><f>(IF(ABS(U103)&lt;1.05,"CONFORME",IF(ABS(AG103)&lt;1.05,"CONFORME",IF(ABS(AS103)&lt;2.55,"CONFORME","NO CONFORME"))))</f><v /></c><c r="BC103" s="62"><f>(IF(ABS(U103)&gt;2.05,"NO CONFORME",IF(ABS(AG103)&gt;2.05,"NO CONFORME",IF(ABS(AS103)&gt;5.05,"NO CONFORME","CONFORME"))))</f><v /></c><c r="BD103" s="64"><f>SIGN(U103)</f><v /></c><c r="BE103" s="64"><f>SIGN(AG103)</f><v /></c><c r="BF103" s="64"><f>SIGN(AS103)</f><v /></c><c r="BG103" s="64"><f>CONCATENATE(BD103,BE103,BF103)</f><v /></c><c r="BH103" s="64"><f>IF(BG103="111","SI","SD")</f><v /></c><c r="BI103" s="64"><f>IF(BG103="-1-1-1","SI","SD")</f><v /></c><c r="BJ103" s="64"><f>OR(BH103="SI",BI103="SI")</f><v /></c><c r="BK103" s="64"><f>IF(BJ103=FALSE,"SIGDIFERENTES","SIGIGUALES")</f><v /></c><c r="BL103" s="21"><f>IF(BC103="NO CONFORME","NO CONFORME",IF(BB103="CONFORME","CONFORME","NO CONFORME"))</f><v /></c><c r="BM103" s="66" t="n" /><c r="BN103" s="66" t="n" /></row><row r="104" ht="15.75" customHeight="1" thickBot="1"><c r="A104" s="9" t="n"><v>96</v></c><c r="B104" s="296"><f>B103</f><v /></c><c r="C104" s="296"><f>C103</f><v /></c><c r="D104" s="11"><f>D103</f><v /></c><c r="E104" s="9"><f>E103</f><v /></c><c r="F104" s="12" t="n" /><c r="G104" s="297" t="n" /><c r="H104" s="90"><f>H103</f><v /></c><c r="I104" s="90" t="n" /><c r="J104" s="298"><f>J103</f><v /></c><c r="K104" s="298"><f>K103</f><v /></c><c r="L104" s="298"><f>L103</f><v /></c><c r="M104" s="52" t="n" /><c r="N104" s="52" t="n" /><c r="O104" s="30"><f>O103</f><v /></c><c r="P104" s="299"><f>P103</f><v /></c><c r="Q104" s="10"><f>LEFT(P104,1)</f><v /></c><c r="R104" s="10"><f>RIGHT(P104,6)</f><v /></c><c r="S104" s="10"><f>+(Q104*60+R104)/(60*60)</f><v /></c><c r="T104" s="13"><f>+O104/S104</f><v /></c><c r="U104" s="300"><f>+(((N104-M104-O104)/O104)*100)</f><v /></c><c r="V104" s="301"><f>V103</f><v /></c><c r="W104" s="302"><f>W103</f><v /></c><c r="X104" s="302"><f>X103</f><v /></c><c r="Y104" s="52" t="n" /><c r="Z104" s="52" t="n" /><c r="AA104" s="106"><f>AA103</f><v /></c><c r="AB104" s="299"><f>AB103</f><v /></c><c r="AC104" s="10"><f>LEFT(AB104,2)</f><v /></c><c r="AD104" s="10"><f>RIGHT(AB104,6)</f><v /></c><c r="AE104" s="10"><f>+(AC104*60+AD104)/(60*60)</f><v /></c><c r="AF104" s="13"><f>+AA104/AE104</f><v /></c><c r="AG104" s="303"><f>+(((Z104-Y104-AA104)/AA104)*100)</f><v /></c><c r="AH104" s="301"><f>AH103</f><v /></c><c r="AI104" s="301"><f>AI103</f><v /></c><c r="AJ104" s="301"><f>AJ103</f><v /></c><c r="AK104" s="52"><f>+Z104</f><v /></c><c r="AL104" s="52" t="n" /><c r="AM104" s="111"><f>AM103</f><v /></c><c r="AN104" s="299"><f>AN103</f><v /></c><c r="AO104" s="10"><f>LEFT(AN104,2)</f><v /></c><c r="AP104" s="10"><f>RIGHT(AN104,6)</f><v /></c><c r="AQ104" s="10"><f>+(AO104*60+AP104)/(60*60)</f><v /></c><c r="AR104" s="13"><f>+AM104/AQ104</f><v /></c><c r="AS104" s="303"><f>+(((AL104-AK104-AM104)/AM104)*100)</f><v /></c><c r="AT104" s="64"><f>IF(I104&gt;=1,"NO CONFORME",IF(BK104="SIGDIFERENTES",BC104,BL104))</f><v /></c><c r="AU104" s="21"><f>B104&lt;=C104</f><v /></c><c r="AV104" s="21"><f>N104&lt;Y104</f><v /></c><c r="AW104" s="21"><f>Z104&lt;=AK104</f><v /></c><c r="AX104" s="21"><f>IF(I104&gt;=1,"Qcorrecto",IF(AND(AY104="aceptable",AZ104="aceptable",BA104="aceptable"),"Qcorrecto","Qincorrecto"))</f><v /></c><c r="AY104" s="21"><f>IF(AR104&lt;$AH$6,"error",IF(AR104&gt;$AH$6*1.1,"error","aceptable"))</f><v /></c><c r="AZ104" s="21"><f>IF(AF104&lt;$V$6,"error",IF(AF104&gt;$V$6*1.1,"error","aceptable"))</f><v /></c><c r="BA104" s="21"><f>IF(T104&lt;$J$6*0.9,"error",IF(T104&gt;$J$6,"error","aceptable"))</f><v /></c><c r="BB104" s="65"><f>(IF(ABS(U104)&lt;1.05,"CONFORME",IF(ABS(AG104)&lt;1.05,"CONFORME",IF(ABS(AS104)&lt;2.55,"CONFORME","NO CONFORME"))))</f><v /></c><c r="BC104" s="62"><f>(IF(ABS(U104)&gt;2.05,"NO CONFORME",IF(ABS(AG104)&gt;2.05,"NO CONFORME",IF(ABS(AS104)&gt;5.05,"NO CONFORME","CONFORME"))))</f><v /></c><c r="BD104" s="64"><f>SIGN(U104)</f><v /></c><c r="BE104" s="64"><f>SIGN(AG104)</f><v /></c><c r="BF104" s="64"><f>SIGN(AS104)</f><v /></c><c r="BG104" s="64"><f>CONCATENATE(BD104,BE104,BF104)</f><v /></c><c r="BH104" s="64"><f>IF(BG104="111","SI","SD")</f><v /></c><c r="BI104" s="64"><f>IF(BG104="-1-1-1","SI","SD")</f><v /></c><c r="BJ104" s="64"><f>OR(BH104="SI",BI104="SI")</f><v /></c><c r="BK104" s="64"><f>IF(BJ104=FALSE,"SIGDIFERENTES","SIGIGUALES")</f><v /></c><c r="BL104" s="21"><f>IF(BC104="NO CONFORME","NO CONFORME",IF(BB104="CONFORME","CONFORME","NO CONFORME"))</f><v /></c><c r="BM104" s="66" t="n" /><c r="BN104" s="66" t="n" /></row><row r="105" ht="15" customHeight="1"><c r="A105" s="55" t="n"><v>97</v></c><c r="B105" s="304"><f>B104</f><v /></c><c r="C105" s="304"><f>C104</f><v /></c><c r="D105" s="94"><f>D104</f><v /></c><c r="E105" s="95"><f>E104</f><v /></c><c r="F105" s="96" t="n" /><c r="G105" s="305" t="n" /><c r="H105" s="98"><f>H104</f><v /></c><c r="I105" s="98" t="n" /><c r="J105" s="306"><f>J104</f><v /></c><c r="K105" s="306"><f>K104</f><v /></c><c r="L105" s="306"><f>L104</f><v /></c><c r="M105" s="100" t="n" /><c r="N105" s="100" t="n" /><c r="O105" s="101"><f>O104</f><v /></c><c r="P105" s="307"><f>P104</f><v /></c><c r="Q105" s="10"><f>LEFT(P105,1)</f><v /></c><c r="R105" s="10"><f>RIGHT(P105,6)</f><v /></c><c r="S105" s="10"><f>+(Q105*60+R105)/(60*60)</f><v /></c><c r="T105" s="13"><f>+O105/S105</f><v /></c><c r="U105" s="300"><f>+(((N105-M105-O105)/O105)*100)</f><v /></c><c r="V105" s="308"><f>V104</f><v /></c><c r="W105" s="309"><f>W104</f><v /></c><c r="X105" s="309"><f>X104</f><v /></c><c r="Y105" s="100" t="n" /><c r="Z105" s="100" t="n" /><c r="AA105" s="109"><f>AA104</f><v /></c><c r="AB105" s="307"><f>AB104</f><v /></c><c r="AC105" s="10"><f>LEFT(AB105,2)</f><v /></c><c r="AD105" s="10"><f>RIGHT(AB105,6)</f><v /></c><c r="AE105" s="10"><f>+(AC105*60+AD105)/(60*60)</f><v /></c><c r="AF105" s="13"><f>+AA105/AE105</f><v /></c><c r="AG105" s="303"><f>+(((Z105-Y105-AA105)/AA105)*100)</f><v /></c><c r="AH105" s="308"><f>AH104</f><v /></c><c r="AI105" s="308"><f>AI104</f><v /></c><c r="AJ105" s="308"><f>AJ104</f><v /></c><c r="AK105" s="100"><f>+Z105</f><v /></c><c r="AL105" s="100" t="n" /><c r="AM105" s="112"><f>AM104</f><v /></c><c r="AN105" s="307"><f>AN104</f><v /></c><c r="AO105" s="10"><f>LEFT(AN105,2)</f><v /></c><c r="AP105" s="10"><f>RIGHT(AN105,6)</f><v /></c><c r="AQ105" s="10"><f>+(AO105*60+AP105)/(60*60)</f><v /></c><c r="AR105" s="13"><f>+AM105/AQ105</f><v /></c><c r="AS105" s="303"><f>+(((AL105-AK105-AM105)/AM105)*100)</f><v /></c><c r="AT105" s="64"><f>IF(I105&gt;=1,"NO CONFORME",IF(BK105="SIGDIFERENTES",BC105,BL105))</f><v /></c><c r="AU105" s="21"><f>B105&lt;=C105</f><v /></c><c r="AV105" s="21"><f>N105&lt;Y105</f><v /></c><c r="AW105" s="21"><f>Z105&lt;=AK105</f><v /></c><c r="AX105" s="21"><f>IF(I105&gt;=1,"Qcorrecto",IF(AND(AY105="aceptable",AZ105="aceptable",BA105="aceptable"),"Qcorrecto","Qincorrecto"))</f><v /></c><c r="AY105" s="21"><f>IF(AR105&lt;$AH$6,"error",IF(AR105&gt;$AH$6*1.1,"error","aceptable"))</f><v /></c><c r="AZ105" s="21"><f>IF(AF105&lt;$V$6,"error",IF(AF105&gt;$V$6*1.1,"error","aceptable"))</f><v /></c><c r="BA105" s="21"><f>IF(T105&lt;$J$6*0.9,"error",IF(T105&gt;$J$6,"error","aceptable"))</f><v /></c><c r="BB105" s="65"><f>(IF(ABS(U105)&lt;1.05,"CONFORME",IF(ABS(AG105)&lt;1.05,"CONFORME",IF(ABS(AS105)&lt;2.55,"CONFORME","NO CONFORME"))))</f><v /></c><c r="BC105" s="62"><f>(IF(ABS(U105)&gt;2.05,"NO CONFORME",IF(ABS(AG105)&gt;2.05,"NO CONFORME",IF(ABS(AS105)&gt;5.05,"NO CONFORME","CONFORME"))))</f><v /></c><c r="BD105" s="64"><f>SIGN(U105)</f><v /></c><c r="BE105" s="64"><f>SIGN(AG105)</f><v /></c><c r="BF105" s="64"><f>SIGN(AS105)</f><v /></c><c r="BG105" s="64"><f>CONCATENATE(BD105,BE105,BF105)</f><v /></c><c r="BH105" s="64"><f>IF(BG105="111","SI","SD")</f><v /></c><c r="BI105" s="64"><f>IF(BG105="-1-1-1","SI","SD")</f><v /></c><c r="BJ105" s="64"><f>OR(BH105="SI",BI105="SI")</f><v /></c><c r="BK105" s="64"><f>IF(BJ105=FALSE,"SIGDIFERENTES","SIGIGUALES")</f><v /></c><c r="BL105" s="21"><f>IF(BC105="NO CONFORME","NO CONFORME",IF(BB105="CONFORME","CONFORME","NO CONFORME"))</f><v /></c><c r="BM105" s="66" t="n" /><c r="BN105" s="66" t="n" /></row><row r="106" ht="15.75" customHeight="1" thickBot="1"><c r="A106" s="9" t="n"><v>98</v></c><c r="B106" s="296"><f>B105</f><v /></c><c r="C106" s="296"><f>C105</f><v /></c><c r="D106" s="11"><f>D105</f><v /></c><c r="E106" s="9"><f>E105</f><v /></c><c r="F106" s="12" t="n" /><c r="G106" s="297" t="n" /><c r="H106" s="90"><f>H105</f><v /></c><c r="I106" s="90" t="n" /><c r="J106" s="298"><f>J105</f><v /></c><c r="K106" s="298"><f>K105</f><v /></c><c r="L106" s="298"><f>L105</f><v /></c><c r="M106" s="52" t="n" /><c r="N106" s="52" t="n" /><c r="O106" s="30"><f>O105</f><v /></c><c r="P106" s="299"><f>P105</f><v /></c><c r="Q106" s="10"><f>LEFT(P106,1)</f><v /></c><c r="R106" s="10"><f>RIGHT(P106,6)</f><v /></c><c r="S106" s="10"><f>+(Q106*60+R106)/(60*60)</f><v /></c><c r="T106" s="13"><f>+O106/S106</f><v /></c><c r="U106" s="300"><f>+(((N106-M106-O106)/O106)*100)</f><v /></c><c r="V106" s="301"><f>V105</f><v /></c><c r="W106" s="302"><f>W105</f><v /></c><c r="X106" s="302"><f>X105</f><v /></c><c r="Y106" s="52" t="n" /><c r="Z106" s="52" t="n" /><c r="AA106" s="106"><f>AA105</f><v /></c><c r="AB106" s="299"><f>AB105</f><v /></c><c r="AC106" s="10"><f>LEFT(AB106,2)</f><v /></c><c r="AD106" s="10"><f>RIGHT(AB106,6)</f><v /></c><c r="AE106" s="10"><f>+(AC106*60+AD106)/(60*60)</f><v /></c><c r="AF106" s="13"><f>+AA106/AE106</f><v /></c><c r="AG106" s="303"><f>+(((Z106-Y106-AA106)/AA106)*100)</f><v /></c><c r="AH106" s="301"><f>AH105</f><v /></c><c r="AI106" s="301"><f>AI105</f><v /></c><c r="AJ106" s="301"><f>AJ105</f><v /></c><c r="AK106" s="52"><f>+Z106</f><v /></c><c r="AL106" s="52" t="n" /><c r="AM106" s="111"><f>AM105</f><v /></c><c r="AN106" s="299"><f>AN105</f><v /></c><c r="AO106" s="10"><f>LEFT(AN106,2)</f><v /></c><c r="AP106" s="10"><f>RIGHT(AN106,6)</f><v /></c><c r="AQ106" s="10"><f>+(AO106*60+AP106)/(60*60)</f><v /></c><c r="AR106" s="13"><f>+AM106/AQ106</f><v /></c><c r="AS106" s="303"><f>+(((AL106-AK106-AM106)/AM106)*100)</f><v /></c><c r="AT106" s="64"><f>IF(I106&gt;=1,"NO CONFORME",IF(BK106="SIGDIFERENTES",BC106,BL106))</f><v /></c><c r="AU106" s="21"><f>B106&lt;=C106</f><v /></c><c r="AV106" s="21"><f>N106&lt;Y106</f><v /></c><c r="AW106" s="21"><f>Z106&lt;=AK106</f><v /></c><c r="AX106" s="21"><f>IF(I106&gt;=1,"Qcorrecto",IF(AND(AY106="aceptable",AZ106="aceptable",BA106="aceptable"),"Qcorrecto","Qincorrecto"))</f><v /></c><c r="AY106" s="21"><f>IF(AR106&lt;$AH$6,"error",IF(AR106&gt;$AH$6*1.1,"error","aceptable"))</f><v /></c><c r="AZ106" s="21"><f>IF(AF106&lt;$V$6,"error",IF(AF106&gt;$V$6*1.1,"error","aceptable"))</f><v /></c><c r="BA106" s="21"><f>IF(T106&lt;$J$6*0.9,"error",IF(T106&gt;$J$6,"error","aceptable"))</f><v /></c><c r="BB106" s="65"><f>(IF(ABS(U106)&lt;1.05,"CONFORME",IF(ABS(AG106)&lt;1.05,"CONFORME",IF(ABS(AS106)&lt;2.55,"CONFORME","NO CONFORME"))))</f><v /></c><c r="BC106" s="62"><f>(IF(ABS(U106)&gt;2.05,"NO CONFORME",IF(ABS(AG106)&gt;2.05,"NO CONFORME",IF(ABS(AS106)&gt;5.05,"NO CONFORME","CONFORME"))))</f><v /></c><c r="BD106" s="64"><f>SIGN(U106)</f><v /></c><c r="BE106" s="64"><f>SIGN(AG106)</f><v /></c><c r="BF106" s="64"><f>SIGN(AS106)</f><v /></c><c r="BG106" s="64"><f>CONCATENATE(BD106,BE106,BF106)</f><v /></c><c r="BH106" s="64"><f>IF(BG106="111","SI","SD")</f><v /></c><c r="BI106" s="64"><f>IF(BG106="-1-1-1","SI","SD")</f><v /></c><c r="BJ106" s="64"><f>OR(BH106="SI",BI106="SI")</f><v /></c><c r="BK106" s="64"><f>IF(BJ106=FALSE,"SIGDIFERENTES","SIGIGUALES")</f><v /></c><c r="BL106" s="21"><f>IF(BC106="NO CONFORME","NO CONFORME",IF(BB106="CONFORME","CONFORME","NO CONFORME"))</f><v /></c><c r="BM106" s="66" t="n" /><c r="BN106" s="66" t="n" /></row><row r="107" ht="15" customHeight="1"><c r="A107" s="55" t="n"><v>99</v></c><c r="B107" s="304"><f>B106</f><v /></c><c r="C107" s="304"><f>C106</f><v /></c><c r="D107" s="94"><f>D106</f><v /></c><c r="E107" s="95"><f>E106</f><v /></c><c r="F107" s="96" t="n" /><c r="G107" s="305" t="n" /><c r="H107" s="98"><f>H106</f><v /></c><c r="I107" s="98" t="n" /><c r="J107" s="306"><f>J106</f><v /></c><c r="K107" s="306"><f>K106</f><v /></c><c r="L107" s="306"><f>L106</f><v /></c><c r="M107" s="100" t="n" /><c r="N107" s="100" t="n" /><c r="O107" s="101"><f>O106</f><v /></c><c r="P107" s="307"><f>P106</f><v /></c><c r="Q107" s="10"><f>LEFT(P107,1)</f><v /></c><c r="R107" s="10"><f>RIGHT(P107,6)</f><v /></c><c r="S107" s="10"><f>+(Q107*60+R107)/(60*60)</f><v /></c><c r="T107" s="13"><f>+O107/S107</f><v /></c><c r="U107" s="300"><f>+(((N107-M107-O107)/O107)*100)</f><v /></c><c r="V107" s="308"><f>V106</f><v /></c><c r="W107" s="309"><f>W106</f><v /></c><c r="X107" s="309"><f>X106</f><v /></c><c r="Y107" s="100" t="n" /><c r="Z107" s="100" t="n" /><c r="AA107" s="109"><f>AA106</f><v /></c><c r="AB107" s="307"><f>AB106</f><v /></c><c r="AC107" s="10"><f>LEFT(AB107,2)</f><v /></c><c r="AD107" s="10"><f>RIGHT(AB107,6)</f><v /></c><c r="AE107" s="10"><f>+(AC107*60+AD107)/(60*60)</f><v /></c><c r="AF107" s="13"><f>+AA107/AE107</f><v /></c><c r="AG107" s="303"><f>+(((Z107-Y107-AA107)/AA107)*100)</f><v /></c><c r="AH107" s="308"><f>AH106</f><v /></c><c r="AI107" s="308"><f>AI106</f><v /></c><c r="AJ107" s="308"><f>AJ106</f><v /></c><c r="AK107" s="100"><f>+Z107</f><v /></c><c r="AL107" s="100" t="n" /><c r="AM107" s="112"><f>AM106</f><v /></c><c r="AN107" s="307"><f>AN106</f><v /></c><c r="AO107" s="10"><f>LEFT(AN107,2)</f><v /></c><c r="AP107" s="10"><f>RIGHT(AN107,6)</f><v /></c><c r="AQ107" s="10"><f>+(AO107*60+AP107)/(60*60)</f><v /></c><c r="AR107" s="13"><f>+AM107/AQ107</f><v /></c><c r="AS107" s="303"><f>+(((AL107-AK107-AM107)/AM107)*100)</f><v /></c><c r="AT107" s="64"><f>IF(I107&gt;=1,"NO CONFORME",IF(BK107="SIGDIFERENTES",BC107,BL107))</f><v /></c><c r="AU107" s="21"><f>B107&lt;=C107</f><v /></c><c r="AV107" s="21"><f>N107&lt;Y107</f><v /></c><c r="AW107" s="21"><f>Z107&lt;=AK107</f><v /></c><c r="AX107" s="21"><f>IF(I107&gt;=1,"Qcorrecto",IF(AND(AY107="aceptable",AZ107="aceptable",BA107="aceptable"),"Qcorrecto","Qincorrecto"))</f><v /></c><c r="AY107" s="21"><f>IF(AR107&lt;$AH$6,"error",IF(AR107&gt;$AH$6*1.1,"error","aceptable"))</f><v /></c><c r="AZ107" s="21"><f>IF(AF107&lt;$V$6,"error",IF(AF107&gt;$V$6*1.1,"error","aceptable"))</f><v /></c><c r="BA107" s="21"><f>IF(T107&lt;$J$6*0.9,"error",IF(T107&gt;$J$6,"error","aceptable"))</f><v /></c><c r="BB107" s="65"><f>(IF(ABS(U107)&lt;1.05,"CONFORME",IF(ABS(AG107)&lt;1.05,"CONFORME",IF(ABS(AS107)&lt;2.55,"CONFORME","NO CONFORME"))))</f><v /></c><c r="BC107" s="62"><f>(IF(ABS(U107)&gt;2.05,"NO CONFORME",IF(ABS(AG107)&gt;2.05,"NO CONFORME",IF(ABS(AS107)&gt;5.05,"NO CONFORME","CONFORME"))))</f><v /></c><c r="BD107" s="64"><f>SIGN(U107)</f><v /></c><c r="BE107" s="64"><f>SIGN(AG107)</f><v /></c><c r="BF107" s="64"><f>SIGN(AS107)</f><v /></c><c r="BG107" s="64"><f>CONCATENATE(BD107,BE107,BF107)</f><v /></c><c r="BH107" s="64"><f>IF(BG107="111","SI","SD")</f><v /></c><c r="BI107" s="64"><f>IF(BG107="-1-1-1","SI","SD")</f><v /></c><c r="BJ107" s="64"><f>OR(BH107="SI",BI107="SI")</f><v /></c><c r="BK107" s="64"><f>IF(BJ107=FALSE,"SIGDIFERENTES","SIGIGUALES")</f><v /></c><c r="BL107" s="21"><f>IF(BC107="NO CONFORME","NO CONFORME",IF(BB107="CONFORME","CONFORME","NO CONFORME"))</f><v /></c><c r="BM107" s="66" t="n" /><c r="BN107" s="66" t="n" /></row><row r="108" ht="15.75" customHeight="1" thickBot="1"><c r="A108" s="9" t="n"><v>100</v></c><c r="B108" s="296"><f>B107</f><v /></c><c r="C108" s="296"><f>C107</f><v /></c><c r="D108" s="11"><f>D107</f><v /></c><c r="E108" s="9"><f>E107</f><v /></c><c r="F108" s="12" t="n" /><c r="G108" s="297" t="n" /><c r="H108" s="90"><f>H107</f><v /></c><c r="I108" s="90" t="n" /><c r="J108" s="298"><f>J107</f><v /></c><c r="K108" s="298"><f>K107</f><v /></c><c r="L108" s="298"><f>L107</f><v /></c><c r="M108" s="52" t="n" /><c r="N108" s="52" t="n" /><c r="O108" s="30"><f>O107</f><v /></c><c r="P108" s="299"><f>P107</f><v /></c><c r="Q108" s="10"><f>LEFT(P108,1)</f><v /></c><c r="R108" s="10"><f>RIGHT(P108,6)</f><v /></c><c r="S108" s="10"><f>+(Q108*60+R108)/(60*60)</f><v /></c><c r="T108" s="13"><f>+O108/S108</f><v /></c><c r="U108" s="300"><f>+(((N108-M108-O108)/O108)*100)</f><v /></c><c r="V108" s="301"><f>V107</f><v /></c><c r="W108" s="302"><f>W107</f><v /></c><c r="X108" s="302"><f>X107</f><v /></c><c r="Y108" s="52" t="n" /><c r="Z108" s="52" t="n" /><c r="AA108" s="106"><f>AA107</f><v /></c><c r="AB108" s="299"><f>AB107</f><v /></c><c r="AC108" s="10"><f>LEFT(AB108,2)</f><v /></c><c r="AD108" s="10"><f>RIGHT(AB108,6)</f><v /></c><c r="AE108" s="10"><f>+(AC108*60+AD108)/(60*60)</f><v /></c><c r="AF108" s="13"><f>+AA108/AE108</f><v /></c><c r="AG108" s="303"><f>+(((Z108-Y108-AA108)/AA108)*100)</f><v /></c><c r="AH108" s="301"><f>AH107</f><v /></c><c r="AI108" s="301"><f>AI107</f><v /></c><c r="AJ108" s="301"><f>AJ107</f><v /></c><c r="AK108" s="52"><f>+Z108</f><v /></c><c r="AL108" s="52" t="n" /><c r="AM108" s="111"><f>AM107</f><v /></c><c r="AN108" s="299"><f>AN107</f><v /></c><c r="AO108" s="10"><f>LEFT(AN108,2)</f><v /></c><c r="AP108" s="10"><f>RIGHT(AN108,6)</f><v /></c><c r="AQ108" s="10"><f>+(AO108*60+AP108)/(60*60)</f><v /></c><c r="AR108" s="13"><f>+AM108/AQ108</f><v /></c><c r="AS108" s="303"><f>+(((AL108-AK108-AM108)/AM108)*100)</f><v /></c><c r="AT108" s="64"><f>IF(I108&gt;=1,"NO CONFORME",IF(BK108="SIGDIFERENTES",BC108,BL108))</f><v /></c><c r="AU108" s="21"><f>B108&lt;=C108</f><v /></c><c r="AV108" s="21"><f>N108&lt;Y108</f><v /></c><c r="AW108" s="21"><f>Z108&lt;=AK108</f><v /></c><c r="AX108" s="21"><f>IF(I108&gt;=1,"Qcorrecto",IF(AND(AY108="aceptable",AZ108="aceptable",BA108="aceptable"),"Qcorrecto","Qincorrecto"))</f><v /></c><c r="AY108" s="21"><f>IF(AR108&lt;$AH$6,"error",IF(AR108&gt;$AH$6*1.1,"error","aceptable"))</f><v /></c><c r="AZ108" s="21"><f>IF(AF108&lt;$V$6,"error",IF(AF108&gt;$V$6*1.1,"error","aceptable"))</f><v /></c><c r="BA108" s="21"><f>IF(T108&lt;$J$6*0.9,"error",IF(T108&gt;$J$6,"error","aceptable"))</f><v /></c><c r="BB108" s="65"><f>(IF(ABS(U108)&lt;1.05,"CONFORME",IF(ABS(AG108)&lt;1.05,"CONFORME",IF(ABS(AS108)&lt;2.55,"CONFORME","NO CONFORME"))))</f><v /></c><c r="BC108" s="62"><f>(IF(ABS(U108)&gt;2.05,"NO CONFORME",IF(ABS(AG108)&gt;2.05,"NO CONFORME",IF(ABS(AS108)&gt;5.05,"NO CONFORME","CONFORME"))))</f><v /></c><c r="BD108" s="64"><f>SIGN(U108)</f><v /></c><c r="BE108" s="64"><f>SIGN(AG108)</f><v /></c><c r="BF108" s="64"><f>SIGN(AS108)</f><v /></c><c r="BG108" s="64"><f>CONCATENATE(BD108,BE108,BF108)</f><v /></c><c r="BH108" s="64"><f>IF(BG108="111","SI","SD")</f><v /></c><c r="BI108" s="64"><f>IF(BG108="-1-1-1","SI","SD")</f><v /></c><c r="BJ108" s="64"><f>OR(BH108="SI",BI108="SI")</f><v /></c><c r="BK108" s="64"><f>IF(BJ108=FALSE,"SIGDIFERENTES","SIGIGUALES")</f><v /></c><c r="BL108" s="21"><f>IF(BC108="NO CONFORME","NO CONFORME",IF(BB108="CONFORME","CONFORME","NO CONFORME"))</f><v /></c><c r="BM108" s="66" t="n" /><c r="BN108" s="66" t="n" /></row><row r="109" ht="15" customHeight="1"><c r="A109" s="55" t="n"><v>101</v></c><c r="B109" s="304"><f>B108</f><v /></c><c r="C109" s="304"><f>C108</f><v /></c><c r="D109" s="94"><f>D108</f><v /></c><c r="E109" s="95"><f>E108</f><v /></c><c r="F109" s="96" t="n" /><c r="G109" s="305" t="n" /><c r="H109" s="98"><f>H108</f><v /></c><c r="I109" s="98" t="n" /><c r="J109" s="306"><f>J108</f><v /></c><c r="K109" s="306"><f>K108</f><v /></c><c r="L109" s="306"><f>L108</f><v /></c><c r="M109" s="100" t="n" /><c r="N109" s="100" t="n" /><c r="O109" s="101"><f>O108</f><v /></c><c r="P109" s="307"><f>P108</f><v /></c><c r="Q109" s="10"><f>LEFT(P109,1)</f><v /></c><c r="R109" s="10"><f>RIGHT(P109,6)</f><v /></c><c r="S109" s="10"><f>+(Q109*60+R109)/(60*60)</f><v /></c><c r="T109" s="13"><f>+O109/S109</f><v /></c><c r="U109" s="300"><f>+(((N109-M109-O109)/O109)*100)</f><v /></c><c r="V109" s="308"><f>V108</f><v /></c><c r="W109" s="309"><f>W108</f><v /></c><c r="X109" s="309"><f>X108</f><v /></c><c r="Y109" s="100" t="n" /><c r="Z109" s="100" t="n" /><c r="AA109" s="109"><f>AA108</f><v /></c><c r="AB109" s="307"><f>AB108</f><v /></c><c r="AC109" s="10"><f>LEFT(AB109,2)</f><v /></c><c r="AD109" s="10"><f>RIGHT(AB109,6)</f><v /></c><c r="AE109" s="10"><f>+(AC109*60+AD109)/(60*60)</f><v /></c><c r="AF109" s="13"><f>+AA109/AE109</f><v /></c><c r="AG109" s="303"><f>+(((Z109-Y109-AA109)/AA109)*100)</f><v /></c><c r="AH109" s="308"><f>AH108</f><v /></c><c r="AI109" s="308"><f>AI108</f><v /></c><c r="AJ109" s="308"><f>AJ108</f><v /></c><c r="AK109" s="100"><f>+Z109</f><v /></c><c r="AL109" s="100" t="n" /><c r="AM109" s="112"><f>AM108</f><v /></c><c r="AN109" s="307"><f>AN108</f><v /></c><c r="AO109" s="10"><f>LEFT(AN109,2)</f><v /></c><c r="AP109" s="10"><f>RIGHT(AN109,6)</f><v /></c><c r="AQ109" s="10"><f>+(AO109*60+AP109)/(60*60)</f><v /></c><c r="AR109" s="13"><f>+AM109/AQ109</f><v /></c><c r="AS109" s="303"><f>+(((AL109-AK109-AM109)/AM109)*100)</f><v /></c><c r="AT109" s="64"><f>IF(I109&gt;=1,"NO CONFORME",IF(BK109="SIGDIFERENTES",BC109,BL109))</f><v /></c><c r="AU109" s="21"><f>B109&lt;=C109</f><v /></c><c r="AV109" s="21"><f>N109&lt;Y109</f><v /></c><c r="AW109" s="21"><f>Z109&lt;=AK109</f><v /></c><c r="AX109" s="21"><f>IF(I109&gt;=1,"Qcorrecto",IF(AND(AY109="aceptable",AZ109="aceptable",BA109="aceptable"),"Qcorrecto","Qincorrecto"))</f><v /></c><c r="AY109" s="21"><f>IF(AR109&lt;$AH$6,"error",IF(AR109&gt;$AH$6*1.1,"error","aceptable"))</f><v /></c><c r="AZ109" s="21"><f>IF(AF109&lt;$V$6,"error",IF(AF109&gt;$V$6*1.1,"error","aceptable"))</f><v /></c><c r="BA109" s="21"><f>IF(T109&lt;$J$6*0.9,"error",IF(T109&gt;$J$6,"error","aceptable"))</f><v /></c><c r="BB109" s="65"><f>(IF(ABS(U109)&lt;1.05,"CONFORME",IF(ABS(AG109)&lt;1.05,"CONFORME",IF(ABS(AS109)&lt;2.55,"CONFORME","NO CONFORME"))))</f><v /></c><c r="BC109" s="62"><f>(IF(ABS(U109)&gt;2.05,"NO CONFORME",IF(ABS(AG109)&gt;2.05,"NO CONFORME",IF(ABS(AS109)&gt;5.05,"NO CONFORME","CONFORME"))))</f><v /></c><c r="BD109" s="64"><f>SIGN(U109)</f><v /></c><c r="BE109" s="64"><f>SIGN(AG109)</f><v /></c><c r="BF109" s="64"><f>SIGN(AS109)</f><v /></c><c r="BG109" s="64"><f>CONCATENATE(BD109,BE109,BF109)</f><v /></c><c r="BH109" s="64"><f>IF(BG109="111","SI","SD")</f><v /></c><c r="BI109" s="64"><f>IF(BG109="-1-1-1","SI","SD")</f><v /></c><c r="BJ109" s="64"><f>OR(BH109="SI",BI109="SI")</f><v /></c><c r="BK109" s="64"><f>IF(BJ109=FALSE,"SIGDIFERENTES","SIGIGUALES")</f><v /></c><c r="BL109" s="21"><f>IF(BC109="NO CONFORME","NO CONFORME",IF(BB109="CONFORME","CONFORME","NO CONFORME"))</f><v /></c><c r="BM109" s="66" t="n" /><c r="BN109" s="66" t="n" /></row><row r="110" ht="15.75" customHeight="1" thickBot="1"><c r="A110" s="9" t="n"><v>102</v></c><c r="B110" s="296"><f>B109</f><v /></c><c r="C110" s="296"><f>C109</f><v /></c><c r="D110" s="11"><f>D109</f><v /></c><c r="E110" s="9"><f>E109</f><v /></c><c r="F110" s="12" t="n" /><c r="G110" s="297" t="n" /><c r="H110" s="90"><f>H109</f><v /></c><c r="I110" s="90" t="n" /><c r="J110" s="298"><f>J109</f><v /></c><c r="K110" s="298"><f>K109</f><v /></c><c r="L110" s="298"><f>L109</f><v /></c><c r="M110" s="52" t="n" /><c r="N110" s="52" t="n" /><c r="O110" s="30"><f>O109</f><v /></c><c r="P110" s="299"><f>P109</f><v /></c><c r="Q110" s="10"><f>LEFT(P110,1)</f><v /></c><c r="R110" s="10"><f>RIGHT(P110,6)</f><v /></c><c r="S110" s="10"><f>+(Q110*60+R110)/(60*60)</f><v /></c><c r="T110" s="13"><f>+O110/S110</f><v /></c><c r="U110" s="300"><f>+(((N110-M110-O110)/O110)*100)</f><v /></c><c r="V110" s="301"><f>V109</f><v /></c><c r="W110" s="302"><f>W109</f><v /></c><c r="X110" s="302"><f>X109</f><v /></c><c r="Y110" s="52" t="n" /><c r="Z110" s="52" t="n" /><c r="AA110" s="106"><f>AA109</f><v /></c><c r="AB110" s="299"><f>AB109</f><v /></c><c r="AC110" s="10"><f>LEFT(AB110,2)</f><v /></c><c r="AD110" s="10"><f>RIGHT(AB110,6)</f><v /></c><c r="AE110" s="10"><f>+(AC110*60+AD110)/(60*60)</f><v /></c><c r="AF110" s="13"><f>+AA110/AE110</f><v /></c><c r="AG110" s="303"><f>+(((Z110-Y110-AA110)/AA110)*100)</f><v /></c><c r="AH110" s="301"><f>AH109</f><v /></c><c r="AI110" s="301"><f>AI109</f><v /></c><c r="AJ110" s="301"><f>AJ109</f><v /></c><c r="AK110" s="52"><f>+Z110</f><v /></c><c r="AL110" s="52" t="n" /><c r="AM110" s="111"><f>AM109</f><v /></c><c r="AN110" s="299"><f>AN109</f><v /></c><c r="AO110" s="10"><f>LEFT(AN110,2)</f><v /></c><c r="AP110" s="10"><f>RIGHT(AN110,6)</f><v /></c><c r="AQ110" s="10"><f>+(AO110*60+AP110)/(60*60)</f><v /></c><c r="AR110" s="13"><f>+AM110/AQ110</f><v /></c><c r="AS110" s="303"><f>+(((AL110-AK110-AM110)/AM110)*100)</f><v /></c><c r="AT110" s="64"><f>IF(I110&gt;=1,"NO CONFORME",IF(BK110="SIGDIFERENTES",BC110,BL110))</f><v /></c><c r="AU110" s="21"><f>B110&lt;=C110</f><v /></c><c r="AV110" s="21"><f>N110&lt;Y110</f><v /></c><c r="AW110" s="21"><f>Z110&lt;=AK110</f><v /></c><c r="AX110" s="21"><f>IF(I110&gt;=1,"Qcorrecto",IF(AND(AY110="aceptable",AZ110="aceptable",BA110="aceptable"),"Qcorrecto","Qincorrecto"))</f><v /></c><c r="AY110" s="21"><f>IF(AR110&lt;$AH$6,"error",IF(AR110&gt;$AH$6*1.1,"error","aceptable"))</f><v /></c><c r="AZ110" s="21"><f>IF(AF110&lt;$V$6,"error",IF(AF110&gt;$V$6*1.1,"error","aceptable"))</f><v /></c><c r="BA110" s="21"><f>IF(T110&lt;$J$6*0.9,"error",IF(T110&gt;$J$6,"error","aceptable"))</f><v /></c><c r="BB110" s="65"><f>(IF(ABS(U110)&lt;1.05,"CONFORME",IF(ABS(AG110)&lt;1.05,"CONFORME",IF(ABS(AS110)&lt;2.55,"CONFORME","NO CONFORME"))))</f><v /></c><c r="BC110" s="62"><f>(IF(ABS(U110)&gt;2.05,"NO CONFORME",IF(ABS(AG110)&gt;2.05,"NO CONFORME",IF(ABS(AS110)&gt;5.05,"NO CONFORME","CONFORME"))))</f><v /></c><c r="BD110" s="64"><f>SIGN(U110)</f><v /></c><c r="BE110" s="64"><f>SIGN(AG110)</f><v /></c><c r="BF110" s="64"><f>SIGN(AS110)</f><v /></c><c r="BG110" s="64"><f>CONCATENATE(BD110,BE110,BF110)</f><v /></c><c r="BH110" s="64"><f>IF(BG110="111","SI","SD")</f><v /></c><c r="BI110" s="64"><f>IF(BG110="-1-1-1","SI","SD")</f><v /></c><c r="BJ110" s="64"><f>OR(BH110="SI",BI110="SI")</f><v /></c><c r="BK110" s="64"><f>IF(BJ110=FALSE,"SIGDIFERENTES","SIGIGUALES")</f><v /></c><c r="BL110" s="21"><f>IF(BC110="NO CONFORME","NO CONFORME",IF(BB110="CONFORME","CONFORME","NO CONFORME"))</f><v /></c><c r="BM110" s="66" t="n" /><c r="BN110" s="66" t="n" /></row><row r="111" ht="15" customHeight="1"><c r="A111" s="55" t="n"><v>103</v></c><c r="B111" s="304"><f>B110</f><v /></c><c r="C111" s="304"><f>C110</f><v /></c><c r="D111" s="94"><f>D110</f><v /></c><c r="E111" s="95"><f>E110</f><v /></c><c r="F111" s="96" t="n" /><c r="G111" s="305" t="n" /><c r="H111" s="98"><f>H110</f><v /></c><c r="I111" s="98" t="n" /><c r="J111" s="306"><f>J110</f><v /></c><c r="K111" s="306"><f>K110</f><v /></c><c r="L111" s="306"><f>L110</f><v /></c><c r="M111" s="100" t="n" /><c r="N111" s="100" t="n" /><c r="O111" s="101"><f>O110</f><v /></c><c r="P111" s="307"><f>P110</f><v /></c><c r="Q111" s="10"><f>LEFT(P111,1)</f><v /></c><c r="R111" s="10"><f>RIGHT(P111,6)</f><v /></c><c r="S111" s="10"><f>+(Q111*60+R111)/(60*60)</f><v /></c><c r="T111" s="13"><f>+O111/S111</f><v /></c><c r="U111" s="300"><f>+(((N111-M111-O111)/O111)*100)</f><v /></c><c r="V111" s="308"><f>V110</f><v /></c><c r="W111" s="309"><f>W110</f><v /></c><c r="X111" s="309"><f>X110</f><v /></c><c r="Y111" s="100" t="n" /><c r="Z111" s="100" t="n" /><c r="AA111" s="109"><f>AA110</f><v /></c><c r="AB111" s="307"><f>AB110</f><v /></c><c r="AC111" s="10"><f>LEFT(AB111,2)</f><v /></c><c r="AD111" s="10"><f>RIGHT(AB111,6)</f><v /></c><c r="AE111" s="10"><f>+(AC111*60+AD111)/(60*60)</f><v /></c><c r="AF111" s="13"><f>+AA111/AE111</f><v /></c><c r="AG111" s="303"><f>+(((Z111-Y111-AA111)/AA111)*100)</f><v /></c><c r="AH111" s="308"><f>AH110</f><v /></c><c r="AI111" s="308"><f>AI110</f><v /></c><c r="AJ111" s="308"><f>AJ110</f><v /></c><c r="AK111" s="100"><f>+Z111</f><v /></c><c r="AL111" s="100" t="n" /><c r="AM111" s="112"><f>AM110</f><v /></c><c r="AN111" s="307"><f>AN110</f><v /></c><c r="AO111" s="10"><f>LEFT(AN111,2)</f><v /></c><c r="AP111" s="10"><f>RIGHT(AN111,6)</f><v /></c><c r="AQ111" s="10"><f>+(AO111*60+AP111)/(60*60)</f><v /></c><c r="AR111" s="13"><f>+AM111/AQ111</f><v /></c><c r="AS111" s="303"><f>+(((AL111-AK111-AM111)/AM111)*100)</f><v /></c><c r="AT111" s="64"><f>IF(I111&gt;=1,"NO CONFORME",IF(BK111="SIGDIFERENTES",BC111,BL111))</f><v /></c><c r="AU111" s="21"><f>B111&lt;=C111</f><v /></c><c r="AV111" s="21"><f>N111&lt;Y111</f><v /></c><c r="AW111" s="21"><f>Z111&lt;=AK111</f><v /></c><c r="AX111" s="21"><f>IF(I111&gt;=1,"Qcorrecto",IF(AND(AY111="aceptable",AZ111="aceptable",BA111="aceptable"),"Qcorrecto","Qincorrecto"))</f><v /></c><c r="AY111" s="21"><f>IF(AR111&lt;$AH$6,"error",IF(AR111&gt;$AH$6*1.1,"error","aceptable"))</f><v /></c><c r="AZ111" s="21"><f>IF(AF111&lt;$V$6,"error",IF(AF111&gt;$V$6*1.1,"error","aceptable"))</f><v /></c><c r="BA111" s="21"><f>IF(T111&lt;$J$6*0.9,"error",IF(T111&gt;$J$6,"error","aceptable"))</f><v /></c><c r="BB111" s="65"><f>(IF(ABS(U111)&lt;1.05,"CONFORME",IF(ABS(AG111)&lt;1.05,"CONFORME",IF(ABS(AS111)&lt;2.55,"CONFORME","NO CONFORME"))))</f><v /></c><c r="BC111" s="62"><f>(IF(ABS(U111)&gt;2.05,"NO CONFORME",IF(ABS(AG111)&gt;2.05,"NO CONFORME",IF(ABS(AS111)&gt;5.05,"NO CONFORME","CONFORME"))))</f><v /></c><c r="BD111" s="64"><f>SIGN(U111)</f><v /></c><c r="BE111" s="64"><f>SIGN(AG111)</f><v /></c><c r="BF111" s="64"><f>SIGN(AS111)</f><v /></c><c r="BG111" s="64"><f>CONCATENATE(BD111,BE111,BF111)</f><v /></c><c r="BH111" s="64"><f>IF(BG111="111","SI","SD")</f><v /></c><c r="BI111" s="64"><f>IF(BG111="-1-1-1","SI","SD")</f><v /></c><c r="BJ111" s="64"><f>OR(BH111="SI",BI111="SI")</f><v /></c><c r="BK111" s="64"><f>IF(BJ111=FALSE,"SIGDIFERENTES","SIGIGUALES")</f><v /></c><c r="BL111" s="21"><f>IF(BC111="NO CONFORME","NO CONFORME",IF(BB111="CONFORME","CONFORME","NO CONFORME"))</f><v /></c><c r="BM111" s="66" t="n" /><c r="BN111" s="66" t="n" /></row><row r="112" ht="15.75" customHeight="1" thickBot="1"><c r="A112" s="9" t="n"><v>104</v></c><c r="B112" s="296"><f>B111</f><v /></c><c r="C112" s="296"><f>C111</f><v /></c><c r="D112" s="11"><f>D111</f><v /></c><c r="E112" s="9"><f>E111</f><v /></c><c r="F112" s="12" t="n" /><c r="G112" s="297" t="n" /><c r="H112" s="90"><f>H111</f><v /></c><c r="I112" s="90" t="n" /><c r="J112" s="298"><f>J111</f><v /></c><c r="K112" s="298"><f>K111</f><v /></c><c r="L112" s="298"><f>L111</f><v /></c><c r="M112" s="52" t="n" /><c r="N112" s="52" t="n" /><c r="O112" s="30"><f>O111</f><v /></c><c r="P112" s="299"><f>P111</f><v /></c><c r="Q112" s="10"><f>LEFT(P112,1)</f><v /></c><c r="R112" s="10"><f>RIGHT(P112,6)</f><v /></c><c r="S112" s="10"><f>+(Q112*60+R112)/(60*60)</f><v /></c><c r="T112" s="13"><f>+O112/S112</f><v /></c><c r="U112" s="300"><f>+(((N112-M112-O112)/O112)*100)</f><v /></c><c r="V112" s="301"><f>V111</f><v /></c><c r="W112" s="302"><f>W111</f><v /></c><c r="X112" s="302"><f>X111</f><v /></c><c r="Y112" s="52" t="n" /><c r="Z112" s="52" t="n" /><c r="AA112" s="106"><f>AA111</f><v /></c><c r="AB112" s="299"><f>AB111</f><v /></c><c r="AC112" s="10"><f>LEFT(AB112,2)</f><v /></c><c r="AD112" s="10"><f>RIGHT(AB112,6)</f><v /></c><c r="AE112" s="10"><f>+(AC112*60+AD112)/(60*60)</f><v /></c><c r="AF112" s="13"><f>+AA112/AE112</f><v /></c><c r="AG112" s="303"><f>+(((Z112-Y112-AA112)/AA112)*100)</f><v /></c><c r="AH112" s="301"><f>AH111</f><v /></c><c r="AI112" s="301"><f>AI111</f><v /></c><c r="AJ112" s="301"><f>AJ111</f><v /></c><c r="AK112" s="52"><f>+Z112</f><v /></c><c r="AL112" s="52" t="n" /><c r="AM112" s="111"><f>AM111</f><v /></c><c r="AN112" s="299"><f>AN111</f><v /></c><c r="AO112" s="10"><f>LEFT(AN112,2)</f><v /></c><c r="AP112" s="10"><f>RIGHT(AN112,6)</f><v /></c><c r="AQ112" s="10"><f>+(AO112*60+AP112)/(60*60)</f><v /></c><c r="AR112" s="13"><f>+AM112/AQ112</f><v /></c><c r="AS112" s="303"><f>+(((AL112-AK112-AM112)/AM112)*100)</f><v /></c><c r="AT112" s="64"><f>IF(I112&gt;=1,"NO CONFORME",IF(BK112="SIGDIFERENTES",BC112,BL112))</f><v /></c><c r="AU112" s="21"><f>B112&lt;=C112</f><v /></c><c r="AV112" s="21"><f>N112&lt;Y112</f><v /></c><c r="AW112" s="21"><f>Z112&lt;=AK112</f><v /></c><c r="AX112" s="21"><f>IF(I112&gt;=1,"Qcorrecto",IF(AND(AY112="aceptable",AZ112="aceptable",BA112="aceptable"),"Qcorrecto","Qincorrecto"))</f><v /></c><c r="AY112" s="21"><f>IF(AR112&lt;$AH$6,"error",IF(AR112&gt;$AH$6*1.1,"error","aceptable"))</f><v /></c><c r="AZ112" s="21"><f>IF(AF112&lt;$V$6,"error",IF(AF112&gt;$V$6*1.1,"error","aceptable"))</f><v /></c><c r="BA112" s="21"><f>IF(T112&lt;$J$6*0.9,"error",IF(T112&gt;$J$6,"error","aceptable"))</f><v /></c><c r="BB112" s="65"><f>(IF(ABS(U112)&lt;1.05,"CONFORME",IF(ABS(AG112)&lt;1.05,"CONFORME",IF(ABS(AS112)&lt;2.55,"CONFORME","NO CONFORME"))))</f><v /></c><c r="BC112" s="62"><f>(IF(ABS(U112)&gt;2.05,"NO CONFORME",IF(ABS(AG112)&gt;2.05,"NO CONFORME",IF(ABS(AS112)&gt;5.05,"NO CONFORME","CONFORME"))))</f><v /></c><c r="BD112" s="64"><f>SIGN(U112)</f><v /></c><c r="BE112" s="64"><f>SIGN(AG112)</f><v /></c><c r="BF112" s="64"><f>SIGN(AS112)</f><v /></c><c r="BG112" s="64"><f>CONCATENATE(BD112,BE112,BF112)</f><v /></c><c r="BH112" s="64"><f>IF(BG112="111","SI","SD")</f><v /></c><c r="BI112" s="64"><f>IF(BG112="-1-1-1","SI","SD")</f><v /></c><c r="BJ112" s="64"><f>OR(BH112="SI",BI112="SI")</f><v /></c><c r="BK112" s="64"><f>IF(BJ112=FALSE,"SIGDIFERENTES","SIGIGUALES")</f><v /></c><c r="BL112" s="21"><f>IF(BC112="NO CONFORME","NO CONFORME",IF(BB112="CONFORME","CONFORME","NO CONFORME"))</f><v /></c><c r="BM112" s="66" t="n" /><c r="BN112" s="66" t="n" /></row><row r="113" ht="15" customHeight="1"><c r="A113" s="55" t="n"><v>105</v></c><c r="B113" s="304"><f>B112</f><v /></c><c r="C113" s="304"><f>C112</f><v /></c><c r="D113" s="94"><f>D112</f><v /></c><c r="E113" s="95"><f>E112</f><v /></c><c r="F113" s="96" t="n" /><c r="G113" s="305" t="n" /><c r="H113" s="98"><f>H112</f><v /></c><c r="I113" s="98" t="n" /><c r="J113" s="306"><f>J112</f><v /></c><c r="K113" s="306"><f>K112</f><v /></c><c r="L113" s="306"><f>L112</f><v /></c><c r="M113" s="100" t="n" /><c r="N113" s="100" t="n" /><c r="O113" s="101"><f>O112</f><v /></c><c r="P113" s="307"><f>P112</f><v /></c><c r="Q113" s="10"><f>LEFT(P113,1)</f><v /></c><c r="R113" s="10"><f>RIGHT(P113,6)</f><v /></c><c r="S113" s="10"><f>+(Q113*60+R113)/(60*60)</f><v /></c><c r="T113" s="13"><f>+O113/S113</f><v /></c><c r="U113" s="300"><f>+(((N113-M113-O113)/O113)*100)</f><v /></c><c r="V113" s="308"><f>V112</f><v /></c><c r="W113" s="309"><f>W112</f><v /></c><c r="X113" s="309"><f>X112</f><v /></c><c r="Y113" s="100" t="n" /><c r="Z113" s="100" t="n" /><c r="AA113" s="109"><f>AA112</f><v /></c><c r="AB113" s="307"><f>AB112</f><v /></c><c r="AC113" s="10"><f>LEFT(AB113,2)</f><v /></c><c r="AD113" s="10"><f>RIGHT(AB113,6)</f><v /></c><c r="AE113" s="10"><f>+(AC113*60+AD113)/(60*60)</f><v /></c><c r="AF113" s="13"><f>+AA113/AE113</f><v /></c><c r="AG113" s="303"><f>+(((Z113-Y113-AA113)/AA113)*100)</f><v /></c><c r="AH113" s="308"><f>AH112</f><v /></c><c r="AI113" s="308"><f>AI112</f><v /></c><c r="AJ113" s="308"><f>AJ112</f><v /></c><c r="AK113" s="100"><f>+Z113</f><v /></c><c r="AL113" s="100" t="n" /><c r="AM113" s="112"><f>AM112</f><v /></c><c r="AN113" s="307"><f>AN112</f><v /></c><c r="AO113" s="10"><f>LEFT(AN113,2)</f><v /></c><c r="AP113" s="10"><f>RIGHT(AN113,6)</f><v /></c><c r="AQ113" s="10"><f>+(AO113*60+AP113)/(60*60)</f><v /></c><c r="AR113" s="13"><f>+AM113/AQ113</f><v /></c><c r="AS113" s="303"><f>+(((AL113-AK113-AM113)/AM113)*100)</f><v /></c><c r="AT113" s="64"><f>IF(I113&gt;=1,"NO CONFORME",IF(BK113="SIGDIFERENTES",BC113,BL113))</f><v /></c><c r="AU113" s="21"><f>B113&lt;=C113</f><v /></c><c r="AV113" s="21"><f>N113&lt;Y113</f><v /></c><c r="AW113" s="21"><f>Z113&lt;=AK113</f><v /></c><c r="AX113" s="21"><f>IF(I113&gt;=1,"Qcorrecto",IF(AND(AY113="aceptable",AZ113="aceptable",BA113="aceptable"),"Qcorrecto","Qincorrecto"))</f><v /></c><c r="AY113" s="21"><f>IF(AR113&lt;$AH$6,"error",IF(AR113&gt;$AH$6*1.1,"error","aceptable"))</f><v /></c><c r="AZ113" s="21"><f>IF(AF113&lt;$V$6,"error",IF(AF113&gt;$V$6*1.1,"error","aceptable"))</f><v /></c><c r="BA113" s="21"><f>IF(T113&lt;$J$6*0.9,"error",IF(T113&gt;$J$6,"error","aceptable"))</f><v /></c><c r="BB113" s="65"><f>(IF(ABS(U113)&lt;1.05,"CONFORME",IF(ABS(AG113)&lt;1.05,"CONFORME",IF(ABS(AS113)&lt;2.55,"CONFORME","NO CONFORME"))))</f><v /></c><c r="BC113" s="62"><f>(IF(ABS(U113)&gt;2.05,"NO CONFORME",IF(ABS(AG113)&gt;2.05,"NO CONFORME",IF(ABS(AS113)&gt;5.05,"NO CONFORME","CONFORME"))))</f><v /></c><c r="BD113" s="64"><f>SIGN(U113)</f><v /></c><c r="BE113" s="64"><f>SIGN(AG113)</f><v /></c><c r="BF113" s="64"><f>SIGN(AS113)</f><v /></c><c r="BG113" s="64"><f>CONCATENATE(BD113,BE113,BF113)</f><v /></c><c r="BH113" s="64"><f>IF(BG113="111","SI","SD")</f><v /></c><c r="BI113" s="64"><f>IF(BG113="-1-1-1","SI","SD")</f><v /></c><c r="BJ113" s="64"><f>OR(BH113="SI",BI113="SI")</f><v /></c><c r="BK113" s="64"><f>IF(BJ113=FALSE,"SIGDIFERENTES","SIGIGUALES")</f><v /></c><c r="BL113" s="21"><f>IF(BC113="NO CONFORME","NO CONFORME",IF(BB113="CONFORME","CONFORME","NO CONFORME"))</f><v /></c><c r="BM113" s="66" t="n" /><c r="BN113" s="66" t="n" /></row><row r="114" ht="15.75" customHeight="1" thickBot="1"><c r="A114" s="9" t="n"><v>106</v></c><c r="B114" s="296"><f>B113</f><v /></c><c r="C114" s="296"><f>C113</f><v /></c><c r="D114" s="11"><f>D113</f><v /></c><c r="E114" s="9"><f>E113</f><v /></c><c r="F114" s="12" t="n" /><c r="G114" s="297" t="n" /><c r="H114" s="90"><f>H113</f><v /></c><c r="I114" s="90" t="n" /><c r="J114" s="298"><f>J113</f><v /></c><c r="K114" s="298"><f>K113</f><v /></c><c r="L114" s="298"><f>L113</f><v /></c><c r="M114" s="52" t="n" /><c r="N114" s="52" t="n" /><c r="O114" s="30"><f>O113</f><v /></c><c r="P114" s="299"><f>P113</f><v /></c><c r="Q114" s="10"><f>LEFT(P114,1)</f><v /></c><c r="R114" s="10"><f>RIGHT(P114,6)</f><v /></c><c r="S114" s="10"><f>+(Q114*60+R114)/(60*60)</f><v /></c><c r="T114" s="13"><f>+O114/S114</f><v /></c><c r="U114" s="300"><f>+(((N114-M114-O114)/O114)*100)</f><v /></c><c r="V114" s="301"><f>V113</f><v /></c><c r="W114" s="302"><f>W113</f><v /></c><c r="X114" s="302"><f>X113</f><v /></c><c r="Y114" s="52" t="n" /><c r="Z114" s="52" t="n" /><c r="AA114" s="106"><f>AA113</f><v /></c><c r="AB114" s="299"><f>AB113</f><v /></c><c r="AC114" s="10"><f>LEFT(AB114,2)</f><v /></c><c r="AD114" s="10"><f>RIGHT(AB114,6)</f><v /></c><c r="AE114" s="10"><f>+(AC114*60+AD114)/(60*60)</f><v /></c><c r="AF114" s="13"><f>+AA114/AE114</f><v /></c><c r="AG114" s="303"><f>+(((Z114-Y114-AA114)/AA114)*100)</f><v /></c><c r="AH114" s="301"><f>AH113</f><v /></c><c r="AI114" s="301"><f>AI113</f><v /></c><c r="AJ114" s="301"><f>AJ113</f><v /></c><c r="AK114" s="52"><f>+Z114</f><v /></c><c r="AL114" s="52" t="n" /><c r="AM114" s="111"><f>AM113</f><v /></c><c r="AN114" s="299"><f>AN113</f><v /></c><c r="AO114" s="10"><f>LEFT(AN114,2)</f><v /></c><c r="AP114" s="10"><f>RIGHT(AN114,6)</f><v /></c><c r="AQ114" s="10"><f>+(AO114*60+AP114)/(60*60)</f><v /></c><c r="AR114" s="13"><f>+AM114/AQ114</f><v /></c><c r="AS114" s="303"><f>+(((AL114-AK114-AM114)/AM114)*100)</f><v /></c><c r="AT114" s="64"><f>IF(I114&gt;=1,"NO CONFORME",IF(BK114="SIGDIFERENTES",BC114,BL114))</f><v /></c><c r="AU114" s="21"><f>B114&lt;=C114</f><v /></c><c r="AV114" s="21"><f>N114&lt;Y114</f><v /></c><c r="AW114" s="21"><f>Z114&lt;=AK114</f><v /></c><c r="AX114" s="21"><f>IF(I114&gt;=1,"Qcorrecto",IF(AND(AY114="aceptable",AZ114="aceptable",BA114="aceptable"),"Qcorrecto","Qincorrecto"))</f><v /></c><c r="AY114" s="21"><f>IF(AR114&lt;$AH$6,"error",IF(AR114&gt;$AH$6*1.1,"error","aceptable"))</f><v /></c><c r="AZ114" s="21"><f>IF(AF114&lt;$V$6,"error",IF(AF114&gt;$V$6*1.1,"error","aceptable"))</f><v /></c><c r="BA114" s="21"><f>IF(T114&lt;$J$6*0.9,"error",IF(T114&gt;$J$6,"error","aceptable"))</f><v /></c><c r="BB114" s="65"><f>(IF(ABS(U114)&lt;1.05,"CONFORME",IF(ABS(AG114)&lt;1.05,"CONFORME",IF(ABS(AS114)&lt;2.55,"CONFORME","NO CONFORME"))))</f><v /></c><c r="BC114" s="62"><f>(IF(ABS(U114)&gt;2.05,"NO CONFORME",IF(ABS(AG114)&gt;2.05,"NO CONFORME",IF(ABS(AS114)&gt;5.05,"NO CONFORME","CONFORME"))))</f><v /></c><c r="BD114" s="64"><f>SIGN(U114)</f><v /></c><c r="BE114" s="64"><f>SIGN(AG114)</f><v /></c><c r="BF114" s="64"><f>SIGN(AS114)</f><v /></c><c r="BG114" s="64"><f>CONCATENATE(BD114,BE114,BF114)</f><v /></c><c r="BH114" s="64"><f>IF(BG114="111","SI","SD")</f><v /></c><c r="BI114" s="64"><f>IF(BG114="-1-1-1","SI","SD")</f><v /></c><c r="BJ114" s="64"><f>OR(BH114="SI",BI114="SI")</f><v /></c><c r="BK114" s="64"><f>IF(BJ114=FALSE,"SIGDIFERENTES","SIGIGUALES")</f><v /></c><c r="BL114" s="21"><f>IF(BC114="NO CONFORME","NO CONFORME",IF(BB114="CONFORME","CONFORME","NO CONFORME"))</f><v /></c><c r="BM114" s="66" t="n" /><c r="BN114" s="66" t="n" /></row><row r="115" ht="15" customHeight="1"><c r="A115" s="55" t="n"><v>107</v></c><c r="B115" s="304"><f>B114</f><v /></c><c r="C115" s="304"><f>C114</f><v /></c><c r="D115" s="94"><f>D114</f><v /></c><c r="E115" s="95"><f>E114</f><v /></c><c r="F115" s="96" t="n" /><c r="G115" s="305" t="n" /><c r="H115" s="98"><f>H114</f><v /></c><c r="I115" s="98" t="n" /><c r="J115" s="306"><f>J114</f><v /></c><c r="K115" s="306"><f>K114</f><v /></c><c r="L115" s="306"><f>L114</f><v /></c><c r="M115" s="100" t="n" /><c r="N115" s="100" t="n" /><c r="O115" s="101"><f>O114</f><v /></c><c r="P115" s="307"><f>P114</f><v /></c><c r="Q115" s="10"><f>LEFT(P115,1)</f><v /></c><c r="R115" s="10"><f>RIGHT(P115,6)</f><v /></c><c r="S115" s="10"><f>+(Q115*60+R115)/(60*60)</f><v /></c><c r="T115" s="13"><f>+O115/S115</f><v /></c><c r="U115" s="300"><f>+(((N115-M115-O115)/O115)*100)</f><v /></c><c r="V115" s="308"><f>V114</f><v /></c><c r="W115" s="309"><f>W114</f><v /></c><c r="X115" s="309"><f>X114</f><v /></c><c r="Y115" s="100" t="n" /><c r="Z115" s="100" t="n" /><c r="AA115" s="109"><f>AA114</f><v /></c><c r="AB115" s="307"><f>AB114</f><v /></c><c r="AC115" s="10"><f>LEFT(AB115,2)</f><v /></c><c r="AD115" s="10"><f>RIGHT(AB115,6)</f><v /></c><c r="AE115" s="10"><f>+(AC115*60+AD115)/(60*60)</f><v /></c><c r="AF115" s="13"><f>+AA115/AE115</f><v /></c><c r="AG115" s="303"><f>+(((Z115-Y115-AA115)/AA115)*100)</f><v /></c><c r="AH115" s="308"><f>AH114</f><v /></c><c r="AI115" s="308"><f>AI114</f><v /></c><c r="AJ115" s="308"><f>AJ114</f><v /></c><c r="AK115" s="100"><f>+Z115</f><v /></c><c r="AL115" s="100" t="n" /><c r="AM115" s="112"><f>AM114</f><v /></c><c r="AN115" s="307"><f>AN114</f><v /></c><c r="AO115" s="10"><f>LEFT(AN115,2)</f><v /></c><c r="AP115" s="10"><f>RIGHT(AN115,6)</f><v /></c><c r="AQ115" s="10"><f>+(AO115*60+AP115)/(60*60)</f><v /></c><c r="AR115" s="13"><f>+AM115/AQ115</f><v /></c><c r="AS115" s="303"><f>+(((AL115-AK115-AM115)/AM115)*100)</f><v /></c><c r="AT115" s="64"><f>IF(I115&gt;=1,"NO CONFORME",IF(BK115="SIGDIFERENTES",BC115,BL115))</f><v /></c><c r="AU115" s="21"><f>B115&lt;=C115</f><v /></c><c r="AV115" s="21"><f>N115&lt;Y115</f><v /></c><c r="AW115" s="21"><f>Z115&lt;=AK115</f><v /></c><c r="AX115" s="21"><f>IF(I115&gt;=1,"Qcorrecto",IF(AND(AY115="aceptable",AZ115="aceptable",BA115="aceptable"),"Qcorrecto","Qincorrecto"))</f><v /></c><c r="AY115" s="21"><f>IF(AR115&lt;$AH$6,"error",IF(AR115&gt;$AH$6*1.1,"error","aceptable"))</f><v /></c><c r="AZ115" s="21"><f>IF(AF115&lt;$V$6,"error",IF(AF115&gt;$V$6*1.1,"error","aceptable"))</f><v /></c><c r="BA115" s="21"><f>IF(T115&lt;$J$6*0.9,"error",IF(T115&gt;$J$6,"error","aceptable"))</f><v /></c><c r="BB115" s="65"><f>(IF(ABS(U115)&lt;1.05,"CONFORME",IF(ABS(AG115)&lt;1.05,"CONFORME",IF(ABS(AS115)&lt;2.55,"CONFORME","NO CONFORME"))))</f><v /></c><c r="BC115" s="62"><f>(IF(ABS(U115)&gt;2.05,"NO CONFORME",IF(ABS(AG115)&gt;2.05,"NO CONFORME",IF(ABS(AS115)&gt;5.05,"NO CONFORME","CONFORME"))))</f><v /></c><c r="BD115" s="64"><f>SIGN(U115)</f><v /></c><c r="BE115" s="64"><f>SIGN(AG115)</f><v /></c><c r="BF115" s="64"><f>SIGN(AS115)</f><v /></c><c r="BG115" s="64"><f>CONCATENATE(BD115,BE115,BF115)</f><v /></c><c r="BH115" s="64"><f>IF(BG115="111","SI","SD")</f><v /></c><c r="BI115" s="64"><f>IF(BG115="-1-1-1","SI","SD")</f><v /></c><c r="BJ115" s="64"><f>OR(BH115="SI",BI115="SI")</f><v /></c><c r="BK115" s="64"><f>IF(BJ115=FALSE,"SIGDIFERENTES","SIGIGUALES")</f><v /></c><c r="BL115" s="21"><f>IF(BC115="NO CONFORME","NO CONFORME",IF(BB115="CONFORME","CONFORME","NO CONFORME"))</f><v /></c><c r="BM115" s="66" t="n" /><c r="BN115" s="66" t="n" /></row><row r="116" ht="15.75" customHeight="1" thickBot="1"><c r="A116" s="9" t="n"><v>108</v></c><c r="B116" s="296"><f>B115</f><v /></c><c r="C116" s="296"><f>C115</f><v /></c><c r="D116" s="11"><f>D115</f><v /></c><c r="E116" s="9"><f>E115</f><v /></c><c r="F116" s="12" t="n" /><c r="G116" s="297" t="n" /><c r="H116" s="90"><f>H115</f><v /></c><c r="I116" s="90" t="n" /><c r="J116" s="298"><f>J115</f><v /></c><c r="K116" s="298"><f>K115</f><v /></c><c r="L116" s="298"><f>L115</f><v /></c><c r="M116" s="52" t="n" /><c r="N116" s="52" t="n" /><c r="O116" s="30"><f>O115</f><v /></c><c r="P116" s="299"><f>P115</f><v /></c><c r="Q116" s="10"><f>LEFT(P116,1)</f><v /></c><c r="R116" s="10"><f>RIGHT(P116,6)</f><v /></c><c r="S116" s="10"><f>+(Q116*60+R116)/(60*60)</f><v /></c><c r="T116" s="13"><f>+O116/S116</f><v /></c><c r="U116" s="300"><f>+(((N116-M116-O116)/O116)*100)</f><v /></c><c r="V116" s="301"><f>V115</f><v /></c><c r="W116" s="302"><f>W115</f><v /></c><c r="X116" s="302"><f>X115</f><v /></c><c r="Y116" s="52" t="n" /><c r="Z116" s="52" t="n" /><c r="AA116" s="106"><f>AA115</f><v /></c><c r="AB116" s="299"><f>AB115</f><v /></c><c r="AC116" s="10"><f>LEFT(AB116,2)</f><v /></c><c r="AD116" s="10"><f>RIGHT(AB116,6)</f><v /></c><c r="AE116" s="10"><f>+(AC116*60+AD116)/(60*60)</f><v /></c><c r="AF116" s="13"><f>+AA116/AE116</f><v /></c><c r="AG116" s="303"><f>+(((Z116-Y116-AA116)/AA116)*100)</f><v /></c><c r="AH116" s="301"><f>AH115</f><v /></c><c r="AI116" s="301"><f>AI115</f><v /></c><c r="AJ116" s="301"><f>AJ115</f><v /></c><c r="AK116" s="52"><f>+Z116</f><v /></c><c r="AL116" s="52" t="n" /><c r="AM116" s="111"><f>AM115</f><v /></c><c r="AN116" s="299"><f>AN115</f><v /></c><c r="AO116" s="10"><f>LEFT(AN116,2)</f><v /></c><c r="AP116" s="10"><f>RIGHT(AN116,6)</f><v /></c><c r="AQ116" s="10"><f>+(AO116*60+AP116)/(60*60)</f><v /></c><c r="AR116" s="13"><f>+AM116/AQ116</f><v /></c><c r="AS116" s="303"><f>+(((AL116-AK116-AM116)/AM116)*100)</f><v /></c><c r="AT116" s="64"><f>IF(I116&gt;=1,"NO CONFORME",IF(BK116="SIGDIFERENTES",BC116,BL116))</f><v /></c><c r="AU116" s="21"><f>B116&lt;=C116</f><v /></c><c r="AV116" s="21"><f>N116&lt;Y116</f><v /></c><c r="AW116" s="21"><f>Z116&lt;=AK116</f><v /></c><c r="AX116" s="21"><f>IF(I116&gt;=1,"Qcorrecto",IF(AND(AY116="aceptable",AZ116="aceptable",BA116="aceptable"),"Qcorrecto","Qincorrecto"))</f><v /></c><c r="AY116" s="21"><f>IF(AR116&lt;$AH$6,"error",IF(AR116&gt;$AH$6*1.1,"error","aceptable"))</f><v /></c><c r="AZ116" s="21"><f>IF(AF116&lt;$V$6,"error",IF(AF116&gt;$V$6*1.1,"error","aceptable"))</f><v /></c><c r="BA116" s="21"><f>IF(T116&lt;$J$6*0.9,"error",IF(T116&gt;$J$6,"error","aceptable"))</f><v /></c><c r="BB116" s="65"><f>(IF(ABS(U116)&lt;1.05,"CONFORME",IF(ABS(AG116)&lt;1.05,"CONFORME",IF(ABS(AS116)&lt;2.55,"CONFORME","NO CONFORME"))))</f><v /></c><c r="BC116" s="62"><f>(IF(ABS(U116)&gt;2.05,"NO CONFORME",IF(ABS(AG116)&gt;2.05,"NO CONFORME",IF(ABS(AS116)&gt;5.05,"NO CONFORME","CONFORME"))))</f><v /></c><c r="BD116" s="64"><f>SIGN(U116)</f><v /></c><c r="BE116" s="64"><f>SIGN(AG116)</f><v /></c><c r="BF116" s="64"><f>SIGN(AS116)</f><v /></c><c r="BG116" s="64"><f>CONCATENATE(BD116,BE116,BF116)</f><v /></c><c r="BH116" s="64"><f>IF(BG116="111","SI","SD")</f><v /></c><c r="BI116" s="64"><f>IF(BG116="-1-1-1","SI","SD")</f><v /></c><c r="BJ116" s="64"><f>OR(BH116="SI",BI116="SI")</f><v /></c><c r="BK116" s="64"><f>IF(BJ116=FALSE,"SIGDIFERENTES","SIGIGUALES")</f><v /></c><c r="BL116" s="21"><f>IF(BC116="NO CONFORME","NO CONFORME",IF(BB116="CONFORME","CONFORME","NO CONFORME"))</f><v /></c><c r="BM116" s="66" t="n" /><c r="BN116" s="66" t="n" /></row><row r="117" ht="15" customHeight="1"><c r="A117" s="55" t="n"><v>109</v></c><c r="B117" s="304"><f>B116</f><v /></c><c r="C117" s="304"><f>C116</f><v /></c><c r="D117" s="94"><f>D116</f><v /></c><c r="E117" s="95"><f>E116</f><v /></c><c r="F117" s="96" t="n" /><c r="G117" s="305" t="n" /><c r="H117" s="98"><f>H116</f><v /></c><c r="I117" s="98" t="n" /><c r="J117" s="306"><f>J116</f><v /></c><c r="K117" s="306"><f>K116</f><v /></c><c r="L117" s="306"><f>L116</f><v /></c><c r="M117" s="100" t="n" /><c r="N117" s="100" t="n" /><c r="O117" s="101"><f>O116</f><v /></c><c r="P117" s="307"><f>P116</f><v /></c><c r="Q117" s="10"><f>LEFT(P117,1)</f><v /></c><c r="R117" s="10"><f>RIGHT(P117,6)</f><v /></c><c r="S117" s="10"><f>+(Q117*60+R117)/(60*60)</f><v /></c><c r="T117" s="13"><f>+O117/S117</f><v /></c><c r="U117" s="300"><f>+(((N117-M117-O117)/O117)*100)</f><v /></c><c r="V117" s="308"><f>V116</f><v /></c><c r="W117" s="309"><f>W116</f><v /></c><c r="X117" s="309"><f>X116</f><v /></c><c r="Y117" s="100" t="n" /><c r="Z117" s="100" t="n" /><c r="AA117" s="109"><f>AA116</f><v /></c><c r="AB117" s="307"><f>AB116</f><v /></c><c r="AC117" s="10"><f>LEFT(AB117,2)</f><v /></c><c r="AD117" s="10"><f>RIGHT(AB117,6)</f><v /></c><c r="AE117" s="10"><f>+(AC117*60+AD117)/(60*60)</f><v /></c><c r="AF117" s="13"><f>+AA117/AE117</f><v /></c><c r="AG117" s="303"><f>+(((Z117-Y117-AA117)/AA117)*100)</f><v /></c><c r="AH117" s="308"><f>AH116</f><v /></c><c r="AI117" s="308"><f>AI116</f><v /></c><c r="AJ117" s="308"><f>AJ116</f><v /></c><c r="AK117" s="100"><f>+Z117</f><v /></c><c r="AL117" s="100" t="n" /><c r="AM117" s="112"><f>AM116</f><v /></c><c r="AN117" s="307"><f>AN116</f><v /></c><c r="AO117" s="10"><f>LEFT(AN117,2)</f><v /></c><c r="AP117" s="10"><f>RIGHT(AN117,6)</f><v /></c><c r="AQ117" s="10"><f>+(AO117*60+AP117)/(60*60)</f><v /></c><c r="AR117" s="13"><f>+AM117/AQ117</f><v /></c><c r="AS117" s="303"><f>+(((AL117-AK117-AM117)/AM117)*100)</f><v /></c><c r="AT117" s="64"><f>IF(I117&gt;=1,"NO CONFORME",IF(BK117="SIGDIFERENTES",BC117,BL117))</f><v /></c><c r="AU117" s="21"><f>B117&lt;=C117</f><v /></c><c r="AV117" s="21"><f>N117&lt;Y117</f><v /></c><c r="AW117" s="21"><f>Z117&lt;=AK117</f><v /></c><c r="AX117" s="21"><f>IF(I117&gt;=1,"Qcorrecto",IF(AND(AY117="aceptable",AZ117="aceptable",BA117="aceptable"),"Qcorrecto","Qincorrecto"))</f><v /></c><c r="AY117" s="21"><f>IF(AR117&lt;$AH$6,"error",IF(AR117&gt;$AH$6*1.1,"error","aceptable"))</f><v /></c><c r="AZ117" s="21"><f>IF(AF117&lt;$V$6,"error",IF(AF117&gt;$V$6*1.1,"error","aceptable"))</f><v /></c><c r="BA117" s="21"><f>IF(T117&lt;$J$6*0.9,"error",IF(T117&gt;$J$6,"error","aceptable"))</f><v /></c><c r="BB117" s="65"><f>(IF(ABS(U117)&lt;1.05,"CONFORME",IF(ABS(AG117)&lt;1.05,"CONFORME",IF(ABS(AS117)&lt;2.55,"CONFORME","NO CONFORME"))))</f><v /></c><c r="BC117" s="62"><f>(IF(ABS(U117)&gt;2.05,"NO CONFORME",IF(ABS(AG117)&gt;2.05,"NO CONFORME",IF(ABS(AS117)&gt;5.05,"NO CONFORME","CONFORME"))))</f><v /></c><c r="BD117" s="64"><f>SIGN(U117)</f><v /></c><c r="BE117" s="64"><f>SIGN(AG117)</f><v /></c><c r="BF117" s="64"><f>SIGN(AS117)</f><v /></c><c r="BG117" s="64"><f>CONCATENATE(BD117,BE117,BF117)</f><v /></c><c r="BH117" s="64"><f>IF(BG117="111","SI","SD")</f><v /></c><c r="BI117" s="64"><f>IF(BG117="-1-1-1","SI","SD")</f><v /></c><c r="BJ117" s="64"><f>OR(BH117="SI",BI117="SI")</f><v /></c><c r="BK117" s="64"><f>IF(BJ117=FALSE,"SIGDIFERENTES","SIGIGUALES")</f><v /></c><c r="BL117" s="21"><f>IF(BC117="NO CONFORME","NO CONFORME",IF(BB117="CONFORME","CONFORME","NO CONFORME"))</f><v /></c><c r="BM117" s="66" t="n" /><c r="BN117" s="66" t="n" /></row><row r="118" ht="15.75" customHeight="1" thickBot="1"><c r="A118" s="9" t="n"><v>110</v></c><c r="B118" s="296"><f>B117</f><v /></c><c r="C118" s="296"><f>C117</f><v /></c><c r="D118" s="11"><f>D117</f><v /></c><c r="E118" s="9"><f>E117</f><v /></c><c r="F118" s="12" t="n" /><c r="G118" s="297" t="n" /><c r="H118" s="90"><f>H117</f><v /></c><c r="I118" s="90" t="n" /><c r="J118" s="298"><f>J117</f><v /></c><c r="K118" s="298"><f>K117</f><v /></c><c r="L118" s="298"><f>L117</f><v /></c><c r="M118" s="52" t="n" /><c r="N118" s="52" t="n" /><c r="O118" s="30"><f>O117</f><v /></c><c r="P118" s="299"><f>P117</f><v /></c><c r="Q118" s="10"><f>LEFT(P118,1)</f><v /></c><c r="R118" s="10"><f>RIGHT(P118,6)</f><v /></c><c r="S118" s="10"><f>+(Q118*60+R118)/(60*60)</f><v /></c><c r="T118" s="13"><f>+O118/S118</f><v /></c><c r="U118" s="300"><f>+(((N118-M118-O118)/O118)*100)</f><v /></c><c r="V118" s="301"><f>V117</f><v /></c><c r="W118" s="302"><f>W117</f><v /></c><c r="X118" s="302"><f>X117</f><v /></c><c r="Y118" s="52" t="n" /><c r="Z118" s="52" t="n" /><c r="AA118" s="106"><f>AA117</f><v /></c><c r="AB118" s="299"><f>AB117</f><v /></c><c r="AC118" s="10"><f>LEFT(AB118,2)</f><v /></c><c r="AD118" s="10"><f>RIGHT(AB118,6)</f><v /></c><c r="AE118" s="10"><f>+(AC118*60+AD118)/(60*60)</f><v /></c><c r="AF118" s="13"><f>+AA118/AE118</f><v /></c><c r="AG118" s="303"><f>+(((Z118-Y118-AA118)/AA118)*100)</f><v /></c><c r="AH118" s="301"><f>AH117</f><v /></c><c r="AI118" s="301"><f>AI117</f><v /></c><c r="AJ118" s="301"><f>AJ117</f><v /></c><c r="AK118" s="52"><f>+Z118</f><v /></c><c r="AL118" s="52" t="n" /><c r="AM118" s="111"><f>AM117</f><v /></c><c r="AN118" s="299"><f>AN117</f><v /></c><c r="AO118" s="10"><f>LEFT(AN118,2)</f><v /></c><c r="AP118" s="10"><f>RIGHT(AN118,6)</f><v /></c><c r="AQ118" s="10"><f>+(AO118*60+AP118)/(60*60)</f><v /></c><c r="AR118" s="13"><f>+AM118/AQ118</f><v /></c><c r="AS118" s="303"><f>+(((AL118-AK118-AM118)/AM118)*100)</f><v /></c><c r="AT118" s="64"><f>IF(I118&gt;=1,"NO CONFORME",IF(BK118="SIGDIFERENTES",BC118,BL118))</f><v /></c><c r="AU118" s="21"><f>B118&lt;=C118</f><v /></c><c r="AV118" s="21"><f>N118&lt;Y118</f><v /></c><c r="AW118" s="21"><f>Z118&lt;=AK118</f><v /></c><c r="AX118" s="21"><f>IF(I118&gt;=1,"Qcorrecto",IF(AND(AY118="aceptable",AZ118="aceptable",BA118="aceptable"),"Qcorrecto","Qincorrecto"))</f><v /></c><c r="AY118" s="21"><f>IF(AR118&lt;$AH$6,"error",IF(AR118&gt;$AH$6*1.1,"error","aceptable"))</f><v /></c><c r="AZ118" s="21"><f>IF(AF118&lt;$V$6,"error",IF(AF118&gt;$V$6*1.1,"error","aceptable"))</f><v /></c><c r="BA118" s="21"><f>IF(T118&lt;$J$6*0.9,"error",IF(T118&gt;$J$6,"error","aceptable"))</f><v /></c><c r="BB118" s="65"><f>(IF(ABS(U118)&lt;1.05,"CONFORME",IF(ABS(AG118)&lt;1.05,"CONFORME",IF(ABS(AS118)&lt;2.55,"CONFORME","NO CONFORME"))))</f><v /></c><c r="BC118" s="62"><f>(IF(ABS(U118)&gt;2.05,"NO CONFORME",IF(ABS(AG118)&gt;2.05,"NO CONFORME",IF(ABS(AS118)&gt;5.05,"NO CONFORME","CONFORME"))))</f><v /></c><c r="BD118" s="64"><f>SIGN(U118)</f><v /></c><c r="BE118" s="64"><f>SIGN(AG118)</f><v /></c><c r="BF118" s="64"><f>SIGN(AS118)</f><v /></c><c r="BG118" s="64"><f>CONCATENATE(BD118,BE118,BF118)</f><v /></c><c r="BH118" s="64"><f>IF(BG118="111","SI","SD")</f><v /></c><c r="BI118" s="64"><f>IF(BG118="-1-1-1","SI","SD")</f><v /></c><c r="BJ118" s="64"><f>OR(BH118="SI",BI118="SI")</f><v /></c><c r="BK118" s="64"><f>IF(BJ118=FALSE,"SIGDIFERENTES","SIGIGUALES")</f><v /></c><c r="BL118" s="21"><f>IF(BC118="NO CONFORME","NO CONFORME",IF(BB118="CONFORME","CONFORME","NO CONFORME"))</f><v /></c><c r="BM118" s="66" t="n" /><c r="BN118" s="66" t="n" /></row><row r="119" ht="15" customHeight="1"><c r="A119" s="55" t="n"><v>111</v></c><c r="B119" s="304"><f>B118</f><v /></c><c r="C119" s="304"><f>C118</f><v /></c><c r="D119" s="94"><f>D118</f><v /></c><c r="E119" s="95"><f>E118</f><v /></c><c r="F119" s="96" t="n" /><c r="G119" s="305" t="n" /><c r="H119" s="98"><f>H118</f><v /></c><c r="I119" s="98" t="n" /><c r="J119" s="306"><f>J118</f><v /></c><c r="K119" s="306"><f>K118</f><v /></c><c r="L119" s="306"><f>L118</f><v /></c><c r="M119" s="100" t="n" /><c r="N119" s="100" t="n" /><c r="O119" s="101"><f>O118</f><v /></c><c r="P119" s="307"><f>P118</f><v /></c><c r="Q119" s="10"><f>LEFT(P119,1)</f><v /></c><c r="R119" s="10"><f>RIGHT(P119,6)</f><v /></c><c r="S119" s="10"><f>+(Q119*60+R119)/(60*60)</f><v /></c><c r="T119" s="13"><f>+O119/S119</f><v /></c><c r="U119" s="300"><f>+(((N119-M119-O119)/O119)*100)</f><v /></c><c r="V119" s="308"><f>V118</f><v /></c><c r="W119" s="309"><f>W118</f><v /></c><c r="X119" s="309"><f>X118</f><v /></c><c r="Y119" s="100" t="n" /><c r="Z119" s="100" t="n" /><c r="AA119" s="109"><f>AA118</f><v /></c><c r="AB119" s="307"><f>AB118</f><v /></c><c r="AC119" s="10"><f>LEFT(AB119,2)</f><v /></c><c r="AD119" s="10"><f>RIGHT(AB119,6)</f><v /></c><c r="AE119" s="10"><f>+(AC119*60+AD119)/(60*60)</f><v /></c><c r="AF119" s="13"><f>+AA119/AE119</f><v /></c><c r="AG119" s="303"><f>+(((Z119-Y119-AA119)/AA119)*100)</f><v /></c><c r="AH119" s="308"><f>AH118</f><v /></c><c r="AI119" s="308"><f>AI118</f><v /></c><c r="AJ119" s="308"><f>AJ118</f><v /></c><c r="AK119" s="100"><f>+Z119</f><v /></c><c r="AL119" s="100" t="n" /><c r="AM119" s="112"><f>AM118</f><v /></c><c r="AN119" s="307"><f>AN118</f><v /></c><c r="AO119" s="10"><f>LEFT(AN119,2)</f><v /></c><c r="AP119" s="10"><f>RIGHT(AN119,6)</f><v /></c><c r="AQ119" s="10"><f>+(AO119*60+AP119)/(60*60)</f><v /></c><c r="AR119" s="13"><f>+AM119/AQ119</f><v /></c><c r="AS119" s="303"><f>+(((AL119-AK119-AM119)/AM119)*100)</f><v /></c><c r="AT119" s="64"><f>IF(I119&gt;=1,"NO CONFORME",IF(BK119="SIGDIFERENTES",BC119,BL119))</f><v /></c><c r="AU119" s="21"><f>B119&lt;=C119</f><v /></c><c r="AV119" s="21"><f>N119&lt;Y119</f><v /></c><c r="AW119" s="21"><f>Z119&lt;=AK119</f><v /></c><c r="AX119" s="21"><f>IF(I119&gt;=1,"Qcorrecto",IF(AND(AY119="aceptable",AZ119="aceptable",BA119="aceptable"),"Qcorrecto","Qincorrecto"))</f><v /></c><c r="AY119" s="21"><f>IF(AR119&lt;$AH$6,"error",IF(AR119&gt;$AH$6*1.1,"error","aceptable"))</f><v /></c><c r="AZ119" s="21"><f>IF(AF119&lt;$V$6,"error",IF(AF119&gt;$V$6*1.1,"error","aceptable"))</f><v /></c><c r="BA119" s="21"><f>IF(T119&lt;$J$6*0.9,"error",IF(T119&gt;$J$6,"error","aceptable"))</f><v /></c><c r="BB119" s="65"><f>(IF(ABS(U119)&lt;1.05,"CONFORME",IF(ABS(AG119)&lt;1.05,"CONFORME",IF(ABS(AS119)&lt;2.55,"CONFORME","NO CONFORME"))))</f><v /></c><c r="BC119" s="62"><f>(IF(ABS(U119)&gt;2.05,"NO CONFORME",IF(ABS(AG119)&gt;2.05,"NO CONFORME",IF(ABS(AS119)&gt;5.05,"NO CONFORME","CONFORME"))))</f><v /></c><c r="BD119" s="64"><f>SIGN(U119)</f><v /></c><c r="BE119" s="64"><f>SIGN(AG119)</f><v /></c><c r="BF119" s="64"><f>SIGN(AS119)</f><v /></c><c r="BG119" s="64"><f>CONCATENATE(BD119,BE119,BF119)</f><v /></c><c r="BH119" s="64"><f>IF(BG119="111","SI","SD")</f><v /></c><c r="BI119" s="64"><f>IF(BG119="-1-1-1","SI","SD")</f><v /></c><c r="BJ119" s="64"><f>OR(BH119="SI",BI119="SI")</f><v /></c><c r="BK119" s="64"><f>IF(BJ119=FALSE,"SIGDIFERENTES","SIGIGUALES")</f><v /></c><c r="BL119" s="21"><f>IF(BC119="NO CONFORME","NO CONFORME",IF(BB119="CONFORME","CONFORME","NO CONFORME"))</f><v /></c><c r="BM119" s="66" t="n" /><c r="BN119" s="66" t="n" /></row><row r="120" ht="15.75" customHeight="1" thickBot="1"><c r="A120" s="9" t="n"><v>112</v></c><c r="B120" s="296"><f>B119</f><v /></c><c r="C120" s="296"><f>C119</f><v /></c><c r="D120" s="11"><f>D119</f><v /></c><c r="E120" s="9"><f>E119</f><v /></c><c r="F120" s="12" t="n" /><c r="G120" s="297" t="n" /><c r="H120" s="90"><f>H119</f><v /></c><c r="I120" s="90" t="n" /><c r="J120" s="298"><f>J119</f><v /></c><c r="K120" s="298"><f>K119</f><v /></c><c r="L120" s="298"><f>L119</f><v /></c><c r="M120" s="52" t="n" /><c r="N120" s="52" t="n" /><c r="O120" s="30"><f>O119</f><v /></c><c r="P120" s="299"><f>P119</f><v /></c><c r="Q120" s="10"><f>LEFT(P120,1)</f><v /></c><c r="R120" s="10"><f>RIGHT(P120,6)</f><v /></c><c r="S120" s="10"><f>+(Q120*60+R120)/(60*60)</f><v /></c><c r="T120" s="13"><f>+O120/S120</f><v /></c><c r="U120" s="300"><f>+(((N120-M120-O120)/O120)*100)</f><v /></c><c r="V120" s="301"><f>V119</f><v /></c><c r="W120" s="302"><f>W119</f><v /></c><c r="X120" s="302"><f>X119</f><v /></c><c r="Y120" s="52" t="n" /><c r="Z120" s="52" t="n" /><c r="AA120" s="106"><f>AA119</f><v /></c><c r="AB120" s="299"><f>AB119</f><v /></c><c r="AC120" s="10"><f>LEFT(AB120,2)</f><v /></c><c r="AD120" s="10"><f>RIGHT(AB120,6)</f><v /></c><c r="AE120" s="10"><f>+(AC120*60+AD120)/(60*60)</f><v /></c><c r="AF120" s="13"><f>+AA120/AE120</f><v /></c><c r="AG120" s="303"><f>+(((Z120-Y120-AA120)/AA120)*100)</f><v /></c><c r="AH120" s="301"><f>AH119</f><v /></c><c r="AI120" s="301"><f>AI119</f><v /></c><c r="AJ120" s="301"><f>AJ119</f><v /></c><c r="AK120" s="52"><f>+Z120</f><v /></c><c r="AL120" s="52" t="n" /><c r="AM120" s="111"><f>AM119</f><v /></c><c r="AN120" s="299"><f>AN119</f><v /></c><c r="AO120" s="10"><f>LEFT(AN120,2)</f><v /></c><c r="AP120" s="10"><f>RIGHT(AN120,6)</f><v /></c><c r="AQ120" s="10"><f>+(AO120*60+AP120)/(60*60)</f><v /></c><c r="AR120" s="13"><f>+AM120/AQ120</f><v /></c><c r="AS120" s="303"><f>+(((AL120-AK120-AM120)/AM120)*100)</f><v /></c><c r="AT120" s="64"><f>IF(I120&gt;=1,"NO CONFORME",IF(BK120="SIGDIFERENTES",BC120,BL120))</f><v /></c><c r="AU120" s="21"><f>B120&lt;=C120</f><v /></c><c r="AV120" s="21"><f>N120&lt;Y120</f><v /></c><c r="AW120" s="21"><f>Z120&lt;=AK120</f><v /></c><c r="AX120" s="21"><f>IF(I120&gt;=1,"Qcorrecto",IF(AND(AY120="aceptable",AZ120="aceptable",BA120="aceptable"),"Qcorrecto","Qincorrecto"))</f><v /></c><c r="AY120" s="21"><f>IF(AR120&lt;$AH$6,"error",IF(AR120&gt;$AH$6*1.1,"error","aceptable"))</f><v /></c><c r="AZ120" s="21"><f>IF(AF120&lt;$V$6,"error",IF(AF120&gt;$V$6*1.1,"error","aceptable"))</f><v /></c><c r="BA120" s="21"><f>IF(T120&lt;$J$6*0.9,"error",IF(T120&gt;$J$6,"error","aceptable"))</f><v /></c><c r="BB120" s="65"><f>(IF(ABS(U120)&lt;1.05,"CONFORME",IF(ABS(AG120)&lt;1.05,"CONFORME",IF(ABS(AS120)&lt;2.55,"CONFORME","NO CONFORME"))))</f><v /></c><c r="BC120" s="62"><f>(IF(ABS(U120)&gt;2.05,"NO CONFORME",IF(ABS(AG120)&gt;2.05,"NO CONFORME",IF(ABS(AS120)&gt;5.05,"NO CONFORME","CONFORME"))))</f><v /></c><c r="BD120" s="64"><f>SIGN(U120)</f><v /></c><c r="BE120" s="64"><f>SIGN(AG120)</f><v /></c><c r="BF120" s="64"><f>SIGN(AS120)</f><v /></c><c r="BG120" s="64"><f>CONCATENATE(BD120,BE120,BF120)</f><v /></c><c r="BH120" s="64"><f>IF(BG120="111","SI","SD")</f><v /></c><c r="BI120" s="64"><f>IF(BG120="-1-1-1","SI","SD")</f><v /></c><c r="BJ120" s="64"><f>OR(BH120="SI",BI120="SI")</f><v /></c><c r="BK120" s="64"><f>IF(BJ120=FALSE,"SIGDIFERENTES","SIGIGUALES")</f><v /></c><c r="BL120" s="21"><f>IF(BC120="NO CONFORME","NO CONFORME",IF(BB120="CONFORME","CONFORME","NO CONFORME"))</f><v /></c><c r="BM120" s="66" t="n" /><c r="BN120" s="66" t="n" /></row><row r="121" ht="15" customHeight="1"><c r="A121" s="55" t="n"><v>113</v></c><c r="B121" s="304"><f>B120</f><v /></c><c r="C121" s="304"><f>C120</f><v /></c><c r="D121" s="94"><f>D120</f><v /></c><c r="E121" s="95"><f>E120</f><v /></c><c r="F121" s="96" t="n" /><c r="G121" s="305" t="n" /><c r="H121" s="98"><f>H120</f><v /></c><c r="I121" s="98" t="n" /><c r="J121" s="306"><f>J120</f><v /></c><c r="K121" s="306"><f>K120</f><v /></c><c r="L121" s="306"><f>L120</f><v /></c><c r="M121" s="100" t="n" /><c r="N121" s="100" t="n" /><c r="O121" s="101"><f>O120</f><v /></c><c r="P121" s="307"><f>P120</f><v /></c><c r="Q121" s="10"><f>LEFT(P121,1)</f><v /></c><c r="R121" s="10"><f>RIGHT(P121,6)</f><v /></c><c r="S121" s="10"><f>+(Q121*60+R121)/(60*60)</f><v /></c><c r="T121" s="13"><f>+O121/S121</f><v /></c><c r="U121" s="300"><f>+(((N121-M121-O121)/O121)*100)</f><v /></c><c r="V121" s="308"><f>V120</f><v /></c><c r="W121" s="309"><f>W120</f><v /></c><c r="X121" s="309"><f>X120</f><v /></c><c r="Y121" s="100" t="n" /><c r="Z121" s="100" t="n" /><c r="AA121" s="109"><f>AA120</f><v /></c><c r="AB121" s="307"><f>AB120</f><v /></c><c r="AC121" s="10"><f>LEFT(AB121,2)</f><v /></c><c r="AD121" s="10"><f>RIGHT(AB121,6)</f><v /></c><c r="AE121" s="10"><f>+(AC121*60+AD121)/(60*60)</f><v /></c><c r="AF121" s="13"><f>+AA121/AE121</f><v /></c><c r="AG121" s="303"><f>+(((Z121-Y121-AA121)/AA121)*100)</f><v /></c><c r="AH121" s="308"><f>AH120</f><v /></c><c r="AI121" s="308"><f>AI120</f><v /></c><c r="AJ121" s="308"><f>AJ120</f><v /></c><c r="AK121" s="100"><f>+Z121</f><v /></c><c r="AL121" s="100" t="n" /><c r="AM121" s="112"><f>AM120</f><v /></c><c r="AN121" s="307"><f>AN120</f><v /></c><c r="AO121" s="10"><f>LEFT(AN121,2)</f><v /></c><c r="AP121" s="10"><f>RIGHT(AN121,6)</f><v /></c><c r="AQ121" s="10"><f>+(AO121*60+AP121)/(60*60)</f><v /></c><c r="AR121" s="13"><f>+AM121/AQ121</f><v /></c><c r="AS121" s="303"><f>+(((AL121-AK121-AM121)/AM121)*100)</f><v /></c><c r="AT121" s="64"><f>IF(I121&gt;=1,"NO CONFORME",IF(BK121="SIGDIFERENTES",BC121,BL121))</f><v /></c><c r="AU121" s="21"><f>B121&lt;=C121</f><v /></c><c r="AV121" s="21"><f>N121&lt;Y121</f><v /></c><c r="AW121" s="21"><f>Z121&lt;=AK121</f><v /></c><c r="AX121" s="21"><f>IF(I121&gt;=1,"Qcorrecto",IF(AND(AY121="aceptable",AZ121="aceptable",BA121="aceptable"),"Qcorrecto","Qincorrecto"))</f><v /></c><c r="AY121" s="21"><f>IF(AR121&lt;$AH$6,"error",IF(AR121&gt;$AH$6*1.1,"error","aceptable"))</f><v /></c><c r="AZ121" s="21"><f>IF(AF121&lt;$V$6,"error",IF(AF121&gt;$V$6*1.1,"error","aceptable"))</f><v /></c><c r="BA121" s="21"><f>IF(T121&lt;$J$6*0.9,"error",IF(T121&gt;$J$6,"error","aceptable"))</f><v /></c><c r="BB121" s="65"><f>(IF(ABS(U121)&lt;1.05,"CONFORME",IF(ABS(AG121)&lt;1.05,"CONFORME",IF(ABS(AS121)&lt;2.55,"CONFORME","NO CONFORME"))))</f><v /></c><c r="BC121" s="62"><f>(IF(ABS(U121)&gt;2.05,"NO CONFORME",IF(ABS(AG121)&gt;2.05,"NO CONFORME",IF(ABS(AS121)&gt;5.05,"NO CONFORME","CONFORME"))))</f><v /></c><c r="BD121" s="64"><f>SIGN(U121)</f><v /></c><c r="BE121" s="64"><f>SIGN(AG121)</f><v /></c><c r="BF121" s="64"><f>SIGN(AS121)</f><v /></c><c r="BG121" s="64"><f>CONCATENATE(BD121,BE121,BF121)</f><v /></c><c r="BH121" s="64"><f>IF(BG121="111","SI","SD")</f><v /></c><c r="BI121" s="64"><f>IF(BG121="-1-1-1","SI","SD")</f><v /></c><c r="BJ121" s="64"><f>OR(BH121="SI",BI121="SI")</f><v /></c><c r="BK121" s="64"><f>IF(BJ121=FALSE,"SIGDIFERENTES","SIGIGUALES")</f><v /></c><c r="BL121" s="21"><f>IF(BC121="NO CONFORME","NO CONFORME",IF(BB121="CONFORME","CONFORME","NO CONFORME"))</f><v /></c><c r="BM121" s="66" t="n" /><c r="BN121" s="66" t="n" /></row><row r="122" ht="15.75" customHeight="1" thickBot="1"><c r="A122" s="9" t="n"><v>114</v></c><c r="B122" s="296"><f>B121</f><v /></c><c r="C122" s="296"><f>C121</f><v /></c><c r="D122" s="11"><f>D121</f><v /></c><c r="E122" s="9"><f>E121</f><v /></c><c r="F122" s="12" t="n" /><c r="G122" s="297" t="n" /><c r="H122" s="90"><f>H121</f><v /></c><c r="I122" s="90" t="n" /><c r="J122" s="298"><f>J121</f><v /></c><c r="K122" s="298"><f>K121</f><v /></c><c r="L122" s="298"><f>L121</f><v /></c><c r="M122" s="52" t="n" /><c r="N122" s="52" t="n" /><c r="O122" s="30"><f>O121</f><v /></c><c r="P122" s="299"><f>P121</f><v /></c><c r="Q122" s="10"><f>LEFT(P122,1)</f><v /></c><c r="R122" s="10"><f>RIGHT(P122,6)</f><v /></c><c r="S122" s="10"><f>+(Q122*60+R122)/(60*60)</f><v /></c><c r="T122" s="13"><f>+O122/S122</f><v /></c><c r="U122" s="300"><f>+(((N122-M122-O122)/O122)*100)</f><v /></c><c r="V122" s="301"><f>V121</f><v /></c><c r="W122" s="302"><f>W121</f><v /></c><c r="X122" s="302"><f>X121</f><v /></c><c r="Y122" s="52" t="n" /><c r="Z122" s="52" t="n" /><c r="AA122" s="106"><f>AA121</f><v /></c><c r="AB122" s="299"><f>AB121</f><v /></c><c r="AC122" s="10"><f>LEFT(AB122,2)</f><v /></c><c r="AD122" s="10"><f>RIGHT(AB122,6)</f><v /></c><c r="AE122" s="10"><f>+(AC122*60+AD122)/(60*60)</f><v /></c><c r="AF122" s="13"><f>+AA122/AE122</f><v /></c><c r="AG122" s="303"><f>+(((Z122-Y122-AA122)/AA122)*100)</f><v /></c><c r="AH122" s="301"><f>AH121</f><v /></c><c r="AI122" s="301"><f>AI121</f><v /></c><c r="AJ122" s="301"><f>AJ121</f><v /></c><c r="AK122" s="52"><f>+Z122</f><v /></c><c r="AL122" s="52" t="n" /><c r="AM122" s="111"><f>AM121</f><v /></c><c r="AN122" s="299"><f>AN121</f><v /></c><c r="AO122" s="10"><f>LEFT(AN122,2)</f><v /></c><c r="AP122" s="10"><f>RIGHT(AN122,6)</f><v /></c><c r="AQ122" s="10"><f>+(AO122*60+AP122)/(60*60)</f><v /></c><c r="AR122" s="13"><f>+AM122/AQ122</f><v /></c><c r="AS122" s="303"><f>+(((AL122-AK122-AM122)/AM122)*100)</f><v /></c><c r="AT122" s="64"><f>IF(I122&gt;=1,"NO CONFORME",IF(BK122="SIGDIFERENTES",BC122,BL122))</f><v /></c><c r="AU122" s="21"><f>B122&lt;=C122</f><v /></c><c r="AV122" s="21"><f>N122&lt;Y122</f><v /></c><c r="AW122" s="21"><f>Z122&lt;=AK122</f><v /></c><c r="AX122" s="21"><f>IF(I122&gt;=1,"Qcorrecto",IF(AND(AY122="aceptable",AZ122="aceptable",BA122="aceptable"),"Qcorrecto","Qincorrecto"))</f><v /></c><c r="AY122" s="21"><f>IF(AR122&lt;$AH$6,"error",IF(AR122&gt;$AH$6*1.1,"error","aceptable"))</f><v /></c><c r="AZ122" s="21"><f>IF(AF122&lt;$V$6,"error",IF(AF122&gt;$V$6*1.1,"error","aceptable"))</f><v /></c><c r="BA122" s="21"><f>IF(T122&lt;$J$6*0.9,"error",IF(T122&gt;$J$6,"error","aceptable"))</f><v /></c><c r="BB122" s="65"><f>(IF(ABS(U122)&lt;1.05,"CONFORME",IF(ABS(AG122)&lt;1.05,"CONFORME",IF(ABS(AS122)&lt;2.55,"CONFORME","NO CONFORME"))))</f><v /></c><c r="BC122" s="62"><f>(IF(ABS(U122)&gt;2.05,"NO CONFORME",IF(ABS(AG122)&gt;2.05,"NO CONFORME",IF(ABS(AS122)&gt;5.05,"NO CONFORME","CONFORME"))))</f><v /></c><c r="BD122" s="64"><f>SIGN(U122)</f><v /></c><c r="BE122" s="64"><f>SIGN(AG122)</f><v /></c><c r="BF122" s="64"><f>SIGN(AS122)</f><v /></c><c r="BG122" s="64"><f>CONCATENATE(BD122,BE122,BF122)</f><v /></c><c r="BH122" s="64"><f>IF(BG122="111","SI","SD")</f><v /></c><c r="BI122" s="64"><f>IF(BG122="-1-1-1","SI","SD")</f><v /></c><c r="BJ122" s="64"><f>OR(BH122="SI",BI122="SI")</f><v /></c><c r="BK122" s="64"><f>IF(BJ122=FALSE,"SIGDIFERENTES","SIGIGUALES")</f><v /></c><c r="BL122" s="21"><f>IF(BC122="NO CONFORME","NO CONFORME",IF(BB122="CONFORME","CONFORME","NO CONFORME"))</f><v /></c><c r="BM122" s="66" t="n" /><c r="BN122" s="66" t="n" /></row><row r="123" ht="15" customHeight="1"><c r="A123" s="55" t="n"><v>115</v></c><c r="B123" s="304"><f>B122</f><v /></c><c r="C123" s="304"><f>C122</f><v /></c><c r="D123" s="94"><f>D122</f><v /></c><c r="E123" s="95"><f>E122</f><v /></c><c r="F123" s="96" t="n" /><c r="G123" s="305" t="n" /><c r="H123" s="98"><f>H122</f><v /></c><c r="I123" s="98" t="n" /><c r="J123" s="306"><f>J122</f><v /></c><c r="K123" s="306"><f>K122</f><v /></c><c r="L123" s="306"><f>L122</f><v /></c><c r="M123" s="100" t="n" /><c r="N123" s="100" t="n" /><c r="O123" s="101"><f>O122</f><v /></c><c r="P123" s="307"><f>P122</f><v /></c><c r="Q123" s="10"><f>LEFT(P123,1)</f><v /></c><c r="R123" s="10"><f>RIGHT(P123,6)</f><v /></c><c r="S123" s="10"><f>+(Q123*60+R123)/(60*60)</f><v /></c><c r="T123" s="13"><f>+O123/S123</f><v /></c><c r="U123" s="300"><f>+(((N123-M123-O123)/O123)*100)</f><v /></c><c r="V123" s="308"><f>V122</f><v /></c><c r="W123" s="309"><f>W122</f><v /></c><c r="X123" s="309"><f>X122</f><v /></c><c r="Y123" s="100" t="n" /><c r="Z123" s="100" t="n" /><c r="AA123" s="109"><f>AA122</f><v /></c><c r="AB123" s="307"><f>AB122</f><v /></c><c r="AC123" s="10"><f>LEFT(AB123,2)</f><v /></c><c r="AD123" s="10"><f>RIGHT(AB123,6)</f><v /></c><c r="AE123" s="10"><f>+(AC123*60+AD123)/(60*60)</f><v /></c><c r="AF123" s="13"><f>+AA123/AE123</f><v /></c><c r="AG123" s="303"><f>+(((Z123-Y123-AA123)/AA123)*100)</f><v /></c><c r="AH123" s="308"><f>AH122</f><v /></c><c r="AI123" s="308"><f>AI122</f><v /></c><c r="AJ123" s="308"><f>AJ122</f><v /></c><c r="AK123" s="100"><f>+Z123</f><v /></c><c r="AL123" s="100" t="n" /><c r="AM123" s="112"><f>AM122</f><v /></c><c r="AN123" s="307"><f>AN122</f><v /></c><c r="AO123" s="10"><f>LEFT(AN123,2)</f><v /></c><c r="AP123" s="10"><f>RIGHT(AN123,6)</f><v /></c><c r="AQ123" s="10"><f>+(AO123*60+AP123)/(60*60)</f><v /></c><c r="AR123" s="13"><f>+AM123/AQ123</f><v /></c><c r="AS123" s="303"><f>+(((AL123-AK123-AM123)/AM123)*100)</f><v /></c><c r="AT123" s="64"><f>IF(I123&gt;=1,"NO CONFORME",IF(BK123="SIGDIFERENTES",BC123,BL123))</f><v /></c><c r="AU123" s="21"><f>B123&lt;=C123</f><v /></c><c r="AV123" s="21"><f>N123&lt;Y123</f><v /></c><c r="AW123" s="21"><f>Z123&lt;=AK123</f><v /></c><c r="AX123" s="21"><f>IF(I123&gt;=1,"Qcorrecto",IF(AND(AY123="aceptable",AZ123="aceptable",BA123="aceptable"),"Qcorrecto","Qincorrecto"))</f><v /></c><c r="AY123" s="21"><f>IF(AR123&lt;$AH$6,"error",IF(AR123&gt;$AH$6*1.1,"error","aceptable"))</f><v /></c><c r="AZ123" s="21"><f>IF(AF123&lt;$V$6,"error",IF(AF123&gt;$V$6*1.1,"error","aceptable"))</f><v /></c><c r="BA123" s="21"><f>IF(T123&lt;$J$6*0.9,"error",IF(T123&gt;$J$6,"error","aceptable"))</f><v /></c><c r="BB123" s="65"><f>(IF(ABS(U123)&lt;1.05,"CONFORME",IF(ABS(AG123)&lt;1.05,"CONFORME",IF(ABS(AS123)&lt;2.55,"CONFORME","NO CONFORME"))))</f><v /></c><c r="BC123" s="62"><f>(IF(ABS(U123)&gt;2.05,"NO CONFORME",IF(ABS(AG123)&gt;2.05,"NO CONFORME",IF(ABS(AS123)&gt;5.05,"NO CONFORME","CONFORME"))))</f><v /></c><c r="BD123" s="64"><f>SIGN(U123)</f><v /></c><c r="BE123" s="64"><f>SIGN(AG123)</f><v /></c><c r="BF123" s="64"><f>SIGN(AS123)</f><v /></c><c r="BG123" s="64"><f>CONCATENATE(BD123,BE123,BF123)</f><v /></c><c r="BH123" s="64"><f>IF(BG123="111","SI","SD")</f><v /></c><c r="BI123" s="64"><f>IF(BG123="-1-1-1","SI","SD")</f><v /></c><c r="BJ123" s="64"><f>OR(BH123="SI",BI123="SI")</f><v /></c><c r="BK123" s="64"><f>IF(BJ123=FALSE,"SIGDIFERENTES","SIGIGUALES")</f><v /></c><c r="BL123" s="21"><f>IF(BC123="NO CONFORME","NO CONFORME",IF(BB123="CONFORME","CONFORME","NO CONFORME"))</f><v /></c><c r="BM123" s="66" t="n" /><c r="BN123" s="66" t="n" /></row><row r="124" ht="15.75" customHeight="1" thickBot="1"><c r="A124" s="9" t="n"><v>116</v></c><c r="B124" s="296"><f>B123</f><v /></c><c r="C124" s="296"><f>C123</f><v /></c><c r="D124" s="11"><f>D123</f><v /></c><c r="E124" s="9"><f>E123</f><v /></c><c r="F124" s="12" t="n" /><c r="G124" s="297" t="n" /><c r="H124" s="90"><f>H123</f><v /></c><c r="I124" s="90" t="n" /><c r="J124" s="298"><f>J123</f><v /></c><c r="K124" s="298"><f>K123</f><v /></c><c r="L124" s="298"><f>L123</f><v /></c><c r="M124" s="52" t="n" /><c r="N124" s="52" t="n" /><c r="O124" s="30"><f>O123</f><v /></c><c r="P124" s="299"><f>P123</f><v /></c><c r="Q124" s="10"><f>LEFT(P124,1)</f><v /></c><c r="R124" s="10"><f>RIGHT(P124,6)</f><v /></c><c r="S124" s="10"><f>+(Q124*60+R124)/(60*60)</f><v /></c><c r="T124" s="13"><f>+O124/S124</f><v /></c><c r="U124" s="300"><f>+(((N124-M124-O124)/O124)*100)</f><v /></c><c r="V124" s="301"><f>V123</f><v /></c><c r="W124" s="302"><f>W123</f><v /></c><c r="X124" s="302"><f>X123</f><v /></c><c r="Y124" s="52" t="n" /><c r="Z124" s="52" t="n" /><c r="AA124" s="106"><f>AA123</f><v /></c><c r="AB124" s="299"><f>AB123</f><v /></c><c r="AC124" s="10"><f>LEFT(AB124,2)</f><v /></c><c r="AD124" s="10"><f>RIGHT(AB124,6)</f><v /></c><c r="AE124" s="10"><f>+(AC124*60+AD124)/(60*60)</f><v /></c><c r="AF124" s="13"><f>+AA124/AE124</f><v /></c><c r="AG124" s="303"><f>+(((Z124-Y124-AA124)/AA124)*100)</f><v /></c><c r="AH124" s="301"><f>AH123</f><v /></c><c r="AI124" s="301"><f>AI123</f><v /></c><c r="AJ124" s="301"><f>AJ123</f><v /></c><c r="AK124" s="52"><f>+Z124</f><v /></c><c r="AL124" s="52" t="n" /><c r="AM124" s="111"><f>AM123</f><v /></c><c r="AN124" s="299"><f>AN123</f><v /></c><c r="AO124" s="10"><f>LEFT(AN124,2)</f><v /></c><c r="AP124" s="10"><f>RIGHT(AN124,6)</f><v /></c><c r="AQ124" s="10"><f>+(AO124*60+AP124)/(60*60)</f><v /></c><c r="AR124" s="13"><f>+AM124/AQ124</f><v /></c><c r="AS124" s="303"><f>+(((AL124-AK124-AM124)/AM124)*100)</f><v /></c><c r="AT124" s="64"><f>IF(I124&gt;=1,"NO CONFORME",IF(BK124="SIGDIFERENTES",BC124,BL124))</f><v /></c><c r="AU124" s="21"><f>B124&lt;=C124</f><v /></c><c r="AV124" s="21"><f>N124&lt;Y124</f><v /></c><c r="AW124" s="21"><f>Z124&lt;=AK124</f><v /></c><c r="AX124" s="21"><f>IF(I124&gt;=1,"Qcorrecto",IF(AND(AY124="aceptable",AZ124="aceptable",BA124="aceptable"),"Qcorrecto","Qincorrecto"))</f><v /></c><c r="AY124" s="21"><f>IF(AR124&lt;$AH$6,"error",IF(AR124&gt;$AH$6*1.1,"error","aceptable"))</f><v /></c><c r="AZ124" s="21"><f>IF(AF124&lt;$V$6,"error",IF(AF124&gt;$V$6*1.1,"error","aceptable"))</f><v /></c><c r="BA124" s="21"><f>IF(T124&lt;$J$6*0.9,"error",IF(T124&gt;$J$6,"error","aceptable"))</f><v /></c><c r="BB124" s="65"><f>(IF(ABS(U124)&lt;1.05,"CONFORME",IF(ABS(AG124)&lt;1.05,"CONFORME",IF(ABS(AS124)&lt;2.55,"CONFORME","NO CONFORME"))))</f><v /></c><c r="BC124" s="62"><f>(IF(ABS(U124)&gt;2.05,"NO CONFORME",IF(ABS(AG124)&gt;2.05,"NO CONFORME",IF(ABS(AS124)&gt;5.05,"NO CONFORME","CONFORME"))))</f><v /></c><c r="BD124" s="64"><f>SIGN(U124)</f><v /></c><c r="BE124" s="64"><f>SIGN(AG124)</f><v /></c><c r="BF124" s="64"><f>SIGN(AS124)</f><v /></c><c r="BG124" s="64"><f>CONCATENATE(BD124,BE124,BF124)</f><v /></c><c r="BH124" s="64"><f>IF(BG124="111","SI","SD")</f><v /></c><c r="BI124" s="64"><f>IF(BG124="-1-1-1","SI","SD")</f><v /></c><c r="BJ124" s="64"><f>OR(BH124="SI",BI124="SI")</f><v /></c><c r="BK124" s="64"><f>IF(BJ124=FALSE,"SIGDIFERENTES","SIGIGUALES")</f><v /></c><c r="BL124" s="21"><f>IF(BC124="NO CONFORME","NO CONFORME",IF(BB124="CONFORME","CONFORME","NO CONFORME"))</f><v /></c><c r="BM124" s="66" t="n" /><c r="BN124" s="66" t="n" /></row><row r="125" ht="15" customHeight="1"><c r="A125" s="55" t="n"><v>117</v></c><c r="B125" s="304"><f>B124</f><v /></c><c r="C125" s="304"><f>C124</f><v /></c><c r="D125" s="94"><f>D124</f><v /></c><c r="E125" s="95"><f>E124</f><v /></c><c r="F125" s="96" t="n" /><c r="G125" s="305" t="n" /><c r="H125" s="98"><f>H124</f><v /></c><c r="I125" s="98" t="n" /><c r="J125" s="306"><f>J124</f><v /></c><c r="K125" s="306"><f>K124</f><v /></c><c r="L125" s="306"><f>L124</f><v /></c><c r="M125" s="100" t="n" /><c r="N125" s="100" t="n" /><c r="O125" s="101"><f>O124</f><v /></c><c r="P125" s="307"><f>P124</f><v /></c><c r="Q125" s="10"><f>LEFT(P125,1)</f><v /></c><c r="R125" s="10"><f>RIGHT(P125,6)</f><v /></c><c r="S125" s="10"><f>+(Q125*60+R125)/(60*60)</f><v /></c><c r="T125" s="13"><f>+O125/S125</f><v /></c><c r="U125" s="300"><f>+(((N125-M125-O125)/O125)*100)</f><v /></c><c r="V125" s="308"><f>V124</f><v /></c><c r="W125" s="309"><f>W124</f><v /></c><c r="X125" s="309"><f>X124</f><v /></c><c r="Y125" s="100" t="n" /><c r="Z125" s="100" t="n" /><c r="AA125" s="109"><f>AA124</f><v /></c><c r="AB125" s="307"><f>AB124</f><v /></c><c r="AC125" s="10"><f>LEFT(AB125,2)</f><v /></c><c r="AD125" s="10"><f>RIGHT(AB125,6)</f><v /></c><c r="AE125" s="10"><f>+(AC125*60+AD125)/(60*60)</f><v /></c><c r="AF125" s="13"><f>+AA125/AE125</f><v /></c><c r="AG125" s="303"><f>+(((Z125-Y125-AA125)/AA125)*100)</f><v /></c><c r="AH125" s="308"><f>AH124</f><v /></c><c r="AI125" s="308"><f>AI124</f><v /></c><c r="AJ125" s="308"><f>AJ124</f><v /></c><c r="AK125" s="100"><f>+Z125</f><v /></c><c r="AL125" s="100" t="n" /><c r="AM125" s="112"><f>AM124</f><v /></c><c r="AN125" s="307"><f>AN124</f><v /></c><c r="AO125" s="10"><f>LEFT(AN125,2)</f><v /></c><c r="AP125" s="10"><f>RIGHT(AN125,6)</f><v /></c><c r="AQ125" s="10"><f>+(AO125*60+AP125)/(60*60)</f><v /></c><c r="AR125" s="13"><f>+AM125/AQ125</f><v /></c><c r="AS125" s="303"><f>+(((AL125-AK125-AM125)/AM125)*100)</f><v /></c><c r="AT125" s="64"><f>IF(I125&gt;=1,"NO CONFORME",IF(BK125="SIGDIFERENTES",BC125,BL125))</f><v /></c><c r="AU125" s="21"><f>B125&lt;=C125</f><v /></c><c r="AV125" s="21"><f>N125&lt;Y125</f><v /></c><c r="AW125" s="21"><f>Z125&lt;=AK125</f><v /></c><c r="AX125" s="21"><f>IF(I125&gt;=1,"Qcorrecto",IF(AND(AY125="aceptable",AZ125="aceptable",BA125="aceptable"),"Qcorrecto","Qincorrecto"))</f><v /></c><c r="AY125" s="21"><f>IF(AR125&lt;$AH$6,"error",IF(AR125&gt;$AH$6*1.1,"error","aceptable"))</f><v /></c><c r="AZ125" s="21"><f>IF(AF125&lt;$V$6,"error",IF(AF125&gt;$V$6*1.1,"error","aceptable"))</f><v /></c><c r="BA125" s="21"><f>IF(T125&lt;$J$6*0.9,"error",IF(T125&gt;$J$6,"error","aceptable"))</f><v /></c><c r="BB125" s="65"><f>(IF(ABS(U125)&lt;1.05,"CONFORME",IF(ABS(AG125)&lt;1.05,"CONFORME",IF(ABS(AS125)&lt;2.55,"CONFORME","NO CONFORME"))))</f><v /></c><c r="BC125" s="62"><f>(IF(ABS(U125)&gt;2.05,"NO CONFORME",IF(ABS(AG125)&gt;2.05,"NO CONFORME",IF(ABS(AS125)&gt;5.05,"NO CONFORME","CONFORME"))))</f><v /></c><c r="BD125" s="64"><f>SIGN(U125)</f><v /></c><c r="BE125" s="64"><f>SIGN(AG125)</f><v /></c><c r="BF125" s="64"><f>SIGN(AS125)</f><v /></c><c r="BG125" s="64"><f>CONCATENATE(BD125,BE125,BF125)</f><v /></c><c r="BH125" s="64"><f>IF(BG125="111","SI","SD")</f><v /></c><c r="BI125" s="64"><f>IF(BG125="-1-1-1","SI","SD")</f><v /></c><c r="BJ125" s="64"><f>OR(BH125="SI",BI125="SI")</f><v /></c><c r="BK125" s="64"><f>IF(BJ125=FALSE,"SIGDIFERENTES","SIGIGUALES")</f><v /></c><c r="BL125" s="21"><f>IF(BC125="NO CONFORME","NO CONFORME",IF(BB125="CONFORME","CONFORME","NO CONFORME"))</f><v /></c><c r="BM125" s="66" t="n" /><c r="BN125" s="66" t="n" /></row><row r="126" ht="15.75" customHeight="1" thickBot="1"><c r="A126" s="9" t="n"><v>118</v></c><c r="B126" s="296"><f>B125</f><v /></c><c r="C126" s="296"><f>C125</f><v /></c><c r="D126" s="11"><f>D125</f><v /></c><c r="E126" s="9"><f>E125</f><v /></c><c r="F126" s="12" t="n" /><c r="G126" s="297" t="n" /><c r="H126" s="90"><f>H125</f><v /></c><c r="I126" s="90" t="n" /><c r="J126" s="298"><f>J125</f><v /></c><c r="K126" s="298"><f>K125</f><v /></c><c r="L126" s="298"><f>L125</f><v /></c><c r="M126" s="52" t="n" /><c r="N126" s="52" t="n" /><c r="O126" s="30"><f>O125</f><v /></c><c r="P126" s="299"><f>P125</f><v /></c><c r="Q126" s="10"><f>LEFT(P126,1)</f><v /></c><c r="R126" s="10"><f>RIGHT(P126,6)</f><v /></c><c r="S126" s="10"><f>+(Q126*60+R126)/(60*60)</f><v /></c><c r="T126" s="13"><f>+O126/S126</f><v /></c><c r="U126" s="300"><f>+(((N126-M126-O126)/O126)*100)</f><v /></c><c r="V126" s="301"><f>V125</f><v /></c><c r="W126" s="302"><f>W125</f><v /></c><c r="X126" s="302"><f>X125</f><v /></c><c r="Y126" s="52" t="n" /><c r="Z126" s="52" t="n" /><c r="AA126" s="106"><f>AA125</f><v /></c><c r="AB126" s="299"><f>AB125</f><v /></c><c r="AC126" s="10"><f>LEFT(AB126,2)</f><v /></c><c r="AD126" s="10"><f>RIGHT(AB126,6)</f><v /></c><c r="AE126" s="10"><f>+(AC126*60+AD126)/(60*60)</f><v /></c><c r="AF126" s="13"><f>+AA126/AE126</f><v /></c><c r="AG126" s="303"><f>+(((Z126-Y126-AA126)/AA126)*100)</f><v /></c><c r="AH126" s="301"><f>AH125</f><v /></c><c r="AI126" s="301"><f>AI125</f><v /></c><c r="AJ126" s="301"><f>AJ125</f><v /></c><c r="AK126" s="52"><f>+Z126</f><v /></c><c r="AL126" s="52" t="n" /><c r="AM126" s="111"><f>AM125</f><v /></c><c r="AN126" s="299"><f>AN125</f><v /></c><c r="AO126" s="10"><f>LEFT(AN126,2)</f><v /></c><c r="AP126" s="10"><f>RIGHT(AN126,6)</f><v /></c><c r="AQ126" s="10"><f>+(AO126*60+AP126)/(60*60)</f><v /></c><c r="AR126" s="13"><f>+AM126/AQ126</f><v /></c><c r="AS126" s="303"><f>+(((AL126-AK126-AM126)/AM126)*100)</f><v /></c><c r="AT126" s="64"><f>IF(I126&gt;=1,"NO CONFORME",IF(BK126="SIGDIFERENTES",BC126,BL126))</f><v /></c><c r="AU126" s="21"><f>B126&lt;=C126</f><v /></c><c r="AV126" s="21"><f>N126&lt;Y126</f><v /></c><c r="AW126" s="21"><f>Z126&lt;=AK126</f><v /></c><c r="AX126" s="21"><f>IF(I126&gt;=1,"Qcorrecto",IF(AND(AY126="aceptable",AZ126="aceptable",BA126="aceptable"),"Qcorrecto","Qincorrecto"))</f><v /></c><c r="AY126" s="21"><f>IF(AR126&lt;$AH$6,"error",IF(AR126&gt;$AH$6*1.1,"error","aceptable"))</f><v /></c><c r="AZ126" s="21"><f>IF(AF126&lt;$V$6,"error",IF(AF126&gt;$V$6*1.1,"error","aceptable"))</f><v /></c><c r="BA126" s="21"><f>IF(T126&lt;$J$6*0.9,"error",IF(T126&gt;$J$6,"error","aceptable"))</f><v /></c><c r="BB126" s="65"><f>(IF(ABS(U126)&lt;1.05,"CONFORME",IF(ABS(AG126)&lt;1.05,"CONFORME",IF(ABS(AS126)&lt;2.55,"CONFORME","NO CONFORME"))))</f><v /></c><c r="BC126" s="62"><f>(IF(ABS(U126)&gt;2.05,"NO CONFORME",IF(ABS(AG126)&gt;2.05,"NO CONFORME",IF(ABS(AS126)&gt;5.05,"NO CONFORME","CONFORME"))))</f><v /></c><c r="BD126" s="64"><f>SIGN(U126)</f><v /></c><c r="BE126" s="64"><f>SIGN(AG126)</f><v /></c><c r="BF126" s="64"><f>SIGN(AS126)</f><v /></c><c r="BG126" s="64"><f>CONCATENATE(BD126,BE126,BF126)</f><v /></c><c r="BH126" s="64"><f>IF(BG126="111","SI","SD")</f><v /></c><c r="BI126" s="64"><f>IF(BG126="-1-1-1","SI","SD")</f><v /></c><c r="BJ126" s="64"><f>OR(BH126="SI",BI126="SI")</f><v /></c><c r="BK126" s="64"><f>IF(BJ126=FALSE,"SIGDIFERENTES","SIGIGUALES")</f><v /></c><c r="BL126" s="21"><f>IF(BC126="NO CONFORME","NO CONFORME",IF(BB126="CONFORME","CONFORME","NO CONFORME"))</f><v /></c><c r="BM126" s="66" t="n" /><c r="BN126" s="66" t="n" /></row><row r="127" ht="15" customHeight="1"><c r="A127" s="55" t="n"><v>119</v></c><c r="B127" s="304"><f>B126</f><v /></c><c r="C127" s="304"><f>C126</f><v /></c><c r="D127" s="94"><f>D126</f><v /></c><c r="E127" s="95"><f>E126</f><v /></c><c r="F127" s="96" t="n" /><c r="G127" s="305" t="n" /><c r="H127" s="98"><f>H126</f><v /></c><c r="I127" s="98" t="n" /><c r="J127" s="306"><f>J126</f><v /></c><c r="K127" s="306"><f>K126</f><v /></c><c r="L127" s="306"><f>L126</f><v /></c><c r="M127" s="100" t="n" /><c r="N127" s="100" t="n" /><c r="O127" s="101"><f>O126</f><v /></c><c r="P127" s="307"><f>P126</f><v /></c><c r="Q127" s="10"><f>LEFT(P127,1)</f><v /></c><c r="R127" s="10"><f>RIGHT(P127,6)</f><v /></c><c r="S127" s="10"><f>+(Q127*60+R127)/(60*60)</f><v /></c><c r="T127" s="13"><f>+O127/S127</f><v /></c><c r="U127" s="300"><f>+(((N127-M127-O127)/O127)*100)</f><v /></c><c r="V127" s="308"><f>V126</f><v /></c><c r="W127" s="309"><f>W126</f><v /></c><c r="X127" s="309"><f>X126</f><v /></c><c r="Y127" s="100" t="n" /><c r="Z127" s="100" t="n" /><c r="AA127" s="109"><f>AA126</f><v /></c><c r="AB127" s="307"><f>AB126</f><v /></c><c r="AC127" s="10"><f>LEFT(AB127,2)</f><v /></c><c r="AD127" s="10"><f>RIGHT(AB127,6)</f><v /></c><c r="AE127" s="10"><f>+(AC127*60+AD127)/(60*60)</f><v /></c><c r="AF127" s="13"><f>+AA127/AE127</f><v /></c><c r="AG127" s="303"><f>+(((Z127-Y127-AA127)/AA127)*100)</f><v /></c><c r="AH127" s="308"><f>AH126</f><v /></c><c r="AI127" s="308"><f>AI126</f><v /></c><c r="AJ127" s="308"><f>AJ126</f><v /></c><c r="AK127" s="100"><f>+Z127</f><v /></c><c r="AL127" s="100" t="n" /><c r="AM127" s="112"><f>AM126</f><v /></c><c r="AN127" s="307"><f>AN126</f><v /></c><c r="AO127" s="10"><f>LEFT(AN127,2)</f><v /></c><c r="AP127" s="10"><f>RIGHT(AN127,6)</f><v /></c><c r="AQ127" s="10"><f>+(AO127*60+AP127)/(60*60)</f><v /></c><c r="AR127" s="13"><f>+AM127/AQ127</f><v /></c><c r="AS127" s="303"><f>+(((AL127-AK127-AM127)/AM127)*100)</f><v /></c><c r="AT127" s="64"><f>IF(I127&gt;=1,"NO CONFORME",IF(BK127="SIGDIFERENTES",BC127,BL127))</f><v /></c><c r="AU127" s="21"><f>B127&lt;=C127</f><v /></c><c r="AV127" s="21"><f>N127&lt;Y127</f><v /></c><c r="AW127" s="21"><f>Z127&lt;=AK127</f><v /></c><c r="AX127" s="21"><f>IF(I127&gt;=1,"Qcorrecto",IF(AND(AY127="aceptable",AZ127="aceptable",BA127="aceptable"),"Qcorrecto","Qincorrecto"))</f><v /></c><c r="AY127" s="21"><f>IF(AR127&lt;$AH$6,"error",IF(AR127&gt;$AH$6*1.1,"error","aceptable"))</f><v /></c><c r="AZ127" s="21"><f>IF(AF127&lt;$V$6,"error",IF(AF127&gt;$V$6*1.1,"error","aceptable"))</f><v /></c><c r="BA127" s="21"><f>IF(T127&lt;$J$6*0.9,"error",IF(T127&gt;$J$6,"error","aceptable"))</f><v /></c><c r="BB127" s="65"><f>(IF(ABS(U127)&lt;1.05,"CONFORME",IF(ABS(AG127)&lt;1.05,"CONFORME",IF(ABS(AS127)&lt;2.55,"CONFORME","NO CONFORME"))))</f><v /></c><c r="BC127" s="62"><f>(IF(ABS(U127)&gt;2.05,"NO CONFORME",IF(ABS(AG127)&gt;2.05,"NO CONFORME",IF(ABS(AS127)&gt;5.05,"NO CONFORME","CONFORME"))))</f><v /></c><c r="BD127" s="64"><f>SIGN(U127)</f><v /></c><c r="BE127" s="64"><f>SIGN(AG127)</f><v /></c><c r="BF127" s="64"><f>SIGN(AS127)</f><v /></c><c r="BG127" s="64"><f>CONCATENATE(BD127,BE127,BF127)</f><v /></c><c r="BH127" s="64"><f>IF(BG127="111","SI","SD")</f><v /></c><c r="BI127" s="64"><f>IF(BG127="-1-1-1","SI","SD")</f><v /></c><c r="BJ127" s="64"><f>OR(BH127="SI",BI127="SI")</f><v /></c><c r="BK127" s="64"><f>IF(BJ127=FALSE,"SIGDIFERENTES","SIGIGUALES")</f><v /></c><c r="BL127" s="21"><f>IF(BC127="NO CONFORME","NO CONFORME",IF(BB127="CONFORME","CONFORME","NO CONFORME"))</f><v /></c><c r="BM127" s="66" t="n" /><c r="BN127" s="66" t="n" /></row><row r="128" ht="15.75" customHeight="1" thickBot="1"><c r="A128" s="9" t="n"><v>120</v></c><c r="B128" s="296"><f>B127</f><v /></c><c r="C128" s="296"><f>C127</f><v /></c><c r="D128" s="11"><f>D127</f><v /></c><c r="E128" s="9"><f>E127</f><v /></c><c r="F128" s="12" t="n" /><c r="G128" s="297" t="n" /><c r="H128" s="90"><f>H127</f><v /></c><c r="I128" s="90" t="n" /><c r="J128" s="298"><f>J127</f><v /></c><c r="K128" s="298"><f>K127</f><v /></c><c r="L128" s="298"><f>L127</f><v /></c><c r="M128" s="52" t="n" /><c r="N128" s="52" t="n" /><c r="O128" s="30"><f>O127</f><v /></c><c r="P128" s="299"><f>P127</f><v /></c><c r="Q128" s="10"><f>LEFT(P128,1)</f><v /></c><c r="R128" s="10"><f>RIGHT(P128,6)</f><v /></c><c r="S128" s="10"><f>+(Q128*60+R128)/(60*60)</f><v /></c><c r="T128" s="13"><f>+O128/S128</f><v /></c><c r="U128" s="300"><f>+(((N128-M128-O128)/O128)*100)</f><v /></c><c r="V128" s="301"><f>V127</f><v /></c><c r="W128" s="302"><f>W127</f><v /></c><c r="X128" s="302"><f>X127</f><v /></c><c r="Y128" s="52" t="n" /><c r="Z128" s="52" t="n" /><c r="AA128" s="106"><f>AA127</f><v /></c><c r="AB128" s="299"><f>AB127</f><v /></c><c r="AC128" s="10"><f>LEFT(AB128,2)</f><v /></c><c r="AD128" s="10"><f>RIGHT(AB128,6)</f><v /></c><c r="AE128" s="10"><f>+(AC128*60+AD128)/(60*60)</f><v /></c><c r="AF128" s="13"><f>+AA128/AE128</f><v /></c><c r="AG128" s="303"><f>+(((Z128-Y128-AA128)/AA128)*100)</f><v /></c><c r="AH128" s="301"><f>AH127</f><v /></c><c r="AI128" s="301"><f>AI127</f><v /></c><c r="AJ128" s="301"><f>AJ127</f><v /></c><c r="AK128" s="52"><f>+Z128</f><v /></c><c r="AL128" s="52" t="n" /><c r="AM128" s="111"><f>AM127</f><v /></c><c r="AN128" s="299"><f>AN127</f><v /></c><c r="AO128" s="10"><f>LEFT(AN128,2)</f><v /></c><c r="AP128" s="10"><f>RIGHT(AN128,6)</f><v /></c><c r="AQ128" s="10"><f>+(AO128*60+AP128)/(60*60)</f><v /></c><c r="AR128" s="13"><f>+AM128/AQ128</f><v /></c><c r="AS128" s="303"><f>+(((AL128-AK128-AM128)/AM128)*100)</f><v /></c><c r="AT128" s="64"><f>IF(I128&gt;=1,"NO CONFORME",IF(BK128="SIGDIFERENTES",BC128,BL128))</f><v /></c><c r="AU128" s="21"><f>B128&lt;=C128</f><v /></c><c r="AV128" s="21"><f>N128&lt;Y128</f><v /></c><c r="AW128" s="21"><f>Z128&lt;=AK128</f><v /></c><c r="AX128" s="21"><f>IF(I128&gt;=1,"Qcorrecto",IF(AND(AY128="aceptable",AZ128="aceptable",BA128="aceptable"),"Qcorrecto","Qincorrecto"))</f><v /></c><c r="AY128" s="21"><f>IF(AR128&lt;$AH$6,"error",IF(AR128&gt;$AH$6*1.1,"error","aceptable"))</f><v /></c><c r="AZ128" s="21"><f>IF(AF128&lt;$V$6,"error",IF(AF128&gt;$V$6*1.1,"error","aceptable"))</f><v /></c><c r="BA128" s="21"><f>IF(T128&lt;$J$6*0.9,"error",IF(T128&gt;$J$6,"error","aceptable"))</f><v /></c><c r="BB128" s="65"><f>(IF(ABS(U128)&lt;1.05,"CONFORME",IF(ABS(AG128)&lt;1.05,"CONFORME",IF(ABS(AS128)&lt;2.55,"CONFORME","NO CONFORME"))))</f><v /></c><c r="BC128" s="62"><f>(IF(ABS(U128)&gt;2.05,"NO CONFORME",IF(ABS(AG128)&gt;2.05,"NO CONFORME",IF(ABS(AS128)&gt;5.05,"NO CONFORME","CONFORME"))))</f><v /></c><c r="BD128" s="64"><f>SIGN(U128)</f><v /></c><c r="BE128" s="64"><f>SIGN(AG128)</f><v /></c><c r="BF128" s="64"><f>SIGN(AS128)</f><v /></c><c r="BG128" s="64"><f>CONCATENATE(BD128,BE128,BF128)</f><v /></c><c r="BH128" s="64"><f>IF(BG128="111","SI","SD")</f><v /></c><c r="BI128" s="64"><f>IF(BG128="-1-1-1","SI","SD")</f><v /></c><c r="BJ128" s="64"><f>OR(BH128="SI",BI128="SI")</f><v /></c><c r="BK128" s="64"><f>IF(BJ128=FALSE,"SIGDIFERENTES","SIGIGUALES")</f><v /></c><c r="BL128" s="21"><f>IF(BC128="NO CONFORME","NO CONFORME",IF(BB128="CONFORME","CONFORME","NO CONFORME"))</f><v /></c><c r="BM128" s="66" t="n" /><c r="BN128" s="66" t="n" /></row><row r="129" ht="15" customHeight="1"><c r="A129" s="55" t="n"><v>121</v></c><c r="B129" s="304"><f>B128</f><v /></c><c r="C129" s="304"><f>C128</f><v /></c><c r="D129" s="94"><f>D128</f><v /></c><c r="E129" s="95"><f>E128</f><v /></c><c r="F129" s="96" t="n" /><c r="G129" s="305" t="n" /><c r="H129" s="98"><f>H128</f><v /></c><c r="I129" s="98" t="n" /><c r="J129" s="306"><f>J128</f><v /></c><c r="K129" s="306"><f>K128</f><v /></c><c r="L129" s="306"><f>L128</f><v /></c><c r="M129" s="100" t="n" /><c r="N129" s="100" t="n" /><c r="O129" s="101"><f>O128</f><v /></c><c r="P129" s="307"><f>P128</f><v /></c><c r="Q129" s="10"><f>LEFT(P129,1)</f><v /></c><c r="R129" s="10"><f>RIGHT(P129,6)</f><v /></c><c r="S129" s="10"><f>+(Q129*60+R129)/(60*60)</f><v /></c><c r="T129" s="13"><f>+O129/S129</f><v /></c><c r="U129" s="300"><f>+(((N129-M129-O129)/O129)*100)</f><v /></c><c r="V129" s="308"><f>V128</f><v /></c><c r="W129" s="309"><f>W128</f><v /></c><c r="X129" s="309"><f>X128</f><v /></c><c r="Y129" s="100" t="n" /><c r="Z129" s="100" t="n" /><c r="AA129" s="109"><f>AA128</f><v /></c><c r="AB129" s="307"><f>AB128</f><v /></c><c r="AC129" s="10"><f>LEFT(AB129,2)</f><v /></c><c r="AD129" s="10"><f>RIGHT(AB129,6)</f><v /></c><c r="AE129" s="10"><f>+(AC129*60+AD129)/(60*60)</f><v /></c><c r="AF129" s="13"><f>+AA129/AE129</f><v /></c><c r="AG129" s="303"><f>+(((Z129-Y129-AA129)/AA129)*100)</f><v /></c><c r="AH129" s="308"><f>AH128</f><v /></c><c r="AI129" s="308"><f>AI128</f><v /></c><c r="AJ129" s="308"><f>AJ128</f><v /></c><c r="AK129" s="100"><f>+Z129</f><v /></c><c r="AL129" s="100" t="n" /><c r="AM129" s="112"><f>AM128</f><v /></c><c r="AN129" s="307"><f>AN128</f><v /></c><c r="AO129" s="10"><f>LEFT(AN129,2)</f><v /></c><c r="AP129" s="10"><f>RIGHT(AN129,6)</f><v /></c><c r="AQ129" s="10"><f>+(AO129*60+AP129)/(60*60)</f><v /></c><c r="AR129" s="13"><f>+AM129/AQ129</f><v /></c><c r="AS129" s="303"><f>+(((AL129-AK129-AM129)/AM129)*100)</f><v /></c><c r="AT129" s="64"><f>IF(I129&gt;=1,"NO CONFORME",IF(BK129="SIGDIFERENTES",BC129,BL129))</f><v /></c><c r="AU129" s="21"><f>B129&lt;=C129</f><v /></c><c r="AV129" s="21"><f>N129&lt;Y129</f><v /></c><c r="AW129" s="21"><f>Z129&lt;=AK129</f><v /></c><c r="AX129" s="21"><f>IF(I129&gt;=1,"Qcorrecto",IF(AND(AY129="aceptable",AZ129="aceptable",BA129="aceptable"),"Qcorrecto","Qincorrecto"))</f><v /></c><c r="AY129" s="21"><f>IF(AR129&lt;$AH$6,"error",IF(AR129&gt;$AH$6*1.1,"error","aceptable"))</f><v /></c><c r="AZ129" s="21"><f>IF(AF129&lt;$V$6,"error",IF(AF129&gt;$V$6*1.1,"error","aceptable"))</f><v /></c><c r="BA129" s="21"><f>IF(T129&lt;$J$6*0.9,"error",IF(T129&gt;$J$6,"error","aceptable"))</f><v /></c><c r="BB129" s="65"><f>(IF(ABS(U129)&lt;1.05,"CONFORME",IF(ABS(AG129)&lt;1.05,"CONFORME",IF(ABS(AS129)&lt;2.55,"CONFORME","NO CONFORME"))))</f><v /></c><c r="BC129" s="62"><f>(IF(ABS(U129)&gt;2.05,"NO CONFORME",IF(ABS(AG129)&gt;2.05,"NO CONFORME",IF(ABS(AS129)&gt;5.05,"NO CONFORME","CONFORME"))))</f><v /></c><c r="BD129" s="64"><f>SIGN(U129)</f><v /></c><c r="BE129" s="64"><f>SIGN(AG129)</f><v /></c><c r="BF129" s="64"><f>SIGN(AS129)</f><v /></c><c r="BG129" s="64"><f>CONCATENATE(BD129,BE129,BF129)</f><v /></c><c r="BH129" s="64"><f>IF(BG129="111","SI","SD")</f><v /></c><c r="BI129" s="64"><f>IF(BG129="-1-1-1","SI","SD")</f><v /></c><c r="BJ129" s="64"><f>OR(BH129="SI",BI129="SI")</f><v /></c><c r="BK129" s="64"><f>IF(BJ129=FALSE,"SIGDIFERENTES","SIGIGUALES")</f><v /></c><c r="BL129" s="21"><f>IF(BC129="NO CONFORME","NO CONFORME",IF(BB129="CONFORME","CONFORME","NO CONFORME"))</f><v /></c><c r="BM129" s="66" t="n" /><c r="BN129" s="66" t="n" /></row><row r="130" ht="15.75" customHeight="1" thickBot="1"><c r="A130" s="9" t="n"><v>122</v></c><c r="B130" s="296"><f>B129</f><v /></c><c r="C130" s="296"><f>C129</f><v /></c><c r="D130" s="11"><f>D129</f><v /></c><c r="E130" s="9"><f>E129</f><v /></c><c r="F130" s="12" t="n" /><c r="G130" s="297" t="n" /><c r="H130" s="90"><f>H129</f><v /></c><c r="I130" s="90" t="n" /><c r="J130" s="298"><f>J129</f><v /></c><c r="K130" s="298"><f>K129</f><v /></c><c r="L130" s="298"><f>L129</f><v /></c><c r="M130" s="52" t="n" /><c r="N130" s="52" t="n" /><c r="O130" s="30"><f>O129</f><v /></c><c r="P130" s="299"><f>P129</f><v /></c><c r="Q130" s="10"><f>LEFT(P130,1)</f><v /></c><c r="R130" s="10"><f>RIGHT(P130,6)</f><v /></c><c r="S130" s="10"><f>+(Q130*60+R130)/(60*60)</f><v /></c><c r="T130" s="13"><f>+O130/S130</f><v /></c><c r="U130" s="300"><f>+(((N130-M130-O130)/O130)*100)</f><v /></c><c r="V130" s="301"><f>V129</f><v /></c><c r="W130" s="302"><f>W129</f><v /></c><c r="X130" s="302"><f>X129</f><v /></c><c r="Y130" s="52" t="n" /><c r="Z130" s="52" t="n" /><c r="AA130" s="106"><f>AA129</f><v /></c><c r="AB130" s="299"><f>AB129</f><v /></c><c r="AC130" s="10"><f>LEFT(AB130,2)</f><v /></c><c r="AD130" s="10"><f>RIGHT(AB130,6)</f><v /></c><c r="AE130" s="10"><f>+(AC130*60+AD130)/(60*60)</f><v /></c><c r="AF130" s="13"><f>+AA130/AE130</f><v /></c><c r="AG130" s="303"><f>+(((Z130-Y130-AA130)/AA130)*100)</f><v /></c><c r="AH130" s="301"><f>AH129</f><v /></c><c r="AI130" s="301"><f>AI129</f><v /></c><c r="AJ130" s="301"><f>AJ129</f><v /></c><c r="AK130" s="52"><f>+Z130</f><v /></c><c r="AL130" s="52" t="n" /><c r="AM130" s="111"><f>AM129</f><v /></c><c r="AN130" s="299"><f>AN129</f><v /></c><c r="AO130" s="10"><f>LEFT(AN130,2)</f><v /></c><c r="AP130" s="10"><f>RIGHT(AN130,6)</f><v /></c><c r="AQ130" s="10"><f>+(AO130*60+AP130)/(60*60)</f><v /></c><c r="AR130" s="13"><f>+AM130/AQ130</f><v /></c><c r="AS130" s="303"><f>+(((AL130-AK130-AM130)/AM130)*100)</f><v /></c><c r="AT130" s="64"><f>IF(I130&gt;=1,"NO CONFORME",IF(BK130="SIGDIFERENTES",BC130,BL130))</f><v /></c><c r="AU130" s="21"><f>B130&lt;=C130</f><v /></c><c r="AV130" s="21"><f>N130&lt;Y130</f><v /></c><c r="AW130" s="21"><f>Z130&lt;=AK130</f><v /></c><c r="AX130" s="21"><f>IF(I130&gt;=1,"Qcorrecto",IF(AND(AY130="aceptable",AZ130="aceptable",BA130="aceptable"),"Qcorrecto","Qincorrecto"))</f><v /></c><c r="AY130" s="21"><f>IF(AR130&lt;$AH$6,"error",IF(AR130&gt;$AH$6*1.1,"error","aceptable"))</f><v /></c><c r="AZ130" s="21"><f>IF(AF130&lt;$V$6,"error",IF(AF130&gt;$V$6*1.1,"error","aceptable"))</f><v /></c><c r="BA130" s="21"><f>IF(T130&lt;$J$6*0.9,"error",IF(T130&gt;$J$6,"error","aceptable"))</f><v /></c><c r="BB130" s="65"><f>(IF(ABS(U130)&lt;1.05,"CONFORME",IF(ABS(AG130)&lt;1.05,"CONFORME",IF(ABS(AS130)&lt;2.55,"CONFORME","NO CONFORME"))))</f><v /></c><c r="BC130" s="62"><f>(IF(ABS(U130)&gt;2.05,"NO CONFORME",IF(ABS(AG130)&gt;2.05,"NO CONFORME",IF(ABS(AS130)&gt;5.05,"NO CONFORME","CONFORME"))))</f><v /></c><c r="BD130" s="64"><f>SIGN(U130)</f><v /></c><c r="BE130" s="64"><f>SIGN(AG130)</f><v /></c><c r="BF130" s="64"><f>SIGN(AS130)</f><v /></c><c r="BG130" s="64"><f>CONCATENATE(BD130,BE130,BF130)</f><v /></c><c r="BH130" s="64"><f>IF(BG130="111","SI","SD")</f><v /></c><c r="BI130" s="64"><f>IF(BG130="-1-1-1","SI","SD")</f><v /></c><c r="BJ130" s="64"><f>OR(BH130="SI",BI130="SI")</f><v /></c><c r="BK130" s="64"><f>IF(BJ130=FALSE,"SIGDIFERENTES","SIGIGUALES")</f><v /></c><c r="BL130" s="21"><f>IF(BC130="NO CONFORME","NO CONFORME",IF(BB130="CONFORME","CONFORME","NO CONFORME"))</f><v /></c><c r="BM130" s="66" t="n" /><c r="BN130" s="66" t="n" /></row><row r="131" ht="15" customHeight="1"><c r="A131" s="55" t="n"><v>123</v></c><c r="B131" s="304"><f>B130</f><v /></c><c r="C131" s="304"><f>C130</f><v /></c><c r="D131" s="94"><f>D130</f><v /></c><c r="E131" s="95"><f>E130</f><v /></c><c r="F131" s="96" t="n" /><c r="G131" s="305" t="n" /><c r="H131" s="98"><f>H130</f><v /></c><c r="I131" s="98" t="n" /><c r="J131" s="306"><f>J130</f><v /></c><c r="K131" s="306"><f>K130</f><v /></c><c r="L131" s="306"><f>L130</f><v /></c><c r="M131" s="100" t="n" /><c r="N131" s="100" t="n" /><c r="O131" s="101"><f>O130</f><v /></c><c r="P131" s="307"><f>P130</f><v /></c><c r="Q131" s="10"><f>LEFT(P131,1)</f><v /></c><c r="R131" s="10"><f>RIGHT(P131,6)</f><v /></c><c r="S131" s="10"><f>+(Q131*60+R131)/(60*60)</f><v /></c><c r="T131" s="13"><f>+O131/S131</f><v /></c><c r="U131" s="300"><f>+(((N131-M131-O131)/O131)*100)</f><v /></c><c r="V131" s="308"><f>V130</f><v /></c><c r="W131" s="309"><f>W130</f><v /></c><c r="X131" s="309"><f>X130</f><v /></c><c r="Y131" s="100" t="n" /><c r="Z131" s="100" t="n" /><c r="AA131" s="109"><f>AA130</f><v /></c><c r="AB131" s="307"><f>AB130</f><v /></c><c r="AC131" s="10"><f>LEFT(AB131,2)</f><v /></c><c r="AD131" s="10"><f>RIGHT(AB131,6)</f><v /></c><c r="AE131" s="10"><f>+(AC131*60+AD131)/(60*60)</f><v /></c><c r="AF131" s="13"><f>+AA131/AE131</f><v /></c><c r="AG131" s="303"><f>+(((Z131-Y131-AA131)/AA131)*100)</f><v /></c><c r="AH131" s="308"><f>AH130</f><v /></c><c r="AI131" s="308"><f>AI130</f><v /></c><c r="AJ131" s="308"><f>AJ130</f><v /></c><c r="AK131" s="100"><f>+Z131</f><v /></c><c r="AL131" s="100" t="n" /><c r="AM131" s="112"><f>AM130</f><v /></c><c r="AN131" s="307"><f>AN130</f><v /></c><c r="AO131" s="10"><f>LEFT(AN131,2)</f><v /></c><c r="AP131" s="10"><f>RIGHT(AN131,6)</f><v /></c><c r="AQ131" s="10"><f>+(AO131*60+AP131)/(60*60)</f><v /></c><c r="AR131" s="13"><f>+AM131/AQ131</f><v /></c><c r="AS131" s="303"><f>+(((AL131-AK131-AM131)/AM131)*100)</f><v /></c><c r="AT131" s="64"><f>IF(I131&gt;=1,"NO CONFORME",IF(BK131="SIGDIFERENTES",BC131,BL131))</f><v /></c><c r="AU131" s="21"><f>B131&lt;=C131</f><v /></c><c r="AV131" s="21"><f>N131&lt;Y131</f><v /></c><c r="AW131" s="21"><f>Z131&lt;=AK131</f><v /></c><c r="AX131" s="21"><f>IF(I131&gt;=1,"Qcorrecto",IF(AND(AY131="aceptable",AZ131="aceptable",BA131="aceptable"),"Qcorrecto","Qincorrecto"))</f><v /></c><c r="AY131" s="21"><f>IF(AR131&lt;$AH$6,"error",IF(AR131&gt;$AH$6*1.1,"error","aceptable"))</f><v /></c><c r="AZ131" s="21"><f>IF(AF131&lt;$V$6,"error",IF(AF131&gt;$V$6*1.1,"error","aceptable"))</f><v /></c><c r="BA131" s="21"><f>IF(T131&lt;$J$6*0.9,"error",IF(T131&gt;$J$6,"error","aceptable"))</f><v /></c><c r="BB131" s="65"><f>(IF(ABS(U131)&lt;1.05,"CONFORME",IF(ABS(AG131)&lt;1.05,"CONFORME",IF(ABS(AS131)&lt;2.55,"CONFORME","NO CONFORME"))))</f><v /></c><c r="BC131" s="62"><f>(IF(ABS(U131)&gt;2.05,"NO CONFORME",IF(ABS(AG131)&gt;2.05,"NO CONFORME",IF(ABS(AS131)&gt;5.05,"NO CONFORME","CONFORME"))))</f><v /></c><c r="BD131" s="64"><f>SIGN(U131)</f><v /></c><c r="BE131" s="64"><f>SIGN(AG131)</f><v /></c><c r="BF131" s="64"><f>SIGN(AS131)</f><v /></c><c r="BG131" s="64"><f>CONCATENATE(BD131,BE131,BF131)</f><v /></c><c r="BH131" s="64"><f>IF(BG131="111","SI","SD")</f><v /></c><c r="BI131" s="64"><f>IF(BG131="-1-1-1","SI","SD")</f><v /></c><c r="BJ131" s="64"><f>OR(BH131="SI",BI131="SI")</f><v /></c><c r="BK131" s="64"><f>IF(BJ131=FALSE,"SIGDIFERENTES","SIGIGUALES")</f><v /></c><c r="BL131" s="21"><f>IF(BC131="NO CONFORME","NO CONFORME",IF(BB131="CONFORME","CONFORME","NO CONFORME"))</f><v /></c><c r="BM131" s="66" t="n" /><c r="BN131" s="66" t="n" /></row><row r="132" ht="15.75" customHeight="1" thickBot="1"><c r="A132" s="9" t="n"><v>124</v></c><c r="B132" s="296"><f>B131</f><v /></c><c r="C132" s="296"><f>C131</f><v /></c><c r="D132" s="11"><f>D131</f><v /></c><c r="E132" s="9"><f>E131</f><v /></c><c r="F132" s="12" t="n" /><c r="G132" s="297" t="n" /><c r="H132" s="90"><f>H131</f><v /></c><c r="I132" s="90" t="n" /><c r="J132" s="298"><f>J131</f><v /></c><c r="K132" s="298"><f>K131</f><v /></c><c r="L132" s="298"><f>L131</f><v /></c><c r="M132" s="52" t="n" /><c r="N132" s="52" t="n" /><c r="O132" s="30"><f>O131</f><v /></c><c r="P132" s="299"><f>P131</f><v /></c><c r="Q132" s="10"><f>LEFT(P132,1)</f><v /></c><c r="R132" s="10"><f>RIGHT(P132,6)</f><v /></c><c r="S132" s="10"><f>+(Q132*60+R132)/(60*60)</f><v /></c><c r="T132" s="13"><f>+O132/S132</f><v /></c><c r="U132" s="300"><f>+(((N132-M132-O132)/O132)*100)</f><v /></c><c r="V132" s="301"><f>V131</f><v /></c><c r="W132" s="302"><f>W131</f><v /></c><c r="X132" s="302"><f>X131</f><v /></c><c r="Y132" s="52" t="n" /><c r="Z132" s="52" t="n" /><c r="AA132" s="106"><f>AA131</f><v /></c><c r="AB132" s="299"><f>AB131</f><v /></c><c r="AC132" s="10"><f>LEFT(AB132,2)</f><v /></c><c r="AD132" s="10"><f>RIGHT(AB132,6)</f><v /></c><c r="AE132" s="10"><f>+(AC132*60+AD132)/(60*60)</f><v /></c><c r="AF132" s="13"><f>+AA132/AE132</f><v /></c><c r="AG132" s="303"><f>+(((Z132-Y132-AA132)/AA132)*100)</f><v /></c><c r="AH132" s="301"><f>AH131</f><v /></c><c r="AI132" s="301"><f>AI131</f><v /></c><c r="AJ132" s="301"><f>AJ131</f><v /></c><c r="AK132" s="52"><f>+Z132</f><v /></c><c r="AL132" s="52" t="n" /><c r="AM132" s="111"><f>AM131</f><v /></c><c r="AN132" s="299"><f>AN131</f><v /></c><c r="AO132" s="10"><f>LEFT(AN132,2)</f><v /></c><c r="AP132" s="10"><f>RIGHT(AN132,6)</f><v /></c><c r="AQ132" s="10"><f>+(AO132*60+AP132)/(60*60)</f><v /></c><c r="AR132" s="13"><f>+AM132/AQ132</f><v /></c><c r="AS132" s="303"><f>+(((AL132-AK132-AM132)/AM132)*100)</f><v /></c><c r="AT132" s="64"><f>IF(I132&gt;=1,"NO CONFORME",IF(BK132="SIGDIFERENTES",BC132,BL132))</f><v /></c><c r="AU132" s="21"><f>B132&lt;=C132</f><v /></c><c r="AV132" s="21"><f>N132&lt;Y132</f><v /></c><c r="AW132" s="21"><f>Z132&lt;=AK132</f><v /></c><c r="AX132" s="21"><f>IF(I132&gt;=1,"Qcorrecto",IF(AND(AY132="aceptable",AZ132="aceptable",BA132="aceptable"),"Qcorrecto","Qincorrecto"))</f><v /></c><c r="AY132" s="21"><f>IF(AR132&lt;$AH$6,"error",IF(AR132&gt;$AH$6*1.1,"error","aceptable"))</f><v /></c><c r="AZ132" s="21"><f>IF(AF132&lt;$V$6,"error",IF(AF132&gt;$V$6*1.1,"error","aceptable"))</f><v /></c><c r="BA132" s="21"><f>IF(T132&lt;$J$6*0.9,"error",IF(T132&gt;$J$6,"error","aceptable"))</f><v /></c><c r="BB132" s="65"><f>(IF(ABS(U132)&lt;1.05,"CONFORME",IF(ABS(AG132)&lt;1.05,"CONFORME",IF(ABS(AS132)&lt;2.55,"CONFORME","NO CONFORME"))))</f><v /></c><c r="BC132" s="62"><f>(IF(ABS(U132)&gt;2.05,"NO CONFORME",IF(ABS(AG132)&gt;2.05,"NO CONFORME",IF(ABS(AS132)&gt;5.05,"NO CONFORME","CONFORME"))))</f><v /></c><c r="BD132" s="64"><f>SIGN(U132)</f><v /></c><c r="BE132" s="64"><f>SIGN(AG132)</f><v /></c><c r="BF132" s="64"><f>SIGN(AS132)</f><v /></c><c r="BG132" s="64"><f>CONCATENATE(BD132,BE132,BF132)</f><v /></c><c r="BH132" s="64"><f>IF(BG132="111","SI","SD")</f><v /></c><c r="BI132" s="64"><f>IF(BG132="-1-1-1","SI","SD")</f><v /></c><c r="BJ132" s="64"><f>OR(BH132="SI",BI132="SI")</f><v /></c><c r="BK132" s="64"><f>IF(BJ132=FALSE,"SIGDIFERENTES","SIGIGUALES")</f><v /></c><c r="BL132" s="21"><f>IF(BC132="NO CONFORME","NO CONFORME",IF(BB132="CONFORME","CONFORME","NO CONFORME"))</f><v /></c><c r="BM132" s="66" t="n" /><c r="BN132" s="66" t="n" /></row><row r="133" ht="15" customHeight="1"><c r="A133" s="55" t="n"><v>125</v></c><c r="B133" s="304"><f>B132</f><v /></c><c r="C133" s="304"><f>C132</f><v /></c><c r="D133" s="94"><f>D132</f><v /></c><c r="E133" s="95"><f>E132</f><v /></c><c r="F133" s="96" t="n" /><c r="G133" s="305" t="n" /><c r="H133" s="98"><f>H132</f><v /></c><c r="I133" s="98" t="n" /><c r="J133" s="306"><f>J132</f><v /></c><c r="K133" s="306"><f>K132</f><v /></c><c r="L133" s="306"><f>L132</f><v /></c><c r="M133" s="100" t="n" /><c r="N133" s="100" t="n" /><c r="O133" s="101"><f>O132</f><v /></c><c r="P133" s="307"><f>P132</f><v /></c><c r="Q133" s="10"><f>LEFT(P133,1)</f><v /></c><c r="R133" s="10"><f>RIGHT(P133,6)</f><v /></c><c r="S133" s="10"><f>+(Q133*60+R133)/(60*60)</f><v /></c><c r="T133" s="13"><f>+O133/S133</f><v /></c><c r="U133" s="300"><f>+(((N133-M133-O133)/O133)*100)</f><v /></c><c r="V133" s="308"><f>V132</f><v /></c><c r="W133" s="309"><f>W132</f><v /></c><c r="X133" s="309"><f>X132</f><v /></c><c r="Y133" s="100" t="n" /><c r="Z133" s="100" t="n" /><c r="AA133" s="109"><f>AA132</f><v /></c><c r="AB133" s="307"><f>AB132</f><v /></c><c r="AC133" s="10"><f>LEFT(AB133,2)</f><v /></c><c r="AD133" s="10"><f>RIGHT(AB133,6)</f><v /></c><c r="AE133" s="10"><f>+(AC133*60+AD133)/(60*60)</f><v /></c><c r="AF133" s="13"><f>+AA133/AE133</f><v /></c><c r="AG133" s="303"><f>+(((Z133-Y133-AA133)/AA133)*100)</f><v /></c><c r="AH133" s="308"><f>AH132</f><v /></c><c r="AI133" s="308"><f>AI132</f><v /></c><c r="AJ133" s="308"><f>AJ132</f><v /></c><c r="AK133" s="100"><f>+Z133</f><v /></c><c r="AL133" s="100" t="n" /><c r="AM133" s="112"><f>AM132</f><v /></c><c r="AN133" s="307"><f>AN132</f><v /></c><c r="AO133" s="10"><f>LEFT(AN133,2)</f><v /></c><c r="AP133" s="10"><f>RIGHT(AN133,6)</f><v /></c><c r="AQ133" s="10"><f>+(AO133*60+AP133)/(60*60)</f><v /></c><c r="AR133" s="13"><f>+AM133/AQ133</f><v /></c><c r="AS133" s="303"><f>+(((AL133-AK133-AM133)/AM133)*100)</f><v /></c><c r="AT133" s="64"><f>IF(I133&gt;=1,"NO CONFORME",IF(BK133="SIGDIFERENTES",BC133,BL133))</f><v /></c><c r="AU133" s="21"><f>B133&lt;=C133</f><v /></c><c r="AV133" s="21"><f>N133&lt;Y133</f><v /></c><c r="AW133" s="21"><f>Z133&lt;=AK133</f><v /></c><c r="AX133" s="21"><f>IF(I133&gt;=1,"Qcorrecto",IF(AND(AY133="aceptable",AZ133="aceptable",BA133="aceptable"),"Qcorrecto","Qincorrecto"))</f><v /></c><c r="AY133" s="21"><f>IF(AR133&lt;$AH$6,"error",IF(AR133&gt;$AH$6*1.1,"error","aceptable"))</f><v /></c><c r="AZ133" s="21"><f>IF(AF133&lt;$V$6,"error",IF(AF133&gt;$V$6*1.1,"error","aceptable"))</f><v /></c><c r="BA133" s="21"><f>IF(T133&lt;$J$6*0.9,"error",IF(T133&gt;$J$6,"error","aceptable"))</f><v /></c><c r="BB133" s="65"><f>(IF(ABS(U133)&lt;1.05,"CONFORME",IF(ABS(AG133)&lt;1.05,"CONFORME",IF(ABS(AS133)&lt;2.55,"CONFORME","NO CONFORME"))))</f><v /></c><c r="BC133" s="62"><f>(IF(ABS(U133)&gt;2.05,"NO CONFORME",IF(ABS(AG133)&gt;2.05,"NO CONFORME",IF(ABS(AS133)&gt;5.05,"NO CONFORME","CONFORME"))))</f><v /></c><c r="BD133" s="64"><f>SIGN(U133)</f><v /></c><c r="BE133" s="64"><f>SIGN(AG133)</f><v /></c><c r="BF133" s="64"><f>SIGN(AS133)</f><v /></c><c r="BG133" s="64"><f>CONCATENATE(BD133,BE133,BF133)</f><v /></c><c r="BH133" s="64"><f>IF(BG133="111","SI","SD")</f><v /></c><c r="BI133" s="64"><f>IF(BG133="-1-1-1","SI","SD")</f><v /></c><c r="BJ133" s="64"><f>OR(BH133="SI",BI133="SI")</f><v /></c><c r="BK133" s="64"><f>IF(BJ133=FALSE,"SIGDIFERENTES","SIGIGUALES")</f><v /></c><c r="BL133" s="21"><f>IF(BC133="NO CONFORME","NO CONFORME",IF(BB133="CONFORME","CONFORME","NO CONFORME"))</f><v /></c><c r="BM133" s="66" t="n" /><c r="BN133" s="66" t="n" /></row><row r="134" ht="15.75" customHeight="1" thickBot="1"><c r="A134" s="9" t="n"><v>126</v></c><c r="B134" s="296"><f>B133</f><v /></c><c r="C134" s="296"><f>C133</f><v /></c><c r="D134" s="11"><f>D133</f><v /></c><c r="E134" s="9"><f>E133</f><v /></c><c r="F134" s="12" t="n" /><c r="G134" s="297" t="n" /><c r="H134" s="90"><f>H133</f><v /></c><c r="I134" s="90" t="n" /><c r="J134" s="298"><f>J133</f><v /></c><c r="K134" s="298"><f>K133</f><v /></c><c r="L134" s="298"><f>L133</f><v /></c><c r="M134" s="52" t="n" /><c r="N134" s="52" t="n" /><c r="O134" s="30"><f>O133</f><v /></c><c r="P134" s="299"><f>P133</f><v /></c><c r="Q134" s="10"><f>LEFT(P134,1)</f><v /></c><c r="R134" s="10"><f>RIGHT(P134,6)</f><v /></c><c r="S134" s="10"><f>+(Q134*60+R134)/(60*60)</f><v /></c><c r="T134" s="13"><f>+O134/S134</f><v /></c><c r="U134" s="300"><f>+(((N134-M134-O134)/O134)*100)</f><v /></c><c r="V134" s="301"><f>V133</f><v /></c><c r="W134" s="302"><f>W133</f><v /></c><c r="X134" s="302"><f>X133</f><v /></c><c r="Y134" s="52" t="n" /><c r="Z134" s="52" t="n" /><c r="AA134" s="106"><f>AA133</f><v /></c><c r="AB134" s="299"><f>AB133</f><v /></c><c r="AC134" s="10"><f>LEFT(AB134,2)</f><v /></c><c r="AD134" s="10"><f>RIGHT(AB134,6)</f><v /></c><c r="AE134" s="10"><f>+(AC134*60+AD134)/(60*60)</f><v /></c><c r="AF134" s="13"><f>+AA134/AE134</f><v /></c><c r="AG134" s="303"><f>+(((Z134-Y134-AA134)/AA134)*100)</f><v /></c><c r="AH134" s="301"><f>AH133</f><v /></c><c r="AI134" s="301"><f>AI133</f><v /></c><c r="AJ134" s="301"><f>AJ133</f><v /></c><c r="AK134" s="52"><f>+Z134</f><v /></c><c r="AL134" s="52" t="n" /><c r="AM134" s="111"><f>AM133</f><v /></c><c r="AN134" s="299"><f>AN133</f><v /></c><c r="AO134" s="10"><f>LEFT(AN134,2)</f><v /></c><c r="AP134" s="10"><f>RIGHT(AN134,6)</f><v /></c><c r="AQ134" s="10"><f>+(AO134*60+AP134)/(60*60)</f><v /></c><c r="AR134" s="13"><f>+AM134/AQ134</f><v /></c><c r="AS134" s="303"><f>+(((AL134-AK134-AM134)/AM134)*100)</f><v /></c><c r="AT134" s="64"><f>IF(I134&gt;=1,"NO CONFORME",IF(BK134="SIGDIFERENTES",BC134,BL134))</f><v /></c><c r="AU134" s="21"><f>B134&lt;=C134</f><v /></c><c r="AV134" s="21"><f>N134&lt;Y134</f><v /></c><c r="AW134" s="21"><f>Z134&lt;=AK134</f><v /></c><c r="AX134" s="21"><f>IF(I134&gt;=1,"Qcorrecto",IF(AND(AY134="aceptable",AZ134="aceptable",BA134="aceptable"),"Qcorrecto","Qincorrecto"))</f><v /></c><c r="AY134" s="21"><f>IF(AR134&lt;$AH$6,"error",IF(AR134&gt;$AH$6*1.1,"error","aceptable"))</f><v /></c><c r="AZ134" s="21"><f>IF(AF134&lt;$V$6,"error",IF(AF134&gt;$V$6*1.1,"error","aceptable"))</f><v /></c><c r="BA134" s="21"><f>IF(T134&lt;$J$6*0.9,"error",IF(T134&gt;$J$6,"error","aceptable"))</f><v /></c><c r="BB134" s="65"><f>(IF(ABS(U134)&lt;1.05,"CONFORME",IF(ABS(AG134)&lt;1.05,"CONFORME",IF(ABS(AS134)&lt;2.55,"CONFORME","NO CONFORME"))))</f><v /></c><c r="BC134" s="62"><f>(IF(ABS(U134)&gt;2.05,"NO CONFORME",IF(ABS(AG134)&gt;2.05,"NO CONFORME",IF(ABS(AS134)&gt;5.05,"NO CONFORME","CONFORME"))))</f><v /></c><c r="BD134" s="64"><f>SIGN(U134)</f><v /></c><c r="BE134" s="64"><f>SIGN(AG134)</f><v /></c><c r="BF134" s="64"><f>SIGN(AS134)</f><v /></c><c r="BG134" s="64"><f>CONCATENATE(BD134,BE134,BF134)</f><v /></c><c r="BH134" s="64"><f>IF(BG134="111","SI","SD")</f><v /></c><c r="BI134" s="64"><f>IF(BG134="-1-1-1","SI","SD")</f><v /></c><c r="BJ134" s="64"><f>OR(BH134="SI",BI134="SI")</f><v /></c><c r="BK134" s="64"><f>IF(BJ134=FALSE,"SIGDIFERENTES","SIGIGUALES")</f><v /></c><c r="BL134" s="21"><f>IF(BC134="NO CONFORME","NO CONFORME",IF(BB134="CONFORME","CONFORME","NO CONFORME"))</f><v /></c><c r="BM134" s="66" t="n" /><c r="BN134" s="66" t="n" /></row><row r="135" ht="15" customHeight="1"><c r="A135" s="55" t="n"><v>127</v></c><c r="B135" s="304"><f>B134</f><v /></c><c r="C135" s="304"><f>C134</f><v /></c><c r="D135" s="94"><f>D134</f><v /></c><c r="E135" s="95"><f>E134</f><v /></c><c r="F135" s="96" t="n" /><c r="G135" s="305" t="n" /><c r="H135" s="98"><f>H134</f><v /></c><c r="I135" s="98" t="n" /><c r="J135" s="306"><f>J134</f><v /></c><c r="K135" s="306"><f>K134</f><v /></c><c r="L135" s="306"><f>L134</f><v /></c><c r="M135" s="100" t="n" /><c r="N135" s="100" t="n" /><c r="O135" s="101"><f>O134</f><v /></c><c r="P135" s="307"><f>P134</f><v /></c><c r="Q135" s="10"><f>LEFT(P135,1)</f><v /></c><c r="R135" s="10"><f>RIGHT(P135,6)</f><v /></c><c r="S135" s="10"><f>+(Q135*60+R135)/(60*60)</f><v /></c><c r="T135" s="13"><f>+O135/S135</f><v /></c><c r="U135" s="300"><f>+(((N135-M135-O135)/O135)*100)</f><v /></c><c r="V135" s="308"><f>V134</f><v /></c><c r="W135" s="309"><f>W134</f><v /></c><c r="X135" s="309"><f>X134</f><v /></c><c r="Y135" s="100" t="n" /><c r="Z135" s="100" t="n" /><c r="AA135" s="109"><f>AA134</f><v /></c><c r="AB135" s="307"><f>AB134</f><v /></c><c r="AC135" s="10"><f>LEFT(AB135,2)</f><v /></c><c r="AD135" s="10"><f>RIGHT(AB135,6)</f><v /></c><c r="AE135" s="10"><f>+(AC135*60+AD135)/(60*60)</f><v /></c><c r="AF135" s="13"><f>+AA135/AE135</f><v /></c><c r="AG135" s="303"><f>+(((Z135-Y135-AA135)/AA135)*100)</f><v /></c><c r="AH135" s="308"><f>AH134</f><v /></c><c r="AI135" s="308"><f>AI134</f><v /></c><c r="AJ135" s="308"><f>AJ134</f><v /></c><c r="AK135" s="100"><f>+Z135</f><v /></c><c r="AL135" s="100" t="n" /><c r="AM135" s="112"><f>AM134</f><v /></c><c r="AN135" s="307"><f>AN134</f><v /></c><c r="AO135" s="10"><f>LEFT(AN135,2)</f><v /></c><c r="AP135" s="10"><f>RIGHT(AN135,6)</f><v /></c><c r="AQ135" s="10"><f>+(AO135*60+AP135)/(60*60)</f><v /></c><c r="AR135" s="13"><f>+AM135/AQ135</f><v /></c><c r="AS135" s="303"><f>+(((AL135-AK135-AM135)/AM135)*100)</f><v /></c><c r="AT135" s="64"><f>IF(I135&gt;=1,"NO CONFORME",IF(BK135="SIGDIFERENTES",BC135,BL135))</f><v /></c><c r="AU135" s="21"><f>B135&lt;=C135</f><v /></c><c r="AV135" s="21"><f>N135&lt;Y135</f><v /></c><c r="AW135" s="21"><f>Z135&lt;=AK135</f><v /></c><c r="AX135" s="21"><f>IF(I135&gt;=1,"Qcorrecto",IF(AND(AY135="aceptable",AZ135="aceptable",BA135="aceptable"),"Qcorrecto","Qincorrecto"))</f><v /></c><c r="AY135" s="21"><f>IF(AR135&lt;$AH$6,"error",IF(AR135&gt;$AH$6*1.1,"error","aceptable"))</f><v /></c><c r="AZ135" s="21"><f>IF(AF135&lt;$V$6,"error",IF(AF135&gt;$V$6*1.1,"error","aceptable"))</f><v /></c><c r="BA135" s="21"><f>IF(T135&lt;$J$6*0.9,"error",IF(T135&gt;$J$6,"error","aceptable"))</f><v /></c><c r="BB135" s="65"><f>(IF(ABS(U135)&lt;1.05,"CONFORME",IF(ABS(AG135)&lt;1.05,"CONFORME",IF(ABS(AS135)&lt;2.55,"CONFORME","NO CONFORME"))))</f><v /></c><c r="BC135" s="62"><f>(IF(ABS(U135)&gt;2.05,"NO CONFORME",IF(ABS(AG135)&gt;2.05,"NO CONFORME",IF(ABS(AS135)&gt;5.05,"NO CONFORME","CONFORME"))))</f><v /></c><c r="BD135" s="64"><f>SIGN(U135)</f><v /></c><c r="BE135" s="64"><f>SIGN(AG135)</f><v /></c><c r="BF135" s="64"><f>SIGN(AS135)</f><v /></c><c r="BG135" s="64"><f>CONCATENATE(BD135,BE135,BF135)</f><v /></c><c r="BH135" s="64"><f>IF(BG135="111","SI","SD")</f><v /></c><c r="BI135" s="64"><f>IF(BG135="-1-1-1","SI","SD")</f><v /></c><c r="BJ135" s="64"><f>OR(BH135="SI",BI135="SI")</f><v /></c><c r="BK135" s="64"><f>IF(BJ135=FALSE,"SIGDIFERENTES","SIGIGUALES")</f><v /></c><c r="BL135" s="21"><f>IF(BC135="NO CONFORME","NO CONFORME",IF(BB135="CONFORME","CONFORME","NO CONFORME"))</f><v /></c><c r="BM135" s="66" t="n" /><c r="BN135" s="66" t="n" /></row><row r="136" ht="15.75" customHeight="1" thickBot="1"><c r="A136" s="9" t="n"><v>128</v></c><c r="B136" s="296"><f>B135</f><v /></c><c r="C136" s="296"><f>C135</f><v /></c><c r="D136" s="11"><f>D135</f><v /></c><c r="E136" s="9"><f>E135</f><v /></c><c r="F136" s="12" t="n" /><c r="G136" s="297" t="n" /><c r="H136" s="90"><f>H135</f><v /></c><c r="I136" s="90" t="n" /><c r="J136" s="298"><f>J135</f><v /></c><c r="K136" s="298"><f>K135</f><v /></c><c r="L136" s="298"><f>L135</f><v /></c><c r="M136" s="52" t="n" /><c r="N136" s="52" t="n" /><c r="O136" s="30"><f>O135</f><v /></c><c r="P136" s="299"><f>P135</f><v /></c><c r="Q136" s="10"><f>LEFT(P136,1)</f><v /></c><c r="R136" s="10"><f>RIGHT(P136,6)</f><v /></c><c r="S136" s="10"><f>+(Q136*60+R136)/(60*60)</f><v /></c><c r="T136" s="13"><f>+O136/S136</f><v /></c><c r="U136" s="300"><f>+(((N136-M136-O136)/O136)*100)</f><v /></c><c r="V136" s="301"><f>V135</f><v /></c><c r="W136" s="302"><f>W135</f><v /></c><c r="X136" s="302"><f>X135</f><v /></c><c r="Y136" s="52" t="n" /><c r="Z136" s="52" t="n" /><c r="AA136" s="106"><f>AA135</f><v /></c><c r="AB136" s="299"><f>AB135</f><v /></c><c r="AC136" s="10"><f>LEFT(AB136,2)</f><v /></c><c r="AD136" s="10"><f>RIGHT(AB136,6)</f><v /></c><c r="AE136" s="10"><f>+(AC136*60+AD136)/(60*60)</f><v /></c><c r="AF136" s="13"><f>+AA136/AE136</f><v /></c><c r="AG136" s="303"><f>+(((Z136-Y136-AA136)/AA136)*100)</f><v /></c><c r="AH136" s="301"><f>AH135</f><v /></c><c r="AI136" s="301"><f>AI135</f><v /></c><c r="AJ136" s="301"><f>AJ135</f><v /></c><c r="AK136" s="52"><f>+Z136</f><v /></c><c r="AL136" s="52" t="n" /><c r="AM136" s="111"><f>AM135</f><v /></c><c r="AN136" s="299"><f>AN135</f><v /></c><c r="AO136" s="10"><f>LEFT(AN136,2)</f><v /></c><c r="AP136" s="10"><f>RIGHT(AN136,6)</f><v /></c><c r="AQ136" s="10"><f>+(AO136*60+AP136)/(60*60)</f><v /></c><c r="AR136" s="13"><f>+AM136/AQ136</f><v /></c><c r="AS136" s="303"><f>+(((AL136-AK136-AM136)/AM136)*100)</f><v /></c><c r="AT136" s="64"><f>IF(I136&gt;=1,"NO CONFORME",IF(BK136="SIGDIFERENTES",BC136,BL136))</f><v /></c><c r="AU136" s="21"><f>B136&lt;=C136</f><v /></c><c r="AV136" s="21"><f>N136&lt;Y136</f><v /></c><c r="AW136" s="21"><f>Z136&lt;=AK136</f><v /></c><c r="AX136" s="21"><f>IF(I136&gt;=1,"Qcorrecto",IF(AND(AY136="aceptable",AZ136="aceptable",BA136="aceptable"),"Qcorrecto","Qincorrecto"))</f><v /></c><c r="AY136" s="21"><f>IF(AR136&lt;$AH$6,"error",IF(AR136&gt;$AH$6*1.1,"error","aceptable"))</f><v /></c><c r="AZ136" s="21"><f>IF(AF136&lt;$V$6,"error",IF(AF136&gt;$V$6*1.1,"error","aceptable"))</f><v /></c><c r="BA136" s="21"><f>IF(T136&lt;$J$6*0.9,"error",IF(T136&gt;$J$6,"error","aceptable"))</f><v /></c><c r="BB136" s="65"><f>(IF(ABS(U136)&lt;1.05,"CONFORME",IF(ABS(AG136)&lt;1.05,"CONFORME",IF(ABS(AS136)&lt;2.55,"CONFORME","NO CONFORME"))))</f><v /></c><c r="BC136" s="62"><f>(IF(ABS(U136)&gt;2.05,"NO CONFORME",IF(ABS(AG136)&gt;2.05,"NO CONFORME",IF(ABS(AS136)&gt;5.05,"NO CONFORME","CONFORME"))))</f><v /></c><c r="BD136" s="64"><f>SIGN(U136)</f><v /></c><c r="BE136" s="64"><f>SIGN(AG136)</f><v /></c><c r="BF136" s="64"><f>SIGN(AS136)</f><v /></c><c r="BG136" s="64"><f>CONCATENATE(BD136,BE136,BF136)</f><v /></c><c r="BH136" s="64"><f>IF(BG136="111","SI","SD")</f><v /></c><c r="BI136" s="64"><f>IF(BG136="-1-1-1","SI","SD")</f><v /></c><c r="BJ136" s="64"><f>OR(BH136="SI",BI136="SI")</f><v /></c><c r="BK136" s="64"><f>IF(BJ136=FALSE,"SIGDIFERENTES","SIGIGUALES")</f><v /></c><c r="BL136" s="21"><f>IF(BC136="NO CONFORME","NO CONFORME",IF(BB136="CONFORME","CONFORME","NO CONFORME"))</f><v /></c><c r="BM136" s="66" t="n" /><c r="BN136" s="66" t="n" /></row><row r="137" ht="15" customHeight="1"><c r="A137" s="55" t="n"><v>129</v></c><c r="B137" s="304"><f>B136</f><v /></c><c r="C137" s="304"><f>C136</f><v /></c><c r="D137" s="94"><f>D136</f><v /></c><c r="E137" s="95"><f>E136</f><v /></c><c r="F137" s="96" t="n" /><c r="G137" s="305" t="n" /><c r="H137" s="98"><f>H136</f><v /></c><c r="I137" s="98" t="n" /><c r="J137" s="306"><f>J136</f><v /></c><c r="K137" s="306"><f>K136</f><v /></c><c r="L137" s="306"><f>L136</f><v /></c><c r="M137" s="100" t="n" /><c r="N137" s="100" t="n" /><c r="O137" s="101"><f>O136</f><v /></c><c r="P137" s="307"><f>P136</f><v /></c><c r="Q137" s="10"><f>LEFT(P137,1)</f><v /></c><c r="R137" s="10"><f>RIGHT(P137,6)</f><v /></c><c r="S137" s="10"><f>+(Q137*60+R137)/(60*60)</f><v /></c><c r="T137" s="13"><f>+O137/S137</f><v /></c><c r="U137" s="300"><f>+(((N137-M137-O137)/O137)*100)</f><v /></c><c r="V137" s="308"><f>V136</f><v /></c><c r="W137" s="309"><f>W136</f><v /></c><c r="X137" s="309"><f>X136</f><v /></c><c r="Y137" s="100" t="n" /><c r="Z137" s="100" t="n" /><c r="AA137" s="109"><f>AA136</f><v /></c><c r="AB137" s="307"><f>AB136</f><v /></c><c r="AC137" s="10"><f>LEFT(AB137,2)</f><v /></c><c r="AD137" s="10"><f>RIGHT(AB137,6)</f><v /></c><c r="AE137" s="10"><f>+(AC137*60+AD137)/(60*60)</f><v /></c><c r="AF137" s="13"><f>+AA137/AE137</f><v /></c><c r="AG137" s="303"><f>+(((Z137-Y137-AA137)/AA137)*100)</f><v /></c><c r="AH137" s="308"><f>AH136</f><v /></c><c r="AI137" s="308"><f>AI136</f><v /></c><c r="AJ137" s="308"><f>AJ136</f><v /></c><c r="AK137" s="100"><f>+Z137</f><v /></c><c r="AL137" s="100" t="n" /><c r="AM137" s="112"><f>AM136</f><v /></c><c r="AN137" s="307"><f>AN136</f><v /></c><c r="AO137" s="10"><f>LEFT(AN137,2)</f><v /></c><c r="AP137" s="10"><f>RIGHT(AN137,6)</f><v /></c><c r="AQ137" s="10"><f>+(AO137*60+AP137)/(60*60)</f><v /></c><c r="AR137" s="13"><f>+AM137/AQ137</f><v /></c><c r="AS137" s="303"><f>+(((AL137-AK137-AM137)/AM137)*100)</f><v /></c><c r="AT137" s="64"><f>IF(I137&gt;=1,"NO CONFORME",IF(BK137="SIGDIFERENTES",BC137,BL137))</f><v /></c><c r="AU137" s="21"><f>B137&lt;=C137</f><v /></c><c r="AV137" s="21"><f>N137&lt;Y137</f><v /></c><c r="AW137" s="21"><f>Z137&lt;=AK137</f><v /></c><c r="AX137" s="21"><f>IF(I137&gt;=1,"Qcorrecto",IF(AND(AY137="aceptable",AZ137="aceptable",BA137="aceptable"),"Qcorrecto","Qincorrecto"))</f><v /></c><c r="AY137" s="21"><f>IF(AR137&lt;$AH$6,"error",IF(AR137&gt;$AH$6*1.1,"error","aceptable"))</f><v /></c><c r="AZ137" s="21"><f>IF(AF137&lt;$V$6,"error",IF(AF137&gt;$V$6*1.1,"error","aceptable"))</f><v /></c><c r="BA137" s="21"><f>IF(T137&lt;$J$6*0.9,"error",IF(T137&gt;$J$6,"error","aceptable"))</f><v /></c><c r="BB137" s="65"><f>(IF(ABS(U137)&lt;1.05,"CONFORME",IF(ABS(AG137)&lt;1.05,"CONFORME",IF(ABS(AS137)&lt;2.55,"CONFORME","NO CONFORME"))))</f><v /></c><c r="BC137" s="62"><f>(IF(ABS(U137)&gt;2.05,"NO CONFORME",IF(ABS(AG137)&gt;2.05,"NO CONFORME",IF(ABS(AS137)&gt;5.05,"NO CONFORME","CONFORME"))))</f><v /></c><c r="BD137" s="64"><f>SIGN(U137)</f><v /></c><c r="BE137" s="64"><f>SIGN(AG137)</f><v /></c><c r="BF137" s="64"><f>SIGN(AS137)</f><v /></c><c r="BG137" s="64"><f>CONCATENATE(BD137,BE137,BF137)</f><v /></c><c r="BH137" s="64"><f>IF(BG137="111","SI","SD")</f><v /></c><c r="BI137" s="64"><f>IF(BG137="-1-1-1","SI","SD")</f><v /></c><c r="BJ137" s="64"><f>OR(BH137="SI",BI137="SI")</f><v /></c><c r="BK137" s="64"><f>IF(BJ137=FALSE,"SIGDIFERENTES","SIGIGUALES")</f><v /></c><c r="BL137" s="21"><f>IF(BC137="NO CONFORME","NO CONFORME",IF(BB137="CONFORME","CONFORME","NO CONFORME"))</f><v /></c><c r="BM137" s="66" t="n" /><c r="BN137" s="66" t="n" /></row><row r="138" ht="15.75" customHeight="1" thickBot="1"><c r="A138" s="9" t="n"><v>130</v></c><c r="B138" s="296"><f>B137</f><v /></c><c r="C138" s="296"><f>C137</f><v /></c><c r="D138" s="11"><f>D137</f><v /></c><c r="E138" s="9"><f>E137</f><v /></c><c r="F138" s="12" t="n" /><c r="G138" s="297" t="n" /><c r="H138" s="90"><f>H137</f><v /></c><c r="I138" s="90" t="n" /><c r="J138" s="298"><f>J137</f><v /></c><c r="K138" s="298"><f>K137</f><v /></c><c r="L138" s="298"><f>L137</f><v /></c><c r="M138" s="52" t="n" /><c r="N138" s="52" t="n" /><c r="O138" s="30"><f>O137</f><v /></c><c r="P138" s="299"><f>P137</f><v /></c><c r="Q138" s="10"><f>LEFT(P138,1)</f><v /></c><c r="R138" s="10"><f>RIGHT(P138,6)</f><v /></c><c r="S138" s="10"><f>+(Q138*60+R138)/(60*60)</f><v /></c><c r="T138" s="13"><f>+O138/S138</f><v /></c><c r="U138" s="300"><f>+(((N138-M138-O138)/O138)*100)</f><v /></c><c r="V138" s="301"><f>V137</f><v /></c><c r="W138" s="302"><f>W137</f><v /></c><c r="X138" s="302"><f>X137</f><v /></c><c r="Y138" s="52" t="n" /><c r="Z138" s="52" t="n" /><c r="AA138" s="106"><f>AA137</f><v /></c><c r="AB138" s="299"><f>AB137</f><v /></c><c r="AC138" s="10"><f>LEFT(AB138,2)</f><v /></c><c r="AD138" s="10"><f>RIGHT(AB138,6)</f><v /></c><c r="AE138" s="10"><f>+(AC138*60+AD138)/(60*60)</f><v /></c><c r="AF138" s="13"><f>+AA138/AE138</f><v /></c><c r="AG138" s="303"><f>+(((Z138-Y138-AA138)/AA138)*100)</f><v /></c><c r="AH138" s="301"><f>AH137</f><v /></c><c r="AI138" s="301"><f>AI137</f><v /></c><c r="AJ138" s="301"><f>AJ137</f><v /></c><c r="AK138" s="52"><f>+Z138</f><v /></c><c r="AL138" s="52" t="n" /><c r="AM138" s="111"><f>AM137</f><v /></c><c r="AN138" s="299"><f>AN137</f><v /></c><c r="AO138" s="10"><f>LEFT(AN138,2)</f><v /></c><c r="AP138" s="10"><f>RIGHT(AN138,6)</f><v /></c><c r="AQ138" s="10"><f>+(AO138*60+AP138)/(60*60)</f><v /></c><c r="AR138" s="13"><f>+AM138/AQ138</f><v /></c><c r="AS138" s="303"><f>+(((AL138-AK138-AM138)/AM138)*100)</f><v /></c><c r="AT138" s="64"><f>IF(I138&gt;=1,"NO CONFORME",IF(BK138="SIGDIFERENTES",BC138,BL138))</f><v /></c><c r="AU138" s="21"><f>B138&lt;=C138</f><v /></c><c r="AV138" s="21"><f>N138&lt;Y138</f><v /></c><c r="AW138" s="21"><f>Z138&lt;=AK138</f><v /></c><c r="AX138" s="21"><f>IF(I138&gt;=1,"Qcorrecto",IF(AND(AY138="aceptable",AZ138="aceptable",BA138="aceptable"),"Qcorrecto","Qincorrecto"))</f><v /></c><c r="AY138" s="21"><f>IF(AR138&lt;$AH$6,"error",IF(AR138&gt;$AH$6*1.1,"error","aceptable"))</f><v /></c><c r="AZ138" s="21"><f>IF(AF138&lt;$V$6,"error",IF(AF138&gt;$V$6*1.1,"error","aceptable"))</f><v /></c><c r="BA138" s="21"><f>IF(T138&lt;$J$6*0.9,"error",IF(T138&gt;$J$6,"error","aceptable"))</f><v /></c><c r="BB138" s="65"><f>(IF(ABS(U138)&lt;1.05,"CONFORME",IF(ABS(AG138)&lt;1.05,"CONFORME",IF(ABS(AS138)&lt;2.55,"CONFORME","NO CONFORME"))))</f><v /></c><c r="BC138" s="62"><f>(IF(ABS(U138)&gt;2.05,"NO CONFORME",IF(ABS(AG138)&gt;2.05,"NO CONFORME",IF(ABS(AS138)&gt;5.05,"NO CONFORME","CONFORME"))))</f><v /></c><c r="BD138" s="64"><f>SIGN(U138)</f><v /></c><c r="BE138" s="64"><f>SIGN(AG138)</f><v /></c><c r="BF138" s="64"><f>SIGN(AS138)</f><v /></c><c r="BG138" s="64"><f>CONCATENATE(BD138,BE138,BF138)</f><v /></c><c r="BH138" s="64"><f>IF(BG138="111","SI","SD")</f><v /></c><c r="BI138" s="64"><f>IF(BG138="-1-1-1","SI","SD")</f><v /></c><c r="BJ138" s="64"><f>OR(BH138="SI",BI138="SI")</f><v /></c><c r="BK138" s="64"><f>IF(BJ138=FALSE,"SIGDIFERENTES","SIGIGUALES")</f><v /></c><c r="BL138" s="21"><f>IF(BC138="NO CONFORME","NO CONFORME",IF(BB138="CONFORME","CONFORME","NO CONFORME"))</f><v /></c><c r="BM138" s="66" t="n" /><c r="BN138" s="66" t="n" /></row><row r="139" ht="15" customHeight="1"><c r="A139" s="55" t="n"><v>131</v></c><c r="B139" s="304"><f>B138</f><v /></c><c r="C139" s="304"><f>C138</f><v /></c><c r="D139" s="94"><f>D138</f><v /></c><c r="E139" s="95"><f>E138</f><v /></c><c r="F139" s="96" t="n" /><c r="G139" s="305" t="n" /><c r="H139" s="98"><f>H138</f><v /></c><c r="I139" s="98" t="n" /><c r="J139" s="306"><f>J138</f><v /></c><c r="K139" s="306"><f>K138</f><v /></c><c r="L139" s="306"><f>L138</f><v /></c><c r="M139" s="100" t="n" /><c r="N139" s="100" t="n" /><c r="O139" s="101"><f>O138</f><v /></c><c r="P139" s="307"><f>P138</f><v /></c><c r="Q139" s="10"><f>LEFT(P139,1)</f><v /></c><c r="R139" s="10"><f>RIGHT(P139,6)</f><v /></c><c r="S139" s="10"><f>+(Q139*60+R139)/(60*60)</f><v /></c><c r="T139" s="13"><f>+O139/S139</f><v /></c><c r="U139" s="300"><f>+(((N139-M139-O139)/O139)*100)</f><v /></c><c r="V139" s="308"><f>V138</f><v /></c><c r="W139" s="309"><f>W138</f><v /></c><c r="X139" s="309"><f>X138</f><v /></c><c r="Y139" s="100" t="n" /><c r="Z139" s="100" t="n" /><c r="AA139" s="109"><f>AA138</f><v /></c><c r="AB139" s="307"><f>AB138</f><v /></c><c r="AC139" s="10"><f>LEFT(AB139,2)</f><v /></c><c r="AD139" s="10"><f>RIGHT(AB139,6)</f><v /></c><c r="AE139" s="10"><f>+(AC139*60+AD139)/(60*60)</f><v /></c><c r="AF139" s="13"><f>+AA139/AE139</f><v /></c><c r="AG139" s="303"><f>+(((Z139-Y139-AA139)/AA139)*100)</f><v /></c><c r="AH139" s="308"><f>AH138</f><v /></c><c r="AI139" s="308"><f>AI138</f><v /></c><c r="AJ139" s="308"><f>AJ138</f><v /></c><c r="AK139" s="100"><f>+Z139</f><v /></c><c r="AL139" s="100" t="n" /><c r="AM139" s="112"><f>AM138</f><v /></c><c r="AN139" s="307"><f>AN138</f><v /></c><c r="AO139" s="10"><f>LEFT(AN139,2)</f><v /></c><c r="AP139" s="10"><f>RIGHT(AN139,6)</f><v /></c><c r="AQ139" s="10"><f>+(AO139*60+AP139)/(60*60)</f><v /></c><c r="AR139" s="13"><f>+AM139/AQ139</f><v /></c><c r="AS139" s="303"><f>+(((AL139-AK139-AM139)/AM139)*100)</f><v /></c><c r="AT139" s="64"><f>IF(I139&gt;=1,"NO CONFORME",IF(BK139="SIGDIFERENTES",BC139,BL139))</f><v /></c><c r="AU139" s="21"><f>B139&lt;=C139</f><v /></c><c r="AV139" s="21"><f>N139&lt;Y139</f><v /></c><c r="AW139" s="21"><f>Z139&lt;=AK139</f><v /></c><c r="AX139" s="21"><f>IF(I139&gt;=1,"Qcorrecto",IF(AND(AY139="aceptable",AZ139="aceptable",BA139="aceptable"),"Qcorrecto","Qincorrecto"))</f><v /></c><c r="AY139" s="21"><f>IF(AR139&lt;$AH$6,"error",IF(AR139&gt;$AH$6*1.1,"error","aceptable"))</f><v /></c><c r="AZ139" s="21"><f>IF(AF139&lt;$V$6,"error",IF(AF139&gt;$V$6*1.1,"error","aceptable"))</f><v /></c><c r="BA139" s="21"><f>IF(T139&lt;$J$6*0.9,"error",IF(T139&gt;$J$6,"error","aceptable"))</f><v /></c><c r="BB139" s="65"><f>(IF(ABS(U139)&lt;1.05,"CONFORME",IF(ABS(AG139)&lt;1.05,"CONFORME",IF(ABS(AS139)&lt;2.55,"CONFORME","NO CONFORME"))))</f><v /></c><c r="BC139" s="62"><f>(IF(ABS(U139)&gt;2.05,"NO CONFORME",IF(ABS(AG139)&gt;2.05,"NO CONFORME",IF(ABS(AS139)&gt;5.05,"NO CONFORME","CONFORME"))))</f><v /></c><c r="BD139" s="64"><f>SIGN(U139)</f><v /></c><c r="BE139" s="64"><f>SIGN(AG139)</f><v /></c><c r="BF139" s="64"><f>SIGN(AS139)</f><v /></c><c r="BG139" s="64"><f>CONCATENATE(BD139,BE139,BF139)</f><v /></c><c r="BH139" s="64"><f>IF(BG139="111","SI","SD")</f><v /></c><c r="BI139" s="64"><f>IF(BG139="-1-1-1","SI","SD")</f><v /></c><c r="BJ139" s="64"><f>OR(BH139="SI",BI139="SI")</f><v /></c><c r="BK139" s="64"><f>IF(BJ139=FALSE,"SIGDIFERENTES","SIGIGUALES")</f><v /></c><c r="BL139" s="21"><f>IF(BC139="NO CONFORME","NO CONFORME",IF(BB139="CONFORME","CONFORME","NO CONFORME"))</f><v /></c><c r="BM139" s="66" t="n" /><c r="BN139" s="66" t="n" /></row><row r="140" ht="15.75" customHeight="1" thickBot="1"><c r="A140" s="9" t="n"><v>132</v></c><c r="B140" s="296"><f>B139</f><v /></c><c r="C140" s="296"><f>C139</f><v /></c><c r="D140" s="11"><f>D139</f><v /></c><c r="E140" s="9"><f>E139</f><v /></c><c r="F140" s="12" t="n" /><c r="G140" s="297" t="n" /><c r="H140" s="90"><f>H139</f><v /></c><c r="I140" s="90" t="n" /><c r="J140" s="298"><f>J139</f><v /></c><c r="K140" s="298"><f>K139</f><v /></c><c r="L140" s="298"><f>L139</f><v /></c><c r="M140" s="52" t="n" /><c r="N140" s="52" t="n" /><c r="O140" s="30"><f>O139</f><v /></c><c r="P140" s="299"><f>P139</f><v /></c><c r="Q140" s="10"><f>LEFT(P140,1)</f><v /></c><c r="R140" s="10"><f>RIGHT(P140,6)</f><v /></c><c r="S140" s="10"><f>+(Q140*60+R140)/(60*60)</f><v /></c><c r="T140" s="13"><f>+O140/S140</f><v /></c><c r="U140" s="300"><f>+(((N140-M140-O140)/O140)*100)</f><v /></c><c r="V140" s="301"><f>V139</f><v /></c><c r="W140" s="302"><f>W139</f><v /></c><c r="X140" s="302"><f>X139</f><v /></c><c r="Y140" s="52" t="n" /><c r="Z140" s="52" t="n" /><c r="AA140" s="106"><f>AA139</f><v /></c><c r="AB140" s="299"><f>AB139</f><v /></c><c r="AC140" s="10"><f>LEFT(AB140,2)</f><v /></c><c r="AD140" s="10"><f>RIGHT(AB140,6)</f><v /></c><c r="AE140" s="10"><f>+(AC140*60+AD140)/(60*60)</f><v /></c><c r="AF140" s="13"><f>+AA140/AE140</f><v /></c><c r="AG140" s="303"><f>+(((Z140-Y140-AA140)/AA140)*100)</f><v /></c><c r="AH140" s="301"><f>AH139</f><v /></c><c r="AI140" s="301"><f>AI139</f><v /></c><c r="AJ140" s="301"><f>AJ139</f><v /></c><c r="AK140" s="52"><f>+Z140</f><v /></c><c r="AL140" s="52" t="n" /><c r="AM140" s="111"><f>AM139</f><v /></c><c r="AN140" s="299"><f>AN139</f><v /></c><c r="AO140" s="10"><f>LEFT(AN140,2)</f><v /></c><c r="AP140" s="10"><f>RIGHT(AN140,6)</f><v /></c><c r="AQ140" s="10"><f>+(AO140*60+AP140)/(60*60)</f><v /></c><c r="AR140" s="13"><f>+AM140/AQ140</f><v /></c><c r="AS140" s="303"><f>+(((AL140-AK140-AM140)/AM140)*100)</f><v /></c><c r="AT140" s="64"><f>IF(I140&gt;=1,"NO CONFORME",IF(BK140="SIGDIFERENTES",BC140,BL140))</f><v /></c><c r="AU140" s="21"><f>B140&lt;=C140</f><v /></c><c r="AV140" s="21"><f>N140&lt;Y140</f><v /></c><c r="AW140" s="21"><f>Z140&lt;=AK140</f><v /></c><c r="AX140" s="21"><f>IF(I140&gt;=1,"Qcorrecto",IF(AND(AY140="aceptable",AZ140="aceptable",BA140="aceptable"),"Qcorrecto","Qincorrecto"))</f><v /></c><c r="AY140" s="21"><f>IF(AR140&lt;$AH$6,"error",IF(AR140&gt;$AH$6*1.1,"error","aceptable"))</f><v /></c><c r="AZ140" s="21"><f>IF(AF140&lt;$V$6,"error",IF(AF140&gt;$V$6*1.1,"error","aceptable"))</f><v /></c><c r="BA140" s="21"><f>IF(T140&lt;$J$6*0.9,"error",IF(T140&gt;$J$6,"error","aceptable"))</f><v /></c><c r="BB140" s="65"><f>(IF(ABS(U140)&lt;1.05,"CONFORME",IF(ABS(AG140)&lt;1.05,"CONFORME",IF(ABS(AS140)&lt;2.55,"CONFORME","NO CONFORME"))))</f><v /></c><c r="BC140" s="62"><f>(IF(ABS(U140)&gt;2.05,"NO CONFORME",IF(ABS(AG140)&gt;2.05,"NO CONFORME",IF(ABS(AS140)&gt;5.05,"NO CONFORME","CONFORME"))))</f><v /></c><c r="BD140" s="64"><f>SIGN(U140)</f><v /></c><c r="BE140" s="64"><f>SIGN(AG140)</f><v /></c><c r="BF140" s="64"><f>SIGN(AS140)</f><v /></c><c r="BG140" s="64"><f>CONCATENATE(BD140,BE140,BF140)</f><v /></c><c r="BH140" s="64"><f>IF(BG140="111","SI","SD")</f><v /></c><c r="BI140" s="64"><f>IF(BG140="-1-1-1","SI","SD")</f><v /></c><c r="BJ140" s="64"><f>OR(BH140="SI",BI140="SI")</f><v /></c><c r="BK140" s="64"><f>IF(BJ140=FALSE,"SIGDIFERENTES","SIGIGUALES")</f><v /></c><c r="BL140" s="21"><f>IF(BC140="NO CONFORME","NO CONFORME",IF(BB140="CONFORME","CONFORME","NO CONFORME"))</f><v /></c><c r="BM140" s="66" t="n" /><c r="BN140" s="66" t="n" /></row><row r="141" ht="15" customHeight="1"><c r="A141" s="55" t="n"><v>133</v></c><c r="B141" s="304"><f>B140</f><v /></c><c r="C141" s="304"><f>C140</f><v /></c><c r="D141" s="94"><f>D140</f><v /></c><c r="E141" s="95"><f>E140</f><v /></c><c r="F141" s="96" t="n" /><c r="G141" s="305" t="n" /><c r="H141" s="98"><f>H140</f><v /></c><c r="I141" s="98" t="n" /><c r="J141" s="306"><f>J140</f><v /></c><c r="K141" s="306"><f>K140</f><v /></c><c r="L141" s="306"><f>L140</f><v /></c><c r="M141" s="100" t="n" /><c r="N141" s="100" t="n" /><c r="O141" s="101"><f>O140</f><v /></c><c r="P141" s="307"><f>P140</f><v /></c><c r="Q141" s="10"><f>LEFT(P141,1)</f><v /></c><c r="R141" s="10"><f>RIGHT(P141,6)</f><v /></c><c r="S141" s="10"><f>+(Q141*60+R141)/(60*60)</f><v /></c><c r="T141" s="13"><f>+O141/S141</f><v /></c><c r="U141" s="300"><f>+(((N141-M141-O141)/O141)*100)</f><v /></c><c r="V141" s="308"><f>V140</f><v /></c><c r="W141" s="309"><f>W140</f><v /></c><c r="X141" s="309"><f>X140</f><v /></c><c r="Y141" s="100" t="n" /><c r="Z141" s="100" t="n" /><c r="AA141" s="109"><f>AA140</f><v /></c><c r="AB141" s="307"><f>AB140</f><v /></c><c r="AC141" s="10"><f>LEFT(AB141,2)</f><v /></c><c r="AD141" s="10"><f>RIGHT(AB141,6)</f><v /></c><c r="AE141" s="10"><f>+(AC141*60+AD141)/(60*60)</f><v /></c><c r="AF141" s="13"><f>+AA141/AE141</f><v /></c><c r="AG141" s="303"><f>+(((Z141-Y141-AA141)/AA141)*100)</f><v /></c><c r="AH141" s="308"><f>AH140</f><v /></c><c r="AI141" s="308"><f>AI140</f><v /></c><c r="AJ141" s="308"><f>AJ140</f><v /></c><c r="AK141" s="100"><f>+Z141</f><v /></c><c r="AL141" s="100" t="n" /><c r="AM141" s="112"><f>AM140</f><v /></c><c r="AN141" s="307"><f>AN140</f><v /></c><c r="AO141" s="10"><f>LEFT(AN141,2)</f><v /></c><c r="AP141" s="10"><f>RIGHT(AN141,6)</f><v /></c><c r="AQ141" s="10"><f>+(AO141*60+AP141)/(60*60)</f><v /></c><c r="AR141" s="13"><f>+AM141/AQ141</f><v /></c><c r="AS141" s="303"><f>+(((AL141-AK141-AM141)/AM141)*100)</f><v /></c><c r="AT141" s="64"><f>IF(I141&gt;=1,"NO CONFORME",IF(BK141="SIGDIFERENTES",BC141,BL141))</f><v /></c><c r="AU141" s="21"><f>B141&lt;=C141</f><v /></c><c r="AV141" s="21"><f>N141&lt;Y141</f><v /></c><c r="AW141" s="21"><f>Z141&lt;=AK141</f><v /></c><c r="AX141" s="21"><f>IF(I141&gt;=1,"Qcorrecto",IF(AND(AY141="aceptable",AZ141="aceptable",BA141="aceptable"),"Qcorrecto","Qincorrecto"))</f><v /></c><c r="AY141" s="21"><f>IF(AR141&lt;$AH$6,"error",IF(AR141&gt;$AH$6*1.1,"error","aceptable"))</f><v /></c><c r="AZ141" s="21"><f>IF(AF141&lt;$V$6,"error",IF(AF141&gt;$V$6*1.1,"error","aceptable"))</f><v /></c><c r="BA141" s="21"><f>IF(T141&lt;$J$6*0.9,"error",IF(T141&gt;$J$6,"error","aceptable"))</f><v /></c><c r="BB141" s="65"><f>(IF(ABS(U141)&lt;1.05,"CONFORME",IF(ABS(AG141)&lt;1.05,"CONFORME",IF(ABS(AS141)&lt;2.55,"CONFORME","NO CONFORME"))))</f><v /></c><c r="BC141" s="62"><f>(IF(ABS(U141)&gt;2.05,"NO CONFORME",IF(ABS(AG141)&gt;2.05,"NO CONFORME",IF(ABS(AS141)&gt;5.05,"NO CONFORME","CONFORME"))))</f><v /></c><c r="BD141" s="64"><f>SIGN(U141)</f><v /></c><c r="BE141" s="64"><f>SIGN(AG141)</f><v /></c><c r="BF141" s="64"><f>SIGN(AS141)</f><v /></c><c r="BG141" s="64"><f>CONCATENATE(BD141,BE141,BF141)</f><v /></c><c r="BH141" s="64"><f>IF(BG141="111","SI","SD")</f><v /></c><c r="BI141" s="64"><f>IF(BG141="-1-1-1","SI","SD")</f><v /></c><c r="BJ141" s="64"><f>OR(BH141="SI",BI141="SI")</f><v /></c><c r="BK141" s="64"><f>IF(BJ141=FALSE,"SIGDIFERENTES","SIGIGUALES")</f><v /></c><c r="BL141" s="21"><f>IF(BC141="NO CONFORME","NO CONFORME",IF(BB141="CONFORME","CONFORME","NO CONFORME"))</f><v /></c><c r="BM141" s="66" t="n" /><c r="BN141" s="66" t="n" /></row><row r="142" ht="15.75" customHeight="1" thickBot="1"><c r="A142" s="9" t="n"><v>134</v></c><c r="B142" s="296"><f>B141</f><v /></c><c r="C142" s="296"><f>C141</f><v /></c><c r="D142" s="11"><f>D141</f><v /></c><c r="E142" s="9"><f>E141</f><v /></c><c r="F142" s="12" t="n" /><c r="G142" s="297" t="n" /><c r="H142" s="90"><f>H141</f><v /></c><c r="I142" s="90" t="n" /><c r="J142" s="298"><f>J141</f><v /></c><c r="K142" s="298"><f>K141</f><v /></c><c r="L142" s="298"><f>L141</f><v /></c><c r="M142" s="52" t="n" /><c r="N142" s="52" t="n" /><c r="O142" s="30"><f>O141</f><v /></c><c r="P142" s="299"><f>P141</f><v /></c><c r="Q142" s="10"><f>LEFT(P142,1)</f><v /></c><c r="R142" s="10"><f>RIGHT(P142,6)</f><v /></c><c r="S142" s="10"><f>+(Q142*60+R142)/(60*60)</f><v /></c><c r="T142" s="13"><f>+O142/S142</f><v /></c><c r="U142" s="300"><f>+(((N142-M142-O142)/O142)*100)</f><v /></c><c r="V142" s="301"><f>V141</f><v /></c><c r="W142" s="302"><f>W141</f><v /></c><c r="X142" s="302"><f>X141</f><v /></c><c r="Y142" s="52" t="n" /><c r="Z142" s="52" t="n" /><c r="AA142" s="106"><f>AA141</f><v /></c><c r="AB142" s="299"><f>AB141</f><v /></c><c r="AC142" s="10"><f>LEFT(AB142,2)</f><v /></c><c r="AD142" s="10"><f>RIGHT(AB142,6)</f><v /></c><c r="AE142" s="10"><f>+(AC142*60+AD142)/(60*60)</f><v /></c><c r="AF142" s="13"><f>+AA142/AE142</f><v /></c><c r="AG142" s="303"><f>+(((Z142-Y142-AA142)/AA142)*100)</f><v /></c><c r="AH142" s="301"><f>AH141</f><v /></c><c r="AI142" s="301"><f>AI141</f><v /></c><c r="AJ142" s="301"><f>AJ141</f><v /></c><c r="AK142" s="52"><f>+Z142</f><v /></c><c r="AL142" s="52" t="n" /><c r="AM142" s="111"><f>AM141</f><v /></c><c r="AN142" s="299"><f>AN141</f><v /></c><c r="AO142" s="10"><f>LEFT(AN142,2)</f><v /></c><c r="AP142" s="10"><f>RIGHT(AN142,6)</f><v /></c><c r="AQ142" s="10"><f>+(AO142*60+AP142)/(60*60)</f><v /></c><c r="AR142" s="13"><f>+AM142/AQ142</f><v /></c><c r="AS142" s="303"><f>+(((AL142-AK142-AM142)/AM142)*100)</f><v /></c><c r="AT142" s="64"><f>IF(I142&gt;=1,"NO CONFORME",IF(BK142="SIGDIFERENTES",BC142,BL142))</f><v /></c><c r="AU142" s="21"><f>B142&lt;=C142</f><v /></c><c r="AV142" s="21"><f>N142&lt;Y142</f><v /></c><c r="AW142" s="21"><f>Z142&lt;=AK142</f><v /></c><c r="AX142" s="21"><f>IF(I142&gt;=1,"Qcorrecto",IF(AND(AY142="aceptable",AZ142="aceptable",BA142="aceptable"),"Qcorrecto","Qincorrecto"))</f><v /></c><c r="AY142" s="21"><f>IF(AR142&lt;$AH$6,"error",IF(AR142&gt;$AH$6*1.1,"error","aceptable"))</f><v /></c><c r="AZ142" s="21"><f>IF(AF142&lt;$V$6,"error",IF(AF142&gt;$V$6*1.1,"error","aceptable"))</f><v /></c><c r="BA142" s="21"><f>IF(T142&lt;$J$6*0.9,"error",IF(T142&gt;$J$6,"error","aceptable"))</f><v /></c><c r="BB142" s="65"><f>(IF(ABS(U142)&lt;1.05,"CONFORME",IF(ABS(AG142)&lt;1.05,"CONFORME",IF(ABS(AS142)&lt;2.55,"CONFORME","NO CONFORME"))))</f><v /></c><c r="BC142" s="62"><f>(IF(ABS(U142)&gt;2.05,"NO CONFORME",IF(ABS(AG142)&gt;2.05,"NO CONFORME",IF(ABS(AS142)&gt;5.05,"NO CONFORME","CONFORME"))))</f><v /></c><c r="BD142" s="64"><f>SIGN(U142)</f><v /></c><c r="BE142" s="64"><f>SIGN(AG142)</f><v /></c><c r="BF142" s="64"><f>SIGN(AS142)</f><v /></c><c r="BG142" s="64"><f>CONCATENATE(BD142,BE142,BF142)</f><v /></c><c r="BH142" s="64"><f>IF(BG142="111","SI","SD")</f><v /></c><c r="BI142" s="64"><f>IF(BG142="-1-1-1","SI","SD")</f><v /></c><c r="BJ142" s="64"><f>OR(BH142="SI",BI142="SI")</f><v /></c><c r="BK142" s="64"><f>IF(BJ142=FALSE,"SIGDIFERENTES","SIGIGUALES")</f><v /></c><c r="BL142" s="21"><f>IF(BC142="NO CONFORME","NO CONFORME",IF(BB142="CONFORME","CONFORME","NO CONFORME"))</f><v /></c><c r="BM142" s="66" t="n" /><c r="BN142" s="66" t="n" /></row><row r="143" ht="15" customHeight="1"><c r="A143" s="55" t="n"><v>135</v></c><c r="B143" s="304"><f>B142</f><v /></c><c r="C143" s="304"><f>C142</f><v /></c><c r="D143" s="94"><f>D142</f><v /></c><c r="E143" s="95"><f>E142</f><v /></c><c r="F143" s="96" t="n" /><c r="G143" s="305" t="n" /><c r="H143" s="98"><f>H142</f><v /></c><c r="I143" s="98" t="n" /><c r="J143" s="306"><f>J142</f><v /></c><c r="K143" s="306"><f>K142</f><v /></c><c r="L143" s="306"><f>L142</f><v /></c><c r="M143" s="100" t="n" /><c r="N143" s="100" t="n" /><c r="O143" s="101"><f>O142</f><v /></c><c r="P143" s="307"><f>P142</f><v /></c><c r="Q143" s="10"><f>LEFT(P143,1)</f><v /></c><c r="R143" s="10"><f>RIGHT(P143,6)</f><v /></c><c r="S143" s="10"><f>+(Q143*60+R143)/(60*60)</f><v /></c><c r="T143" s="13"><f>+O143/S143</f><v /></c><c r="U143" s="300"><f>+(((N143-M143-O143)/O143)*100)</f><v /></c><c r="V143" s="308"><f>V142</f><v /></c><c r="W143" s="309"><f>W142</f><v /></c><c r="X143" s="309"><f>X142</f><v /></c><c r="Y143" s="100" t="n" /><c r="Z143" s="100" t="n" /><c r="AA143" s="109"><f>AA142</f><v /></c><c r="AB143" s="307"><f>AB142</f><v /></c><c r="AC143" s="10"><f>LEFT(AB143,2)</f><v /></c><c r="AD143" s="10"><f>RIGHT(AB143,6)</f><v /></c><c r="AE143" s="10"><f>+(AC143*60+AD143)/(60*60)</f><v /></c><c r="AF143" s="13"><f>+AA143/AE143</f><v /></c><c r="AG143" s="303"><f>+(((Z143-Y143-AA143)/AA143)*100)</f><v /></c><c r="AH143" s="308"><f>AH142</f><v /></c><c r="AI143" s="308"><f>AI142</f><v /></c><c r="AJ143" s="308"><f>AJ142</f><v /></c><c r="AK143" s="100"><f>+Z143</f><v /></c><c r="AL143" s="100" t="n" /><c r="AM143" s="112"><f>AM142</f><v /></c><c r="AN143" s="307"><f>AN142</f><v /></c><c r="AO143" s="10"><f>LEFT(AN143,2)</f><v /></c><c r="AP143" s="10"><f>RIGHT(AN143,6)</f><v /></c><c r="AQ143" s="10"><f>+(AO143*60+AP143)/(60*60)</f><v /></c><c r="AR143" s="13"><f>+AM143/AQ143</f><v /></c><c r="AS143" s="303"><f>+(((AL143-AK143-AM143)/AM143)*100)</f><v /></c><c r="AT143" s="64"><f>IF(I143&gt;=1,"NO CONFORME",IF(BK143="SIGDIFERENTES",BC143,BL143))</f><v /></c><c r="AU143" s="21"><f>B143&lt;=C143</f><v /></c><c r="AV143" s="21"><f>N143&lt;Y143</f><v /></c><c r="AW143" s="21"><f>Z143&lt;=AK143</f><v /></c><c r="AX143" s="21"><f>IF(I143&gt;=1,"Qcorrecto",IF(AND(AY143="aceptable",AZ143="aceptable",BA143="aceptable"),"Qcorrecto","Qincorrecto"))</f><v /></c><c r="AY143" s="21"><f>IF(AR143&lt;$AH$6,"error",IF(AR143&gt;$AH$6*1.1,"error","aceptable"))</f><v /></c><c r="AZ143" s="21"><f>IF(AF143&lt;$V$6,"error",IF(AF143&gt;$V$6*1.1,"error","aceptable"))</f><v /></c><c r="BA143" s="21"><f>IF(T143&lt;$J$6*0.9,"error",IF(T143&gt;$J$6,"error","aceptable"))</f><v /></c><c r="BB143" s="65"><f>(IF(ABS(U143)&lt;1.05,"CONFORME",IF(ABS(AG143)&lt;1.05,"CONFORME",IF(ABS(AS143)&lt;2.55,"CONFORME","NO CONFORME"))))</f><v /></c><c r="BC143" s="62"><f>(IF(ABS(U143)&gt;2.05,"NO CONFORME",IF(ABS(AG143)&gt;2.05,"NO CONFORME",IF(ABS(AS143)&gt;5.05,"NO CONFORME","CONFORME"))))</f><v /></c><c r="BD143" s="64"><f>SIGN(U143)</f><v /></c><c r="BE143" s="64"><f>SIGN(AG143)</f><v /></c><c r="BF143" s="64"><f>SIGN(AS143)</f><v /></c><c r="BG143" s="64"><f>CONCATENATE(BD143,BE143,BF143)</f><v /></c><c r="BH143" s="64"><f>IF(BG143="111","SI","SD")</f><v /></c><c r="BI143" s="64"><f>IF(BG143="-1-1-1","SI","SD")</f><v /></c><c r="BJ143" s="64"><f>OR(BH143="SI",BI143="SI")</f><v /></c><c r="BK143" s="64"><f>IF(BJ143=FALSE,"SIGDIFERENTES","SIGIGUALES")</f><v /></c><c r="BL143" s="21"><f>IF(BC143="NO CONFORME","NO CONFORME",IF(BB143="CONFORME","CONFORME","NO CONFORME"))</f><v /></c><c r="BM143" s="66" t="n" /><c r="BN143" s="66" t="n" /></row><row r="144" ht="15.75" customHeight="1" thickBot="1"><c r="A144" s="9" t="n"><v>136</v></c><c r="B144" s="296"><f>B143</f><v /></c><c r="C144" s="296"><f>C143</f><v /></c><c r="D144" s="11"><f>D143</f><v /></c><c r="E144" s="9"><f>E143</f><v /></c><c r="F144" s="12" t="n" /><c r="G144" s="297" t="n" /><c r="H144" s="90"><f>H143</f><v /></c><c r="I144" s="90" t="n" /><c r="J144" s="298"><f>J143</f><v /></c><c r="K144" s="298"><f>K143</f><v /></c><c r="L144" s="298"><f>L143</f><v /></c><c r="M144" s="52" t="n" /><c r="N144" s="52" t="n" /><c r="O144" s="30"><f>O143</f><v /></c><c r="P144" s="299"><f>P143</f><v /></c><c r="Q144" s="10"><f>LEFT(P144,1)</f><v /></c><c r="R144" s="10"><f>RIGHT(P144,6)</f><v /></c><c r="S144" s="10"><f>+(Q144*60+R144)/(60*60)</f><v /></c><c r="T144" s="13"><f>+O144/S144</f><v /></c><c r="U144" s="300"><f>+(((N144-M144-O144)/O144)*100)</f><v /></c><c r="V144" s="301"><f>V143</f><v /></c><c r="W144" s="302"><f>W143</f><v /></c><c r="X144" s="302"><f>X143</f><v /></c><c r="Y144" s="52" t="n" /><c r="Z144" s="52" t="n" /><c r="AA144" s="106"><f>AA143</f><v /></c><c r="AB144" s="299"><f>AB143</f><v /></c><c r="AC144" s="10"><f>LEFT(AB144,2)</f><v /></c><c r="AD144" s="10"><f>RIGHT(AB144,6)</f><v /></c><c r="AE144" s="10"><f>+(AC144*60+AD144)/(60*60)</f><v /></c><c r="AF144" s="13"><f>+AA144/AE144</f><v /></c><c r="AG144" s="303"><f>+(((Z144-Y144-AA144)/AA144)*100)</f><v /></c><c r="AH144" s="301"><f>AH143</f><v /></c><c r="AI144" s="301"><f>AI143</f><v /></c><c r="AJ144" s="301"><f>AJ143</f><v /></c><c r="AK144" s="52"><f>+Z144</f><v /></c><c r="AL144" s="52" t="n" /><c r="AM144" s="111"><f>AM143</f><v /></c><c r="AN144" s="299"><f>AN143</f><v /></c><c r="AO144" s="10"><f>LEFT(AN144,2)</f><v /></c><c r="AP144" s="10"><f>RIGHT(AN144,6)</f><v /></c><c r="AQ144" s="10"><f>+(AO144*60+AP144)/(60*60)</f><v /></c><c r="AR144" s="13"><f>+AM144/AQ144</f><v /></c><c r="AS144" s="303"><f>+(((AL144-AK144-AM144)/AM144)*100)</f><v /></c><c r="AT144" s="64"><f>IF(I144&gt;=1,"NO CONFORME",IF(BK144="SIGDIFERENTES",BC144,BL144))</f><v /></c><c r="AU144" s="21"><f>B144&lt;=C144</f><v /></c><c r="AV144" s="21"><f>N144&lt;Y144</f><v /></c><c r="AW144" s="21"><f>Z144&lt;=AK144</f><v /></c><c r="AX144" s="21"><f>IF(I144&gt;=1,"Qcorrecto",IF(AND(AY144="aceptable",AZ144="aceptable",BA144="aceptable"),"Qcorrecto","Qincorrecto"))</f><v /></c><c r="AY144" s="21"><f>IF(AR144&lt;$AH$6,"error",IF(AR144&gt;$AH$6*1.1,"error","aceptable"))</f><v /></c><c r="AZ144" s="21"><f>IF(AF144&lt;$V$6,"error",IF(AF144&gt;$V$6*1.1,"error","aceptable"))</f><v /></c><c r="BA144" s="21"><f>IF(T144&lt;$J$6*0.9,"error",IF(T144&gt;$J$6,"error","aceptable"))</f><v /></c><c r="BB144" s="65"><f>(IF(ABS(U144)&lt;1.05,"CONFORME",IF(ABS(AG144)&lt;1.05,"CONFORME",IF(ABS(AS144)&lt;2.55,"CONFORME","NO CONFORME"))))</f><v /></c><c r="BC144" s="62"><f>(IF(ABS(U144)&gt;2.05,"NO CONFORME",IF(ABS(AG144)&gt;2.05,"NO CONFORME",IF(ABS(AS144)&gt;5.05,"NO CONFORME","CONFORME"))))</f><v /></c><c r="BD144" s="64"><f>SIGN(U144)</f><v /></c><c r="BE144" s="64"><f>SIGN(AG144)</f><v /></c><c r="BF144" s="64"><f>SIGN(AS144)</f><v /></c><c r="BG144" s="64"><f>CONCATENATE(BD144,BE144,BF144)</f><v /></c><c r="BH144" s="64"><f>IF(BG144="111","SI","SD")</f><v /></c><c r="BI144" s="64"><f>IF(BG144="-1-1-1","SI","SD")</f><v /></c><c r="BJ144" s="64"><f>OR(BH144="SI",BI144="SI")</f><v /></c><c r="BK144" s="64"><f>IF(BJ144=FALSE,"SIGDIFERENTES","SIGIGUALES")</f><v /></c><c r="BL144" s="21"><f>IF(BC144="NO CONFORME","NO CONFORME",IF(BB144="CONFORME","CONFORME","NO CONFORME"))</f><v /></c><c r="BM144" s="66" t="n" /><c r="BN144" s="66" t="n" /></row><row r="145" ht="15" customHeight="1"><c r="A145" s="55" t="n"><v>137</v></c><c r="B145" s="304"><f>B144</f><v /></c><c r="C145" s="304"><f>C144</f><v /></c><c r="D145" s="94"><f>D144</f><v /></c><c r="E145" s="95"><f>E144</f><v /></c><c r="F145" s="96" t="n" /><c r="G145" s="305" t="n" /><c r="H145" s="98"><f>H144</f><v /></c><c r="I145" s="98" t="n" /><c r="J145" s="306"><f>J144</f><v /></c><c r="K145" s="306"><f>K144</f><v /></c><c r="L145" s="306"><f>L144</f><v /></c><c r="M145" s="100" t="n" /><c r="N145" s="100" t="n" /><c r="O145" s="101"><f>O144</f><v /></c><c r="P145" s="307"><f>P144</f><v /></c><c r="Q145" s="10"><f>LEFT(P145,1)</f><v /></c><c r="R145" s="10"><f>RIGHT(P145,6)</f><v /></c><c r="S145" s="10"><f>+(Q145*60+R145)/(60*60)</f><v /></c><c r="T145" s="13"><f>+O145/S145</f><v /></c><c r="U145" s="300"><f>+(((N145-M145-O145)/O145)*100)</f><v /></c><c r="V145" s="308"><f>V144</f><v /></c><c r="W145" s="309"><f>W144</f><v /></c><c r="X145" s="309"><f>X144</f><v /></c><c r="Y145" s="100" t="n" /><c r="Z145" s="100" t="n" /><c r="AA145" s="109"><f>AA144</f><v /></c><c r="AB145" s="307"><f>AB144</f><v /></c><c r="AC145" s="10"><f>LEFT(AB145,2)</f><v /></c><c r="AD145" s="10"><f>RIGHT(AB145,6)</f><v /></c><c r="AE145" s="10"><f>+(AC145*60+AD145)/(60*60)</f><v /></c><c r="AF145" s="13"><f>+AA145/AE145</f><v /></c><c r="AG145" s="303"><f>+(((Z145-Y145-AA145)/AA145)*100)</f><v /></c><c r="AH145" s="308"><f>AH144</f><v /></c><c r="AI145" s="308"><f>AI144</f><v /></c><c r="AJ145" s="308"><f>AJ144</f><v /></c><c r="AK145" s="100"><f>+Z145</f><v /></c><c r="AL145" s="100" t="n" /><c r="AM145" s="112"><f>AM144</f><v /></c><c r="AN145" s="307"><f>AN144</f><v /></c><c r="AO145" s="10"><f>LEFT(AN145,2)</f><v /></c><c r="AP145" s="10"><f>RIGHT(AN145,6)</f><v /></c><c r="AQ145" s="10"><f>+(AO145*60+AP145)/(60*60)</f><v /></c><c r="AR145" s="13"><f>+AM145/AQ145</f><v /></c><c r="AS145" s="303"><f>+(((AL145-AK145-AM145)/AM145)*100)</f><v /></c><c r="AT145" s="64"><f>IF(I145&gt;=1,"NO CONFORME",IF(BK145="SIGDIFERENTES",BC145,BL145))</f><v /></c><c r="AU145" s="21"><f>B145&lt;=C145</f><v /></c><c r="AV145" s="21"><f>N145&lt;Y145</f><v /></c><c r="AW145" s="21"><f>Z145&lt;=AK145</f><v /></c><c r="AX145" s="21"><f>IF(I145&gt;=1,"Qcorrecto",IF(AND(AY145="aceptable",AZ145="aceptable",BA145="aceptable"),"Qcorrecto","Qincorrecto"))</f><v /></c><c r="AY145" s="21"><f>IF(AR145&lt;$AH$6,"error",IF(AR145&gt;$AH$6*1.1,"error","aceptable"))</f><v /></c><c r="AZ145" s="21"><f>IF(AF145&lt;$V$6,"error",IF(AF145&gt;$V$6*1.1,"error","aceptable"))</f><v /></c><c r="BA145" s="21"><f>IF(T145&lt;$J$6*0.9,"error",IF(T145&gt;$J$6,"error","aceptable"))</f><v /></c><c r="BB145" s="65"><f>(IF(ABS(U145)&lt;1.05,"CONFORME",IF(ABS(AG145)&lt;1.05,"CONFORME",IF(ABS(AS145)&lt;2.55,"CONFORME","NO CONFORME"))))</f><v /></c><c r="BC145" s="62"><f>(IF(ABS(U145)&gt;2.05,"NO CONFORME",IF(ABS(AG145)&gt;2.05,"NO CONFORME",IF(ABS(AS145)&gt;5.05,"NO CONFORME","CONFORME"))))</f><v /></c><c r="BD145" s="64"><f>SIGN(U145)</f><v /></c><c r="BE145" s="64"><f>SIGN(AG145)</f><v /></c><c r="BF145" s="64"><f>SIGN(AS145)</f><v /></c><c r="BG145" s="64"><f>CONCATENATE(BD145,BE145,BF145)</f><v /></c><c r="BH145" s="64"><f>IF(BG145="111","SI","SD")</f><v /></c><c r="BI145" s="64"><f>IF(BG145="-1-1-1","SI","SD")</f><v /></c><c r="BJ145" s="64"><f>OR(BH145="SI",BI145="SI")</f><v /></c><c r="BK145" s="64"><f>IF(BJ145=FALSE,"SIGDIFERENTES","SIGIGUALES")</f><v /></c><c r="BL145" s="21"><f>IF(BC145="NO CONFORME","NO CONFORME",IF(BB145="CONFORME","CONFORME","NO CONFORME"))</f><v /></c><c r="BM145" s="66" t="n" /><c r="BN145" s="66" t="n" /></row><row r="146" ht="15.75" customHeight="1" thickBot="1"><c r="A146" s="9" t="n"><v>138</v></c><c r="B146" s="296"><f>B145</f><v /></c><c r="C146" s="296"><f>C145</f><v /></c><c r="D146" s="11"><f>D145</f><v /></c><c r="E146" s="9"><f>E145</f><v /></c><c r="F146" s="12" t="n" /><c r="G146" s="297" t="n" /><c r="H146" s="90"><f>H145</f><v /></c><c r="I146" s="90" t="n" /><c r="J146" s="298"><f>J145</f><v /></c><c r="K146" s="298"><f>K145</f><v /></c><c r="L146" s="298"><f>L145</f><v /></c><c r="M146" s="52" t="n" /><c r="N146" s="52" t="n" /><c r="O146" s="30"><f>O145</f><v /></c><c r="P146" s="299"><f>P145</f><v /></c><c r="Q146" s="10"><f>LEFT(P146,1)</f><v /></c><c r="R146" s="10"><f>RIGHT(P146,6)</f><v /></c><c r="S146" s="10"><f>+(Q146*60+R146)/(60*60)</f><v /></c><c r="T146" s="13"><f>+O146/S146</f><v /></c><c r="U146" s="300"><f>+(((N146-M146-O146)/O146)*100)</f><v /></c><c r="V146" s="301"><f>V145</f><v /></c><c r="W146" s="302"><f>W145</f><v /></c><c r="X146" s="302"><f>X145</f><v /></c><c r="Y146" s="52" t="n" /><c r="Z146" s="52" t="n" /><c r="AA146" s="106"><f>AA145</f><v /></c><c r="AB146" s="299"><f>AB145</f><v /></c><c r="AC146" s="10"><f>LEFT(AB146,2)</f><v /></c><c r="AD146" s="10"><f>RIGHT(AB146,6)</f><v /></c><c r="AE146" s="10"><f>+(AC146*60+AD146)/(60*60)</f><v /></c><c r="AF146" s="13"><f>+AA146/AE146</f><v /></c><c r="AG146" s="303"><f>+(((Z146-Y146-AA146)/AA146)*100)</f><v /></c><c r="AH146" s="301"><f>AH145</f><v /></c><c r="AI146" s="301"><f>AI145</f><v /></c><c r="AJ146" s="301"><f>AJ145</f><v /></c><c r="AK146" s="52"><f>+Z146</f><v /></c><c r="AL146" s="52" t="n" /><c r="AM146" s="111"><f>AM145</f><v /></c><c r="AN146" s="299"><f>AN145</f><v /></c><c r="AO146" s="10"><f>LEFT(AN146,2)</f><v /></c><c r="AP146" s="10"><f>RIGHT(AN146,6)</f><v /></c><c r="AQ146" s="10"><f>+(AO146*60+AP146)/(60*60)</f><v /></c><c r="AR146" s="13"><f>+AM146/AQ146</f><v /></c><c r="AS146" s="303"><f>+(((AL146-AK146-AM146)/AM146)*100)</f><v /></c><c r="AT146" s="64"><f>IF(I146&gt;=1,"NO CONFORME",IF(BK146="SIGDIFERENTES",BC146,BL146))</f><v /></c><c r="AU146" s="21"><f>B146&lt;=C146</f><v /></c><c r="AV146" s="21"><f>N146&lt;Y146</f><v /></c><c r="AW146" s="21"><f>Z146&lt;=AK146</f><v /></c><c r="AX146" s="21"><f>IF(I146&gt;=1,"Qcorrecto",IF(AND(AY146="aceptable",AZ146="aceptable",BA146="aceptable"),"Qcorrecto","Qincorrecto"))</f><v /></c><c r="AY146" s="21"><f>IF(AR146&lt;$AH$6,"error",IF(AR146&gt;$AH$6*1.1,"error","aceptable"))</f><v /></c><c r="AZ146" s="21"><f>IF(AF146&lt;$V$6,"error",IF(AF146&gt;$V$6*1.1,"error","aceptable"))</f><v /></c><c r="BA146" s="21"><f>IF(T146&lt;$J$6*0.9,"error",IF(T146&gt;$J$6,"error","aceptable"))</f><v /></c><c r="BB146" s="65"><f>(IF(ABS(U146)&lt;1.05,"CONFORME",IF(ABS(AG146)&lt;1.05,"CONFORME",IF(ABS(AS146)&lt;2.55,"CONFORME","NO CONFORME"))))</f><v /></c><c r="BC146" s="62"><f>(IF(ABS(U146)&gt;2.05,"NO CONFORME",IF(ABS(AG146)&gt;2.05,"NO CONFORME",IF(ABS(AS146)&gt;5.05,"NO CONFORME","CONFORME"))))</f><v /></c><c r="BD146" s="64"><f>SIGN(U146)</f><v /></c><c r="BE146" s="64"><f>SIGN(AG146)</f><v /></c><c r="BF146" s="64"><f>SIGN(AS146)</f><v /></c><c r="BG146" s="64"><f>CONCATENATE(BD146,BE146,BF146)</f><v /></c><c r="BH146" s="64"><f>IF(BG146="111","SI","SD")</f><v /></c><c r="BI146" s="64"><f>IF(BG146="-1-1-1","SI","SD")</f><v /></c><c r="BJ146" s="64"><f>OR(BH146="SI",BI146="SI")</f><v /></c><c r="BK146" s="64"><f>IF(BJ146=FALSE,"SIGDIFERENTES","SIGIGUALES")</f><v /></c><c r="BL146" s="21"><f>IF(BC146="NO CONFORME","NO CONFORME",IF(BB146="CONFORME","CONFORME","NO CONFORME"))</f><v /></c><c r="BM146" s="66" t="n" /><c r="BN146" s="66" t="n" /></row><row r="147" ht="15" customHeight="1"><c r="A147" s="55" t="n"><v>139</v></c><c r="B147" s="304"><f>B146</f><v /></c><c r="C147" s="304"><f>C146</f><v /></c><c r="D147" s="94"><f>D146</f><v /></c><c r="E147" s="95"><f>E146</f><v /></c><c r="F147" s="96" t="n" /><c r="G147" s="305" t="n" /><c r="H147" s="98"><f>H146</f><v /></c><c r="I147" s="98" t="n" /><c r="J147" s="306"><f>J146</f><v /></c><c r="K147" s="306"><f>K146</f><v /></c><c r="L147" s="306"><f>L146</f><v /></c><c r="M147" s="100" t="n" /><c r="N147" s="100" t="n" /><c r="O147" s="101"><f>O146</f><v /></c><c r="P147" s="307"><f>P146</f><v /></c><c r="Q147" s="10"><f>LEFT(P147,1)</f><v /></c><c r="R147" s="10"><f>RIGHT(P147,6)</f><v /></c><c r="S147" s="10"><f>+(Q147*60+R147)/(60*60)</f><v /></c><c r="T147" s="13"><f>+O147/S147</f><v /></c><c r="U147" s="300"><f>+(((N147-M147-O147)/O147)*100)</f><v /></c><c r="V147" s="308"><f>V146</f><v /></c><c r="W147" s="309"><f>W146</f><v /></c><c r="X147" s="309"><f>X146</f><v /></c><c r="Y147" s="100" t="n" /><c r="Z147" s="100" t="n" /><c r="AA147" s="109"><f>AA146</f><v /></c><c r="AB147" s="307"><f>AB146</f><v /></c><c r="AC147" s="10"><f>LEFT(AB147,2)</f><v /></c><c r="AD147" s="10"><f>RIGHT(AB147,6)</f><v /></c><c r="AE147" s="10"><f>+(AC147*60+AD147)/(60*60)</f><v /></c><c r="AF147" s="13"><f>+AA147/AE147</f><v /></c><c r="AG147" s="303"><f>+(((Z147-Y147-AA147)/AA147)*100)</f><v /></c><c r="AH147" s="308"><f>AH146</f><v /></c><c r="AI147" s="308"><f>AI146</f><v /></c><c r="AJ147" s="308"><f>AJ146</f><v /></c><c r="AK147" s="100"><f>+Z147</f><v /></c><c r="AL147" s="100" t="n" /><c r="AM147" s="112"><f>AM146</f><v /></c><c r="AN147" s="307"><f>AN146</f><v /></c><c r="AO147" s="10"><f>LEFT(AN147,2)</f><v /></c><c r="AP147" s="10"><f>RIGHT(AN147,6)</f><v /></c><c r="AQ147" s="10"><f>+(AO147*60+AP147)/(60*60)</f><v /></c><c r="AR147" s="13"><f>+AM147/AQ147</f><v /></c><c r="AS147" s="303"><f>+(((AL147-AK147-AM147)/AM147)*100)</f><v /></c><c r="AT147" s="64"><f>IF(I147&gt;=1,"NO CONFORME",IF(BK147="SIGDIFERENTES",BC147,BL147))</f><v /></c><c r="AU147" s="21"><f>B147&lt;=C147</f><v /></c><c r="AV147" s="21"><f>N147&lt;Y147</f><v /></c><c r="AW147" s="21"><f>Z147&lt;=AK147</f><v /></c><c r="AX147" s="21"><f>IF(I147&gt;=1,"Qcorrecto",IF(AND(AY147="aceptable",AZ147="aceptable",BA147="aceptable"),"Qcorrecto","Qincorrecto"))</f><v /></c><c r="AY147" s="21"><f>IF(AR147&lt;$AH$6,"error",IF(AR147&gt;$AH$6*1.1,"error","aceptable"))</f><v /></c><c r="AZ147" s="21"><f>IF(AF147&lt;$V$6,"error",IF(AF147&gt;$V$6*1.1,"error","aceptable"))</f><v /></c><c r="BA147" s="21"><f>IF(T147&lt;$J$6*0.9,"error",IF(T147&gt;$J$6,"error","aceptable"))</f><v /></c><c r="BB147" s="65"><f>(IF(ABS(U147)&lt;1.05,"CONFORME",IF(ABS(AG147)&lt;1.05,"CONFORME",IF(ABS(AS147)&lt;2.55,"CONFORME","NO CONFORME"))))</f><v /></c><c r="BC147" s="62"><f>(IF(ABS(U147)&gt;2.05,"NO CONFORME",IF(ABS(AG147)&gt;2.05,"NO CONFORME",IF(ABS(AS147)&gt;5.05,"NO CONFORME","CONFORME"))))</f><v /></c><c r="BD147" s="64"><f>SIGN(U147)</f><v /></c><c r="BE147" s="64"><f>SIGN(AG147)</f><v /></c><c r="BF147" s="64"><f>SIGN(AS147)</f><v /></c><c r="BG147" s="64"><f>CONCATENATE(BD147,BE147,BF147)</f><v /></c><c r="BH147" s="64"><f>IF(BG147="111","SI","SD")</f><v /></c><c r="BI147" s="64"><f>IF(BG147="-1-1-1","SI","SD")</f><v /></c><c r="BJ147" s="64"><f>OR(BH147="SI",BI147="SI")</f><v /></c><c r="BK147" s="64"><f>IF(BJ147=FALSE,"SIGDIFERENTES","SIGIGUALES")</f><v /></c><c r="BL147" s="21"><f>IF(BC147="NO CONFORME","NO CONFORME",IF(BB147="CONFORME","CONFORME","NO CONFORME"))</f><v /></c><c r="BM147" s="66" t="n" /><c r="BN147" s="66" t="n" /></row><row r="148" ht="15.75" customHeight="1" thickBot="1"><c r="A148" s="9" t="n"><v>140</v></c><c r="B148" s="296"><f>B147</f><v /></c><c r="C148" s="296"><f>C147</f><v /></c><c r="D148" s="11"><f>D147</f><v /></c><c r="E148" s="9"><f>E147</f><v /></c><c r="F148" s="12" t="n" /><c r="G148" s="297" t="n" /><c r="H148" s="90"><f>H147</f><v /></c><c r="I148" s="90" t="n" /><c r="J148" s="298"><f>J147</f><v /></c><c r="K148" s="298"><f>K147</f><v /></c><c r="L148" s="298"><f>L147</f><v /></c><c r="M148" s="52" t="n" /><c r="N148" s="52" t="n" /><c r="O148" s="30"><f>O147</f><v /></c><c r="P148" s="299"><f>P147</f><v /></c><c r="Q148" s="10"><f>LEFT(P148,1)</f><v /></c><c r="R148" s="10"><f>RIGHT(P148,6)</f><v /></c><c r="S148" s="10"><f>+(Q148*60+R148)/(60*60)</f><v /></c><c r="T148" s="13"><f>+O148/S148</f><v /></c><c r="U148" s="300"><f>+(((N148-M148-O148)/O148)*100)</f><v /></c><c r="V148" s="301"><f>V147</f><v /></c><c r="W148" s="302"><f>W147</f><v /></c><c r="X148" s="302"><f>X147</f><v /></c><c r="Y148" s="52" t="n" /><c r="Z148" s="52" t="n" /><c r="AA148" s="106"><f>AA147</f><v /></c><c r="AB148" s="299"><f>AB147</f><v /></c><c r="AC148" s="10"><f>LEFT(AB148,2)</f><v /></c><c r="AD148" s="10"><f>RIGHT(AB148,6)</f><v /></c><c r="AE148" s="10"><f>+(AC148*60+AD148)/(60*60)</f><v /></c><c r="AF148" s="13"><f>+AA148/AE148</f><v /></c><c r="AG148" s="303"><f>+(((Z148-Y148-AA148)/AA148)*100)</f><v /></c><c r="AH148" s="301"><f>AH147</f><v /></c><c r="AI148" s="301"><f>AI147</f><v /></c><c r="AJ148" s="301"><f>AJ147</f><v /></c><c r="AK148" s="52"><f>+Z148</f><v /></c><c r="AL148" s="52" t="n" /><c r="AM148" s="111"><f>AM147</f><v /></c><c r="AN148" s="299"><f>AN147</f><v /></c><c r="AO148" s="10"><f>LEFT(AN148,2)</f><v /></c><c r="AP148" s="10"><f>RIGHT(AN148,6)</f><v /></c><c r="AQ148" s="10"><f>+(AO148*60+AP148)/(60*60)</f><v /></c><c r="AR148" s="13"><f>+AM148/AQ148</f><v /></c><c r="AS148" s="303"><f>+(((AL148-AK148-AM148)/AM148)*100)</f><v /></c><c r="AT148" s="64"><f>IF(I148&gt;=1,"NO CONFORME",IF(BK148="SIGDIFERENTES",BC148,BL148))</f><v /></c><c r="AU148" s="21"><f>B148&lt;=C148</f><v /></c><c r="AV148" s="21"><f>N148&lt;Y148</f><v /></c><c r="AW148" s="21"><f>Z148&lt;=AK148</f><v /></c><c r="AX148" s="21"><f>IF(I148&gt;=1,"Qcorrecto",IF(AND(AY148="aceptable",AZ148="aceptable",BA148="aceptable"),"Qcorrecto","Qincorrecto"))</f><v /></c><c r="AY148" s="21"><f>IF(AR148&lt;$AH$6,"error",IF(AR148&gt;$AH$6*1.1,"error","aceptable"))</f><v /></c><c r="AZ148" s="21"><f>IF(AF148&lt;$V$6,"error",IF(AF148&gt;$V$6*1.1,"error","aceptable"))</f><v /></c><c r="BA148" s="21"><f>IF(T148&lt;$J$6*0.9,"error",IF(T148&gt;$J$6,"error","aceptable"))</f><v /></c><c r="BB148" s="65"><f>(IF(ABS(U148)&lt;1.05,"CONFORME",IF(ABS(AG148)&lt;1.05,"CONFORME",IF(ABS(AS148)&lt;2.55,"CONFORME","NO CONFORME"))))</f><v /></c><c r="BC148" s="62"><f>(IF(ABS(U148)&gt;2.05,"NO CONFORME",IF(ABS(AG148)&gt;2.05,"NO CONFORME",IF(ABS(AS148)&gt;5.05,"NO CONFORME","CONFORME"))))</f><v /></c><c r="BD148" s="64"><f>SIGN(U148)</f><v /></c><c r="BE148" s="64"><f>SIGN(AG148)</f><v /></c><c r="BF148" s="64"><f>SIGN(AS148)</f><v /></c><c r="BG148" s="64"><f>CONCATENATE(BD148,BE148,BF148)</f><v /></c><c r="BH148" s="64"><f>IF(BG148="111","SI","SD")</f><v /></c><c r="BI148" s="64"><f>IF(BG148="-1-1-1","SI","SD")</f><v /></c><c r="BJ148" s="64"><f>OR(BH148="SI",BI148="SI")</f><v /></c><c r="BK148" s="64"><f>IF(BJ148=FALSE,"SIGDIFERENTES","SIGIGUALES")</f><v /></c><c r="BL148" s="21"><f>IF(BC148="NO CONFORME","NO CONFORME",IF(BB148="CONFORME","CONFORME","NO CONFORME"))</f><v /></c><c r="BM148" s="66" t="n" /><c r="BN148" s="66" t="n" /></row><row r="149" ht="15" customHeight="1"><c r="A149" s="55" t="n"><v>141</v></c><c r="B149" s="304"><f>B148</f><v /></c><c r="C149" s="304"><f>C148</f><v /></c><c r="D149" s="94"><f>D148</f><v /></c><c r="E149" s="95"><f>E148</f><v /></c><c r="F149" s="96" t="n" /><c r="G149" s="305" t="n" /><c r="H149" s="98"><f>H148</f><v /></c><c r="I149" s="98" t="n" /><c r="J149" s="306"><f>J148</f><v /></c><c r="K149" s="306"><f>K148</f><v /></c><c r="L149" s="306"><f>L148</f><v /></c><c r="M149" s="100" t="n" /><c r="N149" s="100" t="n" /><c r="O149" s="101"><f>O148</f><v /></c><c r="P149" s="307"><f>P148</f><v /></c><c r="Q149" s="10"><f>LEFT(P149,1)</f><v /></c><c r="R149" s="10"><f>RIGHT(P149,6)</f><v /></c><c r="S149" s="10"><f>+(Q149*60+R149)/(60*60)</f><v /></c><c r="T149" s="13"><f>+O149/S149</f><v /></c><c r="U149" s="300"><f>+(((N149-M149-O149)/O149)*100)</f><v /></c><c r="V149" s="308"><f>V148</f><v /></c><c r="W149" s="309"><f>W148</f><v /></c><c r="X149" s="309"><f>X148</f><v /></c><c r="Y149" s="100" t="n" /><c r="Z149" s="100" t="n" /><c r="AA149" s="109"><f>AA148</f><v /></c><c r="AB149" s="307"><f>AB148</f><v /></c><c r="AC149" s="10"><f>LEFT(AB149,2)</f><v /></c><c r="AD149" s="10"><f>RIGHT(AB149,6)</f><v /></c><c r="AE149" s="10"><f>+(AC149*60+AD149)/(60*60)</f><v /></c><c r="AF149" s="13"><f>+AA149/AE149</f><v /></c><c r="AG149" s="303"><f>+(((Z149-Y149-AA149)/AA149)*100)</f><v /></c><c r="AH149" s="308"><f>AH148</f><v /></c><c r="AI149" s="308"><f>AI148</f><v /></c><c r="AJ149" s="308"><f>AJ148</f><v /></c><c r="AK149" s="100"><f>+Z149</f><v /></c><c r="AL149" s="100" t="n" /><c r="AM149" s="112"><f>AM148</f><v /></c><c r="AN149" s="307"><f>AN148</f><v /></c><c r="AO149" s="10"><f>LEFT(AN149,2)</f><v /></c><c r="AP149" s="10"><f>RIGHT(AN149,6)</f><v /></c><c r="AQ149" s="10"><f>+(AO149*60+AP149)/(60*60)</f><v /></c><c r="AR149" s="13"><f>+AM149/AQ149</f><v /></c><c r="AS149" s="303"><f>+(((AL149-AK149-AM149)/AM149)*100)</f><v /></c><c r="AT149" s="64"><f>IF(I149&gt;=1,"NO CONFORME",IF(BK149="SIGDIFERENTES",BC149,BL149))</f><v /></c><c r="AU149" s="21"><f>B149&lt;=C149</f><v /></c><c r="AV149" s="21"><f>N149&lt;Y149</f><v /></c><c r="AW149" s="21"><f>Z149&lt;=AK149</f><v /></c><c r="AX149" s="21"><f>IF(I149&gt;=1,"Qcorrecto",IF(AND(AY149="aceptable",AZ149="aceptable",BA149="aceptable"),"Qcorrecto","Qincorrecto"))</f><v /></c><c r="AY149" s="21"><f>IF(AR149&lt;$AH$6,"error",IF(AR149&gt;$AH$6*1.1,"error","aceptable"))</f><v /></c><c r="AZ149" s="21"><f>IF(AF149&lt;$V$6,"error",IF(AF149&gt;$V$6*1.1,"error","aceptable"))</f><v /></c><c r="BA149" s="21"><f>IF(T149&lt;$J$6*0.9,"error",IF(T149&gt;$J$6,"error","aceptable"))</f><v /></c><c r="BB149" s="65"><f>(IF(ABS(U149)&lt;1.05,"CONFORME",IF(ABS(AG149)&lt;1.05,"CONFORME",IF(ABS(AS149)&lt;2.55,"CONFORME","NO CONFORME"))))</f><v /></c><c r="BC149" s="62"><f>(IF(ABS(U149)&gt;2.05,"NO CONFORME",IF(ABS(AG149)&gt;2.05,"NO CONFORME",IF(ABS(AS149)&gt;5.05,"NO CONFORME","CONFORME"))))</f><v /></c><c r="BD149" s="64"><f>SIGN(U149)</f><v /></c><c r="BE149" s="64"><f>SIGN(AG149)</f><v /></c><c r="BF149" s="64"><f>SIGN(AS149)</f><v /></c><c r="BG149" s="64"><f>CONCATENATE(BD149,BE149,BF149)</f><v /></c><c r="BH149" s="64"><f>IF(BG149="111","SI","SD")</f><v /></c><c r="BI149" s="64"><f>IF(BG149="-1-1-1","SI","SD")</f><v /></c><c r="BJ149" s="64"><f>OR(BH149="SI",BI149="SI")</f><v /></c><c r="BK149" s="64"><f>IF(BJ149=FALSE,"SIGDIFERENTES","SIGIGUALES")</f><v /></c><c r="BL149" s="21"><f>IF(BC149="NO CONFORME","NO CONFORME",IF(BB149="CONFORME","CONFORME","NO CONFORME"))</f><v /></c><c r="BM149" s="66" t="n" /><c r="BN149" s="66" t="n" /></row><row r="150" ht="15.75" customHeight="1" thickBot="1"><c r="A150" s="9" t="n"><v>142</v></c><c r="B150" s="296"><f>B149</f><v /></c><c r="C150" s="296"><f>C149</f><v /></c><c r="D150" s="11"><f>D149</f><v /></c><c r="E150" s="9"><f>E149</f><v /></c><c r="F150" s="12" t="n" /><c r="G150" s="297" t="n" /><c r="H150" s="90"><f>H149</f><v /></c><c r="I150" s="90" t="n" /><c r="J150" s="298"><f>J149</f><v /></c><c r="K150" s="298"><f>K149</f><v /></c><c r="L150" s="298"><f>L149</f><v /></c><c r="M150" s="52" t="n" /><c r="N150" s="52" t="n" /><c r="O150" s="30"><f>O149</f><v /></c><c r="P150" s="299"><f>P149</f><v /></c><c r="Q150" s="10"><f>LEFT(P150,1)</f><v /></c><c r="R150" s="10"><f>RIGHT(P150,6)</f><v /></c><c r="S150" s="10"><f>+(Q150*60+R150)/(60*60)</f><v /></c><c r="T150" s="13"><f>+O150/S150</f><v /></c><c r="U150" s="300"><f>+(((N150-M150-O150)/O150)*100)</f><v /></c><c r="V150" s="301"><f>V149</f><v /></c><c r="W150" s="302"><f>W149</f><v /></c><c r="X150" s="302"><f>X149</f><v /></c><c r="Y150" s="52" t="n" /><c r="Z150" s="52" t="n" /><c r="AA150" s="106"><f>AA149</f><v /></c><c r="AB150" s="299"><f>AB149</f><v /></c><c r="AC150" s="10"><f>LEFT(AB150,2)</f><v /></c><c r="AD150" s="10"><f>RIGHT(AB150,6)</f><v /></c><c r="AE150" s="10"><f>+(AC150*60+AD150)/(60*60)</f><v /></c><c r="AF150" s="13"><f>+AA150/AE150</f><v /></c><c r="AG150" s="303"><f>+(((Z150-Y150-AA150)/AA150)*100)</f><v /></c><c r="AH150" s="301"><f>AH149</f><v /></c><c r="AI150" s="301"><f>AI149</f><v /></c><c r="AJ150" s="301"><f>AJ149</f><v /></c><c r="AK150" s="52"><f>+Z150</f><v /></c><c r="AL150" s="52" t="n" /><c r="AM150" s="111"><f>AM149</f><v /></c><c r="AN150" s="299"><f>AN149</f><v /></c><c r="AO150" s="10"><f>LEFT(AN150,2)</f><v /></c><c r="AP150" s="10"><f>RIGHT(AN150,6)</f><v /></c><c r="AQ150" s="10"><f>+(AO150*60+AP150)/(60*60)</f><v /></c><c r="AR150" s="13"><f>+AM150/AQ150</f><v /></c><c r="AS150" s="303"><f>+(((AL150-AK150-AM150)/AM150)*100)</f><v /></c><c r="AT150" s="64"><f>IF(I150&gt;=1,"NO CONFORME",IF(BK150="SIGDIFERENTES",BC150,BL150))</f><v /></c><c r="AU150" s="21"><f>B150&lt;=C150</f><v /></c><c r="AV150" s="21"><f>N150&lt;Y150</f><v /></c><c r="AW150" s="21"><f>Z150&lt;=AK150</f><v /></c><c r="AX150" s="21"><f>IF(I150&gt;=1,"Qcorrecto",IF(AND(AY150="aceptable",AZ150="aceptable",BA150="aceptable"),"Qcorrecto","Qincorrecto"))</f><v /></c><c r="AY150" s="21"><f>IF(AR150&lt;$AH$6,"error",IF(AR150&gt;$AH$6*1.1,"error","aceptable"))</f><v /></c><c r="AZ150" s="21"><f>IF(AF150&lt;$V$6,"error",IF(AF150&gt;$V$6*1.1,"error","aceptable"))</f><v /></c><c r="BA150" s="21"><f>IF(T150&lt;$J$6*0.9,"error",IF(T150&gt;$J$6,"error","aceptable"))</f><v /></c><c r="BB150" s="65"><f>(IF(ABS(U150)&lt;1.05,"CONFORME",IF(ABS(AG150)&lt;1.05,"CONFORME",IF(ABS(AS150)&lt;2.55,"CONFORME","NO CONFORME"))))</f><v /></c><c r="BC150" s="62"><f>(IF(ABS(U150)&gt;2.05,"NO CONFORME",IF(ABS(AG150)&gt;2.05,"NO CONFORME",IF(ABS(AS150)&gt;5.05,"NO CONFORME","CONFORME"))))</f><v /></c><c r="BD150" s="64"><f>SIGN(U150)</f><v /></c><c r="BE150" s="64"><f>SIGN(AG150)</f><v /></c><c r="BF150" s="64"><f>SIGN(AS150)</f><v /></c><c r="BG150" s="64"><f>CONCATENATE(BD150,BE150,BF150)</f><v /></c><c r="BH150" s="64"><f>IF(BG150="111","SI","SD")</f><v /></c><c r="BI150" s="64"><f>IF(BG150="-1-1-1","SI","SD")</f><v /></c><c r="BJ150" s="64"><f>OR(BH150="SI",BI150="SI")</f><v /></c><c r="BK150" s="64"><f>IF(BJ150=FALSE,"SIGDIFERENTES","SIGIGUALES")</f><v /></c><c r="BL150" s="21"><f>IF(BC150="NO CONFORME","NO CONFORME",IF(BB150="CONFORME","CONFORME","NO CONFORME"))</f><v /></c><c r="BM150" s="66" t="n" /><c r="BN150" s="66" t="n" /></row><row r="151" ht="15" customHeight="1"><c r="A151" s="55" t="n"><v>143</v></c><c r="B151" s="304"><f>B150</f><v /></c><c r="C151" s="304"><f>C150</f><v /></c><c r="D151" s="94"><f>D150</f><v /></c><c r="E151" s="95"><f>E150</f><v /></c><c r="F151" s="96" t="n" /><c r="G151" s="305" t="n" /><c r="H151" s="98"><f>H150</f><v /></c><c r="I151" s="98" t="n" /><c r="J151" s="306"><f>J150</f><v /></c><c r="K151" s="306"><f>K150</f><v /></c><c r="L151" s="306"><f>L150</f><v /></c><c r="M151" s="100" t="n" /><c r="N151" s="100" t="n" /><c r="O151" s="101"><f>O150</f><v /></c><c r="P151" s="307"><f>P150</f><v /></c><c r="Q151" s="10"><f>LEFT(P151,1)</f><v /></c><c r="R151" s="10"><f>RIGHT(P151,6)</f><v /></c><c r="S151" s="10"><f>+(Q151*60+R151)/(60*60)</f><v /></c><c r="T151" s="13"><f>+O151/S151</f><v /></c><c r="U151" s="300"><f>+(((N151-M151-O151)/O151)*100)</f><v /></c><c r="V151" s="308"><f>V150</f><v /></c><c r="W151" s="309"><f>W150</f><v /></c><c r="X151" s="309"><f>X150</f><v /></c><c r="Y151" s="100" t="n" /><c r="Z151" s="100" t="n" /><c r="AA151" s="109"><f>AA150</f><v /></c><c r="AB151" s="307"><f>AB150</f><v /></c><c r="AC151" s="10"><f>LEFT(AB151,2)</f><v /></c><c r="AD151" s="10"><f>RIGHT(AB151,6)</f><v /></c><c r="AE151" s="10"><f>+(AC151*60+AD151)/(60*60)</f><v /></c><c r="AF151" s="13"><f>+AA151/AE151</f><v /></c><c r="AG151" s="303"><f>+(((Z151-Y151-AA151)/AA151)*100)</f><v /></c><c r="AH151" s="308"><f>AH150</f><v /></c><c r="AI151" s="308"><f>AI150</f><v /></c><c r="AJ151" s="308"><f>AJ150</f><v /></c><c r="AK151" s="100"><f>+Z151</f><v /></c><c r="AL151" s="100" t="n" /><c r="AM151" s="112"><f>AM150</f><v /></c><c r="AN151" s="307"><f>AN150</f><v /></c><c r="AO151" s="10"><f>LEFT(AN151,2)</f><v /></c><c r="AP151" s="10"><f>RIGHT(AN151,6)</f><v /></c><c r="AQ151" s="10"><f>+(AO151*60+AP151)/(60*60)</f><v /></c><c r="AR151" s="13"><f>+AM151/AQ151</f><v /></c><c r="AS151" s="303"><f>+(((AL151-AK151-AM151)/AM151)*100)</f><v /></c><c r="AT151" s="64"><f>IF(I151&gt;=1,"NO CONFORME",IF(BK151="SIGDIFERENTES",BC151,BL151))</f><v /></c><c r="AU151" s="21"><f>B151&lt;=C151</f><v /></c><c r="AV151" s="21"><f>N151&lt;Y151</f><v /></c><c r="AW151" s="21"><f>Z151&lt;=AK151</f><v /></c><c r="AX151" s="21"><f>IF(I151&gt;=1,"Qcorrecto",IF(AND(AY151="aceptable",AZ151="aceptable",BA151="aceptable"),"Qcorrecto","Qincorrecto"))</f><v /></c><c r="AY151" s="21"><f>IF(AR151&lt;$AH$6,"error",IF(AR151&gt;$AH$6*1.1,"error","aceptable"))</f><v /></c><c r="AZ151" s="21"><f>IF(AF151&lt;$V$6,"error",IF(AF151&gt;$V$6*1.1,"error","aceptable"))</f><v /></c><c r="BA151" s="21"><f>IF(T151&lt;$J$6*0.9,"error",IF(T151&gt;$J$6,"error","aceptable"))</f><v /></c><c r="BB151" s="65"><f>(IF(ABS(U151)&lt;1.05,"CONFORME",IF(ABS(AG151)&lt;1.05,"CONFORME",IF(ABS(AS151)&lt;2.55,"CONFORME","NO CONFORME"))))</f><v /></c><c r="BC151" s="62"><f>(IF(ABS(U151)&gt;2.05,"NO CONFORME",IF(ABS(AG151)&gt;2.05,"NO CONFORME",IF(ABS(AS151)&gt;5.05,"NO CONFORME","CONFORME"))))</f><v /></c><c r="BD151" s="64"><f>SIGN(U151)</f><v /></c><c r="BE151" s="64"><f>SIGN(AG151)</f><v /></c><c r="BF151" s="64"><f>SIGN(AS151)</f><v /></c><c r="BG151" s="64"><f>CONCATENATE(BD151,BE151,BF151)</f><v /></c><c r="BH151" s="64"><f>IF(BG151="111","SI","SD")</f><v /></c><c r="BI151" s="64"><f>IF(BG151="-1-1-1","SI","SD")</f><v /></c><c r="BJ151" s="64"><f>OR(BH151="SI",BI151="SI")</f><v /></c><c r="BK151" s="64"><f>IF(BJ151=FALSE,"SIGDIFERENTES","SIGIGUALES")</f><v /></c><c r="BL151" s="21"><f>IF(BC151="NO CONFORME","NO CONFORME",IF(BB151="CONFORME","CONFORME","NO CONFORME"))</f><v /></c><c r="BM151" s="66" t="n" /><c r="BN151" s="66" t="n" /></row><row r="152" ht="15.75" customHeight="1" thickBot="1"><c r="A152" s="9" t="n"><v>144</v></c><c r="B152" s="296"><f>B151</f><v /></c><c r="C152" s="296"><f>C151</f><v /></c><c r="D152" s="11"><f>D151</f><v /></c><c r="E152" s="9"><f>E151</f><v /></c><c r="F152" s="12" t="n" /><c r="G152" s="297" t="n" /><c r="H152" s="90"><f>H151</f><v /></c><c r="I152" s="90" t="n" /><c r="J152" s="298"><f>J151</f><v /></c><c r="K152" s="298"><f>K151</f><v /></c><c r="L152" s="298"><f>L151</f><v /></c><c r="M152" s="52" t="n" /><c r="N152" s="52" t="n" /><c r="O152" s="30"><f>O151</f><v /></c><c r="P152" s="299"><f>P151</f><v /></c><c r="Q152" s="10"><f>LEFT(P152,1)</f><v /></c><c r="R152" s="10"><f>RIGHT(P152,6)</f><v /></c><c r="S152" s="10"><f>+(Q152*60+R152)/(60*60)</f><v /></c><c r="T152" s="13"><f>+O152/S152</f><v /></c><c r="U152" s="300"><f>+(((N152-M152-O152)/O152)*100)</f><v /></c><c r="V152" s="301"><f>V151</f><v /></c><c r="W152" s="302"><f>W151</f><v /></c><c r="X152" s="302"><f>X151</f><v /></c><c r="Y152" s="52" t="n" /><c r="Z152" s="52" t="n" /><c r="AA152" s="106"><f>AA151</f><v /></c><c r="AB152" s="299"><f>AB151</f><v /></c><c r="AC152" s="10"><f>LEFT(AB152,2)</f><v /></c><c r="AD152" s="10"><f>RIGHT(AB152,6)</f><v /></c><c r="AE152" s="10"><f>+(AC152*60+AD152)/(60*60)</f><v /></c><c r="AF152" s="13"><f>+AA152/AE152</f><v /></c><c r="AG152" s="303"><f>+(((Z152-Y152-AA152)/AA152)*100)</f><v /></c><c r="AH152" s="301"><f>AH151</f><v /></c><c r="AI152" s="301"><f>AI151</f><v /></c><c r="AJ152" s="301"><f>AJ151</f><v /></c><c r="AK152" s="52"><f>+Z152</f><v /></c><c r="AL152" s="52" t="n" /><c r="AM152" s="111"><f>AM151</f><v /></c><c r="AN152" s="299"><f>AN151</f><v /></c><c r="AO152" s="10"><f>LEFT(AN152,2)</f><v /></c><c r="AP152" s="10"><f>RIGHT(AN152,6)</f><v /></c><c r="AQ152" s="10"><f>+(AO152*60+AP152)/(60*60)</f><v /></c><c r="AR152" s="13"><f>+AM152/AQ152</f><v /></c><c r="AS152" s="303"><f>+(((AL152-AK152-AM152)/AM152)*100)</f><v /></c><c r="AT152" s="64"><f>IF(I152&gt;=1,"NO CONFORME",IF(BK152="SIGDIFERENTES",BC152,BL152))</f><v /></c><c r="AU152" s="21"><f>B152&lt;=C152</f><v /></c><c r="AV152" s="21"><f>N152&lt;Y152</f><v /></c><c r="AW152" s="21"><f>Z152&lt;=AK152</f><v /></c><c r="AX152" s="21"><f>IF(I152&gt;=1,"Qcorrecto",IF(AND(AY152="aceptable",AZ152="aceptable",BA152="aceptable"),"Qcorrecto","Qincorrecto"))</f><v /></c><c r="AY152" s="21"><f>IF(AR152&lt;$AH$6,"error",IF(AR152&gt;$AH$6*1.1,"error","aceptable"))</f><v /></c><c r="AZ152" s="21"><f>IF(AF152&lt;$V$6,"error",IF(AF152&gt;$V$6*1.1,"error","aceptable"))</f><v /></c><c r="BA152" s="21"><f>IF(T152&lt;$J$6*0.9,"error",IF(T152&gt;$J$6,"error","aceptable"))</f><v /></c><c r="BB152" s="65"><f>(IF(ABS(U152)&lt;1.05,"CONFORME",IF(ABS(AG152)&lt;1.05,"CONFORME",IF(ABS(AS152)&lt;2.55,"CONFORME","NO CONFORME"))))</f><v /></c><c r="BC152" s="62"><f>(IF(ABS(U152)&gt;2.05,"NO CONFORME",IF(ABS(AG152)&gt;2.05,"NO CONFORME",IF(ABS(AS152)&gt;5.05,"NO CONFORME","CONFORME"))))</f><v /></c><c r="BD152" s="64"><f>SIGN(U152)</f><v /></c><c r="BE152" s="64"><f>SIGN(AG152)</f><v /></c><c r="BF152" s="64"><f>SIGN(AS152)</f><v /></c><c r="BG152" s="64"><f>CONCATENATE(BD152,BE152,BF152)</f><v /></c><c r="BH152" s="64"><f>IF(BG152="111","SI","SD")</f><v /></c><c r="BI152" s="64"><f>IF(BG152="-1-1-1","SI","SD")</f><v /></c><c r="BJ152" s="64"><f>OR(BH152="SI",BI152="SI")</f><v /></c><c r="BK152" s="64"><f>IF(BJ152=FALSE,"SIGDIFERENTES","SIGIGUALES")</f><v /></c><c r="BL152" s="21"><f>IF(BC152="NO CONFORME","NO CONFORME",IF(BB152="CONFORME","CONFORME","NO CONFORME"))</f><v /></c><c r="BM152" s="66" t="n" /><c r="BN152" s="66" t="n" /></row><row r="153" ht="15" customHeight="1"><c r="A153" s="55" t="n"><v>145</v></c><c r="B153" s="304"><f>B152</f><v /></c><c r="C153" s="304"><f>C152</f><v /></c><c r="D153" s="94"><f>D152</f><v /></c><c r="E153" s="95"><f>E152</f><v /></c><c r="F153" s="96" t="n" /><c r="G153" s="305" t="n" /><c r="H153" s="98"><f>H152</f><v /></c><c r="I153" s="98" t="n" /><c r="J153" s="306"><f>J152</f><v /></c><c r="K153" s="306"><f>K152</f><v /></c><c r="L153" s="306"><f>L152</f><v /></c><c r="M153" s="100" t="n" /><c r="N153" s="100" t="n" /><c r="O153" s="101"><f>O152</f><v /></c><c r="P153" s="307"><f>P152</f><v /></c><c r="Q153" s="10"><f>LEFT(P153,1)</f><v /></c><c r="R153" s="10"><f>RIGHT(P153,6)</f><v /></c><c r="S153" s="10"><f>+(Q153*60+R153)/(60*60)</f><v /></c><c r="T153" s="13"><f>+O153/S153</f><v /></c><c r="U153" s="300"><f>+(((N153-M153-O153)/O153)*100)</f><v /></c><c r="V153" s="308"><f>V152</f><v /></c><c r="W153" s="309"><f>W152</f><v /></c><c r="X153" s="309"><f>X152</f><v /></c><c r="Y153" s="100" t="n" /><c r="Z153" s="100" t="n" /><c r="AA153" s="109"><f>AA152</f><v /></c><c r="AB153" s="307"><f>AB152</f><v /></c><c r="AC153" s="10"><f>LEFT(AB153,2)</f><v /></c><c r="AD153" s="10"><f>RIGHT(AB153,6)</f><v /></c><c r="AE153" s="10"><f>+(AC153*60+AD153)/(60*60)</f><v /></c><c r="AF153" s="13"><f>+AA153/AE153</f><v /></c><c r="AG153" s="303"><f>+(((Z153-Y153-AA153)/AA153)*100)</f><v /></c><c r="AH153" s="308"><f>AH152</f><v /></c><c r="AI153" s="308"><f>AI152</f><v /></c><c r="AJ153" s="308"><f>AJ152</f><v /></c><c r="AK153" s="100"><f>+Z153</f><v /></c><c r="AL153" s="100" t="n" /><c r="AM153" s="112"><f>AM152</f><v /></c><c r="AN153" s="307"><f>AN152</f><v /></c><c r="AO153" s="10"><f>LEFT(AN153,2)</f><v /></c><c r="AP153" s="10"><f>RIGHT(AN153,6)</f><v /></c><c r="AQ153" s="10"><f>+(AO153*60+AP153)/(60*60)</f><v /></c><c r="AR153" s="13"><f>+AM153/AQ153</f><v /></c><c r="AS153" s="303"><f>+(((AL153-AK153-AM153)/AM153)*100)</f><v /></c><c r="AT153" s="64"><f>IF(I153&gt;=1,"NO CONFORME",IF(BK153="SIGDIFERENTES",BC153,BL153))</f><v /></c><c r="AU153" s="21"><f>B153&lt;=C153</f><v /></c><c r="AV153" s="21"><f>N153&lt;Y153</f><v /></c><c r="AW153" s="21"><f>Z153&lt;=AK153</f><v /></c><c r="AX153" s="21"><f>IF(I153&gt;=1,"Qcorrecto",IF(AND(AY153="aceptable",AZ153="aceptable",BA153="aceptable"),"Qcorrecto","Qincorrecto"))</f><v /></c><c r="AY153" s="21"><f>IF(AR153&lt;$AH$6,"error",IF(AR153&gt;$AH$6*1.1,"error","aceptable"))</f><v /></c><c r="AZ153" s="21"><f>IF(AF153&lt;$V$6,"error",IF(AF153&gt;$V$6*1.1,"error","aceptable"))</f><v /></c><c r="BA153" s="21"><f>IF(T153&lt;$J$6*0.9,"error",IF(T153&gt;$J$6,"error","aceptable"))</f><v /></c><c r="BB153" s="65"><f>(IF(ABS(U153)&lt;1.05,"CONFORME",IF(ABS(AG153)&lt;1.05,"CONFORME",IF(ABS(AS153)&lt;2.55,"CONFORME","NO CONFORME"))))</f><v /></c><c r="BC153" s="62"><f>(IF(ABS(U153)&gt;2.05,"NO CONFORME",IF(ABS(AG153)&gt;2.05,"NO CONFORME",IF(ABS(AS153)&gt;5.05,"NO CONFORME","CONFORME"))))</f><v /></c><c r="BD153" s="64"><f>SIGN(U153)</f><v /></c><c r="BE153" s="64"><f>SIGN(AG153)</f><v /></c><c r="BF153" s="64"><f>SIGN(AS153)</f><v /></c><c r="BG153" s="64"><f>CONCATENATE(BD153,BE153,BF153)</f><v /></c><c r="BH153" s="64"><f>IF(BG153="111","SI","SD")</f><v /></c><c r="BI153" s="64"><f>IF(BG153="-1-1-1","SI","SD")</f><v /></c><c r="BJ153" s="64"><f>OR(BH153="SI",BI153="SI")</f><v /></c><c r="BK153" s="64"><f>IF(BJ153=FALSE,"SIGDIFERENTES","SIGIGUALES")</f><v /></c><c r="BL153" s="21"><f>IF(BC153="NO CONFORME","NO CONFORME",IF(BB153="CONFORME","CONFORME","NO CONFORME"))</f><v /></c><c r="BM153" s="66" t="n" /><c r="BN153" s="66" t="n" /></row><row r="154" ht="15.75" customHeight="1" thickBot="1"><c r="A154" s="9" t="n"><v>146</v></c><c r="B154" s="296"><f>B153</f><v /></c><c r="C154" s="296"><f>C153</f><v /></c><c r="D154" s="11"><f>D153</f><v /></c><c r="E154" s="9"><f>E153</f><v /></c><c r="F154" s="12" t="n" /><c r="G154" s="297" t="n" /><c r="H154" s="90"><f>H153</f><v /></c><c r="I154" s="90" t="n" /><c r="J154" s="298"><f>J153</f><v /></c><c r="K154" s="298"><f>K153</f><v /></c><c r="L154" s="298"><f>L153</f><v /></c><c r="M154" s="52" t="n" /><c r="N154" s="52" t="n" /><c r="O154" s="30"><f>O153</f><v /></c><c r="P154" s="299"><f>P153</f><v /></c><c r="Q154" s="10"><f>LEFT(P154,1)</f><v /></c><c r="R154" s="10"><f>RIGHT(P154,6)</f><v /></c><c r="S154" s="10"><f>+(Q154*60+R154)/(60*60)</f><v /></c><c r="T154" s="13"><f>+O154/S154</f><v /></c><c r="U154" s="300"><f>+(((N154-M154-O154)/O154)*100)</f><v /></c><c r="V154" s="301"><f>V153</f><v /></c><c r="W154" s="302"><f>W153</f><v /></c><c r="X154" s="302"><f>X153</f><v /></c><c r="Y154" s="52" t="n" /><c r="Z154" s="52" t="n" /><c r="AA154" s="106"><f>AA153</f><v /></c><c r="AB154" s="299"><f>AB153</f><v /></c><c r="AC154" s="10"><f>LEFT(AB154,2)</f><v /></c><c r="AD154" s="10"><f>RIGHT(AB154,6)</f><v /></c><c r="AE154" s="10"><f>+(AC154*60+AD154)/(60*60)</f><v /></c><c r="AF154" s="13"><f>+AA154/AE154</f><v /></c><c r="AG154" s="303"><f>+(((Z154-Y154-AA154)/AA154)*100)</f><v /></c><c r="AH154" s="301"><f>AH153</f><v /></c><c r="AI154" s="301"><f>AI153</f><v /></c><c r="AJ154" s="301"><f>AJ153</f><v /></c><c r="AK154" s="52"><f>+Z154</f><v /></c><c r="AL154" s="52" t="n" /><c r="AM154" s="111"><f>AM153</f><v /></c><c r="AN154" s="299"><f>AN153</f><v /></c><c r="AO154" s="10"><f>LEFT(AN154,2)</f><v /></c><c r="AP154" s="10"><f>RIGHT(AN154,6)</f><v /></c><c r="AQ154" s="10"><f>+(AO154*60+AP154)/(60*60)</f><v /></c><c r="AR154" s="13"><f>+AM154/AQ154</f><v /></c><c r="AS154" s="303"><f>+(((AL154-AK154-AM154)/AM154)*100)</f><v /></c><c r="AT154" s="64"><f>IF(I154&gt;=1,"NO CONFORME",IF(BK154="SIGDIFERENTES",BC154,BL154))</f><v /></c><c r="AU154" s="21"><f>B154&lt;=C154</f><v /></c><c r="AV154" s="21"><f>N154&lt;Y154</f><v /></c><c r="AW154" s="21"><f>Z154&lt;=AK154</f><v /></c><c r="AX154" s="21"><f>IF(I154&gt;=1,"Qcorrecto",IF(AND(AY154="aceptable",AZ154="aceptable",BA154="aceptable"),"Qcorrecto","Qincorrecto"))</f><v /></c><c r="AY154" s="21"><f>IF(AR154&lt;$AH$6,"error",IF(AR154&gt;$AH$6*1.1,"error","aceptable"))</f><v /></c><c r="AZ154" s="21"><f>IF(AF154&lt;$V$6,"error",IF(AF154&gt;$V$6*1.1,"error","aceptable"))</f><v /></c><c r="BA154" s="21"><f>IF(T154&lt;$J$6*0.9,"error",IF(T154&gt;$J$6,"error","aceptable"))</f><v /></c><c r="BB154" s="65"><f>(IF(ABS(U154)&lt;1.05,"CONFORME",IF(ABS(AG154)&lt;1.05,"CONFORME",IF(ABS(AS154)&lt;2.55,"CONFORME","NO CONFORME"))))</f><v /></c><c r="BC154" s="62"><f>(IF(ABS(U154)&gt;2.05,"NO CONFORME",IF(ABS(AG154)&gt;2.05,"NO CONFORME",IF(ABS(AS154)&gt;5.05,"NO CONFORME","CONFORME"))))</f><v /></c><c r="BD154" s="64"><f>SIGN(U154)</f><v /></c><c r="BE154" s="64"><f>SIGN(AG154)</f><v /></c><c r="BF154" s="64"><f>SIGN(AS154)</f><v /></c><c r="BG154" s="64"><f>CONCATENATE(BD154,BE154,BF154)</f><v /></c><c r="BH154" s="64"><f>IF(BG154="111","SI","SD")</f><v /></c><c r="BI154" s="64"><f>IF(BG154="-1-1-1","SI","SD")</f><v /></c><c r="BJ154" s="64"><f>OR(BH154="SI",BI154="SI")</f><v /></c><c r="BK154" s="64"><f>IF(BJ154=FALSE,"SIGDIFERENTES","SIGIGUALES")</f><v /></c><c r="BL154" s="21"><f>IF(BC154="NO CONFORME","NO CONFORME",IF(BB154="CONFORME","CONFORME","NO CONFORME"))</f><v /></c><c r="BM154" s="66" t="n" /><c r="BN154" s="66" t="n" /></row><row r="155" ht="15" customHeight="1"><c r="A155" s="55" t="n"><v>147</v></c><c r="B155" s="304"><f>B154</f><v /></c><c r="C155" s="304"><f>C154</f><v /></c><c r="D155" s="94"><f>D154</f><v /></c><c r="E155" s="95"><f>E154</f><v /></c><c r="F155" s="96" t="n" /><c r="G155" s="305" t="n" /><c r="H155" s="98"><f>H154</f><v /></c><c r="I155" s="98" t="n" /><c r="J155" s="306"><f>J154</f><v /></c><c r="K155" s="306"><f>K154</f><v /></c><c r="L155" s="306"><f>L154</f><v /></c><c r="M155" s="100" t="n" /><c r="N155" s="100" t="n" /><c r="O155" s="101"><f>O154</f><v /></c><c r="P155" s="307"><f>P154</f><v /></c><c r="Q155" s="10"><f>LEFT(P155,1)</f><v /></c><c r="R155" s="10"><f>RIGHT(P155,6)</f><v /></c><c r="S155" s="10"><f>+(Q155*60+R155)/(60*60)</f><v /></c><c r="T155" s="13"><f>+O155/S155</f><v /></c><c r="U155" s="300"><f>+(((N155-M155-O155)/O155)*100)</f><v /></c><c r="V155" s="308"><f>V154</f><v /></c><c r="W155" s="309"><f>W154</f><v /></c><c r="X155" s="309"><f>X154</f><v /></c><c r="Y155" s="100" t="n" /><c r="Z155" s="100" t="n" /><c r="AA155" s="109"><f>AA154</f><v /></c><c r="AB155" s="307"><f>AB154</f><v /></c><c r="AC155" s="10"><f>LEFT(AB155,2)</f><v /></c><c r="AD155" s="10"><f>RIGHT(AB155,6)</f><v /></c><c r="AE155" s="10"><f>+(AC155*60+AD155)/(60*60)</f><v /></c><c r="AF155" s="13"><f>+AA155/AE155</f><v /></c><c r="AG155" s="303"><f>+(((Z155-Y155-AA155)/AA155)*100)</f><v /></c><c r="AH155" s="308"><f>AH154</f><v /></c><c r="AI155" s="308"><f>AI154</f><v /></c><c r="AJ155" s="308"><f>AJ154</f><v /></c><c r="AK155" s="100"><f>+Z155</f><v /></c><c r="AL155" s="100" t="n" /><c r="AM155" s="112"><f>AM154</f><v /></c><c r="AN155" s="307"><f>AN154</f><v /></c><c r="AO155" s="10"><f>LEFT(AN155,2)</f><v /></c><c r="AP155" s="10"><f>RIGHT(AN155,6)</f><v /></c><c r="AQ155" s="10"><f>+(AO155*60+AP155)/(60*60)</f><v /></c><c r="AR155" s="13"><f>+AM155/AQ155</f><v /></c><c r="AS155" s="303"><f>+(((AL155-AK155-AM155)/AM155)*100)</f><v /></c><c r="AT155" s="64"><f>IF(I155&gt;=1,"NO CONFORME",IF(BK155="SIGDIFERENTES",BC155,BL155))</f><v /></c><c r="AU155" s="21"><f>B155&lt;=C155</f><v /></c><c r="AV155" s="21"><f>N155&lt;Y155</f><v /></c><c r="AW155" s="21"><f>Z155&lt;=AK155</f><v /></c><c r="AX155" s="21"><f>IF(I155&gt;=1,"Qcorrecto",IF(AND(AY155="aceptable",AZ155="aceptable",BA155="aceptable"),"Qcorrecto","Qincorrecto"))</f><v /></c><c r="AY155" s="21"><f>IF(AR155&lt;$AH$6,"error",IF(AR155&gt;$AH$6*1.1,"error","aceptable"))</f><v /></c><c r="AZ155" s="21"><f>IF(AF155&lt;$V$6,"error",IF(AF155&gt;$V$6*1.1,"error","aceptable"))</f><v /></c><c r="BA155" s="21"><f>IF(T155&lt;$J$6*0.9,"error",IF(T155&gt;$J$6,"error","aceptable"))</f><v /></c><c r="BB155" s="65"><f>(IF(ABS(U155)&lt;1.05,"CONFORME",IF(ABS(AG155)&lt;1.05,"CONFORME",IF(ABS(AS155)&lt;2.55,"CONFORME","NO CONFORME"))))</f><v /></c><c r="BC155" s="62"><f>(IF(ABS(U155)&gt;2.05,"NO CONFORME",IF(ABS(AG155)&gt;2.05,"NO CONFORME",IF(ABS(AS155)&gt;5.05,"NO CONFORME","CONFORME"))))</f><v /></c><c r="BD155" s="64"><f>SIGN(U155)</f><v /></c><c r="BE155" s="64"><f>SIGN(AG155)</f><v /></c><c r="BF155" s="64"><f>SIGN(AS155)</f><v /></c><c r="BG155" s="64"><f>CONCATENATE(BD155,BE155,BF155)</f><v /></c><c r="BH155" s="64"><f>IF(BG155="111","SI","SD")</f><v /></c><c r="BI155" s="64"><f>IF(BG155="-1-1-1","SI","SD")</f><v /></c><c r="BJ155" s="64"><f>OR(BH155="SI",BI155="SI")</f><v /></c><c r="BK155" s="64"><f>IF(BJ155=FALSE,"SIGDIFERENTES","SIGIGUALES")</f><v /></c><c r="BL155" s="21"><f>IF(BC155="NO CONFORME","NO CONFORME",IF(BB155="CONFORME","CONFORME","NO CONFORME"))</f><v /></c><c r="BM155" s="66" t="n" /><c r="BN155" s="66" t="n" /></row><row r="156" ht="15.75" customHeight="1" thickBot="1"><c r="A156" s="9" t="n"><v>148</v></c><c r="B156" s="296"><f>B155</f><v /></c><c r="C156" s="296"><f>C155</f><v /></c><c r="D156" s="11"><f>D155</f><v /></c><c r="E156" s="9"><f>E155</f><v /></c><c r="F156" s="12" t="n" /><c r="G156" s="297" t="n" /><c r="H156" s="90"><f>H155</f><v /></c><c r="I156" s="90" t="n" /><c r="J156" s="298"><f>J155</f><v /></c><c r="K156" s="298"><f>K155</f><v /></c><c r="L156" s="298"><f>L155</f><v /></c><c r="M156" s="52" t="n" /><c r="N156" s="52" t="n" /><c r="O156" s="30"><f>O155</f><v /></c><c r="P156" s="299"><f>P155</f><v /></c><c r="Q156" s="10"><f>LEFT(P156,1)</f><v /></c><c r="R156" s="10"><f>RIGHT(P156,6)</f><v /></c><c r="S156" s="10"><f>+(Q156*60+R156)/(60*60)</f><v /></c><c r="T156" s="13"><f>+O156/S156</f><v /></c><c r="U156" s="300"><f>+(((N156-M156-O156)/O156)*100)</f><v /></c><c r="V156" s="301"><f>V155</f><v /></c><c r="W156" s="302"><f>W155</f><v /></c><c r="X156" s="302"><f>X155</f><v /></c><c r="Y156" s="52" t="n" /><c r="Z156" s="52" t="n" /><c r="AA156" s="106"><f>AA155</f><v /></c><c r="AB156" s="299"><f>AB155</f><v /></c><c r="AC156" s="10"><f>LEFT(AB156,2)</f><v /></c><c r="AD156" s="10"><f>RIGHT(AB156,6)</f><v /></c><c r="AE156" s="10"><f>+(AC156*60+AD156)/(60*60)</f><v /></c><c r="AF156" s="13"><f>+AA156/AE156</f><v /></c><c r="AG156" s="303"><f>+(((Z156-Y156-AA156)/AA156)*100)</f><v /></c><c r="AH156" s="301"><f>AH155</f><v /></c><c r="AI156" s="301"><f>AI155</f><v /></c><c r="AJ156" s="301"><f>AJ155</f><v /></c><c r="AK156" s="52"><f>+Z156</f><v /></c><c r="AL156" s="52" t="n" /><c r="AM156" s="111"><f>AM155</f><v /></c><c r="AN156" s="299"><f>AN155</f><v /></c><c r="AO156" s="10"><f>LEFT(AN156,2)</f><v /></c><c r="AP156" s="10"><f>RIGHT(AN156,6)</f><v /></c><c r="AQ156" s="10"><f>+(AO156*60+AP156)/(60*60)</f><v /></c><c r="AR156" s="13"><f>+AM156/AQ156</f><v /></c><c r="AS156" s="303"><f>+(((AL156-AK156-AM156)/AM156)*100)</f><v /></c><c r="AT156" s="64"><f>IF(I156&gt;=1,"NO CONFORME",IF(BK156="SIGDIFERENTES",BC156,BL156))</f><v /></c><c r="AU156" s="21"><f>B156&lt;=C156</f><v /></c><c r="AV156" s="21"><f>N156&lt;Y156</f><v /></c><c r="AW156" s="21"><f>Z156&lt;=AK156</f><v /></c><c r="AX156" s="21"><f>IF(I156&gt;=1,"Qcorrecto",IF(AND(AY156="aceptable",AZ156="aceptable",BA156="aceptable"),"Qcorrecto","Qincorrecto"))</f><v /></c><c r="AY156" s="21"><f>IF(AR156&lt;$AH$6,"error",IF(AR156&gt;$AH$6*1.1,"error","aceptable"))</f><v /></c><c r="AZ156" s="21"><f>IF(AF156&lt;$V$6,"error",IF(AF156&gt;$V$6*1.1,"error","aceptable"))</f><v /></c><c r="BA156" s="21"><f>IF(T156&lt;$J$6*0.9,"error",IF(T156&gt;$J$6,"error","aceptable"))</f><v /></c><c r="BB156" s="65"><f>(IF(ABS(U156)&lt;1.05,"CONFORME",IF(ABS(AG156)&lt;1.05,"CONFORME",IF(ABS(AS156)&lt;2.55,"CONFORME","NO CONFORME"))))</f><v /></c><c r="BC156" s="62"><f>(IF(ABS(U156)&gt;2.05,"NO CONFORME",IF(ABS(AG156)&gt;2.05,"NO CONFORME",IF(ABS(AS156)&gt;5.05,"NO CONFORME","CONFORME"))))</f><v /></c><c r="BD156" s="64"><f>SIGN(U156)</f><v /></c><c r="BE156" s="64"><f>SIGN(AG156)</f><v /></c><c r="BF156" s="64"><f>SIGN(AS156)</f><v /></c><c r="BG156" s="64"><f>CONCATENATE(BD156,BE156,BF156)</f><v /></c><c r="BH156" s="64"><f>IF(BG156="111","SI","SD")</f><v /></c><c r="BI156" s="64"><f>IF(BG156="-1-1-1","SI","SD")</f><v /></c><c r="BJ156" s="64"><f>OR(BH156="SI",BI156="SI")</f><v /></c><c r="BK156" s="64"><f>IF(BJ156=FALSE,"SIGDIFERENTES","SIGIGUALES")</f><v /></c><c r="BL156" s="21"><f>IF(BC156="NO CONFORME","NO CONFORME",IF(BB156="CONFORME","CONFORME","NO CONFORME"))</f><v /></c><c r="BM156" s="66" t="n" /><c r="BN156" s="66" t="n" /></row><row r="157" ht="15" customHeight="1"><c r="A157" s="55" t="n"><v>149</v></c><c r="B157" s="304"><f>B156</f><v /></c><c r="C157" s="304"><f>C156</f><v /></c><c r="D157" s="94"><f>D156</f><v /></c><c r="E157" s="95"><f>E156</f><v /></c><c r="F157" s="96" t="n" /><c r="G157" s="305" t="n" /><c r="H157" s="98"><f>H156</f><v /></c><c r="I157" s="98" t="n" /><c r="J157" s="306"><f>J156</f><v /></c><c r="K157" s="306"><f>K156</f><v /></c><c r="L157" s="306"><f>L156</f><v /></c><c r="M157" s="100" t="n" /><c r="N157" s="100" t="n" /><c r="O157" s="101"><f>O156</f><v /></c><c r="P157" s="307"><f>P156</f><v /></c><c r="Q157" s="10"><f>LEFT(P157,1)</f><v /></c><c r="R157" s="10"><f>RIGHT(P157,6)</f><v /></c><c r="S157" s="10"><f>+(Q157*60+R157)/(60*60)</f><v /></c><c r="T157" s="13"><f>+O157/S157</f><v /></c><c r="U157" s="300"><f>+(((N157-M157-O157)/O157)*100)</f><v /></c><c r="V157" s="308"><f>V156</f><v /></c><c r="W157" s="309"><f>W156</f><v /></c><c r="X157" s="309"><f>X156</f><v /></c><c r="Y157" s="100" t="n" /><c r="Z157" s="100" t="n" /><c r="AA157" s="109"><f>AA156</f><v /></c><c r="AB157" s="307"><f>AB156</f><v /></c><c r="AC157" s="10"><f>LEFT(AB157,2)</f><v /></c><c r="AD157" s="10"><f>RIGHT(AB157,6)</f><v /></c><c r="AE157" s="10"><f>+(AC157*60+AD157)/(60*60)</f><v /></c><c r="AF157" s="13"><f>+AA157/AE157</f><v /></c><c r="AG157" s="303"><f>+(((Z157-Y157-AA157)/AA157)*100)</f><v /></c><c r="AH157" s="308"><f>AH156</f><v /></c><c r="AI157" s="308"><f>AI156</f><v /></c><c r="AJ157" s="308"><f>AJ156</f><v /></c><c r="AK157" s="100"><f>+Z157</f><v /></c><c r="AL157" s="100" t="n" /><c r="AM157" s="112"><f>AM156</f><v /></c><c r="AN157" s="307"><f>AN156</f><v /></c><c r="AO157" s="10"><f>LEFT(AN157,2)</f><v /></c><c r="AP157" s="10"><f>RIGHT(AN157,6)</f><v /></c><c r="AQ157" s="10"><f>+(AO157*60+AP157)/(60*60)</f><v /></c><c r="AR157" s="13"><f>+AM157/AQ157</f><v /></c><c r="AS157" s="303"><f>+(((AL157-AK157-AM157)/AM157)*100)</f><v /></c><c r="AT157" s="64"><f>IF(I157&gt;=1,"NO CONFORME",IF(BK157="SIGDIFERENTES",BC157,BL157))</f><v /></c><c r="AU157" s="21"><f>B157&lt;=C157</f><v /></c><c r="AV157" s="21"><f>N157&lt;Y157</f><v /></c><c r="AW157" s="21"><f>Z157&lt;=AK157</f><v /></c><c r="AX157" s="21"><f>IF(I157&gt;=1,"Qcorrecto",IF(AND(AY157="aceptable",AZ157="aceptable",BA157="aceptable"),"Qcorrecto","Qincorrecto"))</f><v /></c><c r="AY157" s="21"><f>IF(AR157&lt;$AH$6,"error",IF(AR157&gt;$AH$6*1.1,"error","aceptable"))</f><v /></c><c r="AZ157" s="21"><f>IF(AF157&lt;$V$6,"error",IF(AF157&gt;$V$6*1.1,"error","aceptable"))</f><v /></c><c r="BA157" s="21"><f>IF(T157&lt;$J$6*0.9,"error",IF(T157&gt;$J$6,"error","aceptable"))</f><v /></c><c r="BB157" s="65"><f>(IF(ABS(U157)&lt;1.05,"CONFORME",IF(ABS(AG157)&lt;1.05,"CONFORME",IF(ABS(AS157)&lt;2.55,"CONFORME","NO CONFORME"))))</f><v /></c><c r="BC157" s="62"><f>(IF(ABS(U157)&gt;2.05,"NO CONFORME",IF(ABS(AG157)&gt;2.05,"NO CONFORME",IF(ABS(AS157)&gt;5.05,"NO CONFORME","CONFORME"))))</f><v /></c><c r="BD157" s="64"><f>SIGN(U157)</f><v /></c><c r="BE157" s="64"><f>SIGN(AG157)</f><v /></c><c r="BF157" s="64"><f>SIGN(AS157)</f><v /></c><c r="BG157" s="64"><f>CONCATENATE(BD157,BE157,BF157)</f><v /></c><c r="BH157" s="64"><f>IF(BG157="111","SI","SD")</f><v /></c><c r="BI157" s="64"><f>IF(BG157="-1-1-1","SI","SD")</f><v /></c><c r="BJ157" s="64"><f>OR(BH157="SI",BI157="SI")</f><v /></c><c r="BK157" s="64"><f>IF(BJ157=FALSE,"SIGDIFERENTES","SIGIGUALES")</f><v /></c><c r="BL157" s="21"><f>IF(BC157="NO CONFORME","NO CONFORME",IF(BB157="CONFORME","CONFORME","NO CONFORME"))</f><v /></c><c r="BM157" s="66" t="n" /><c r="BN157" s="66" t="n" /></row><row r="158" ht="15.75" customHeight="1" thickBot="1"><c r="A158" s="9" t="n"><v>150</v></c><c r="B158" s="296"><f>B157</f><v /></c><c r="C158" s="296"><f>C157</f><v /></c><c r="D158" s="11"><f>D157</f><v /></c><c r="E158" s="9"><f>E157</f><v /></c><c r="F158" s="12" t="n" /><c r="G158" s="297" t="n" /><c r="H158" s="90"><f>H157</f><v /></c><c r="I158" s="90" t="n" /><c r="J158" s="298"><f>J157</f><v /></c><c r="K158" s="298"><f>K157</f><v /></c><c r="L158" s="298"><f>L157</f><v /></c><c r="M158" s="52" t="n" /><c r="N158" s="52" t="n" /><c r="O158" s="30"><f>O157</f><v /></c><c r="P158" s="299"><f>P157</f><v /></c><c r="Q158" s="10"><f>LEFT(P158,1)</f><v /></c><c r="R158" s="10"><f>RIGHT(P158,6)</f><v /></c><c r="S158" s="10"><f>+(Q158*60+R158)/(60*60)</f><v /></c><c r="T158" s="13"><f>+O158/S158</f><v /></c><c r="U158" s="300"><f>+(((N158-M158-O158)/O158)*100)</f><v /></c><c r="V158" s="301"><f>V157</f><v /></c><c r="W158" s="302"><f>W157</f><v /></c><c r="X158" s="302"><f>X157</f><v /></c><c r="Y158" s="52" t="n" /><c r="Z158" s="52" t="n" /><c r="AA158" s="106"><f>AA157</f><v /></c><c r="AB158" s="299"><f>AB157</f><v /></c><c r="AC158" s="10"><f>LEFT(AB158,2)</f><v /></c><c r="AD158" s="10"><f>RIGHT(AB158,6)</f><v /></c><c r="AE158" s="10"><f>+(AC158*60+AD158)/(60*60)</f><v /></c><c r="AF158" s="13"><f>+AA158/AE158</f><v /></c><c r="AG158" s="303"><f>+(((Z158-Y158-AA158)/AA158)*100)</f><v /></c><c r="AH158" s="301"><f>AH157</f><v /></c><c r="AI158" s="301"><f>AI157</f><v /></c><c r="AJ158" s="301"><f>AJ157</f><v /></c><c r="AK158" s="52"><f>+Z158</f><v /></c><c r="AL158" s="52" t="n" /><c r="AM158" s="111"><f>AM157</f><v /></c><c r="AN158" s="299"><f>AN157</f><v /></c><c r="AO158" s="10"><f>LEFT(AN158,2)</f><v /></c><c r="AP158" s="10"><f>RIGHT(AN158,6)</f><v /></c><c r="AQ158" s="10"><f>+(AO158*60+AP158)/(60*60)</f><v /></c><c r="AR158" s="13"><f>+AM158/AQ158</f><v /></c><c r="AS158" s="303"><f>+(((AL158-AK158-AM158)/AM158)*100)</f><v /></c><c r="AT158" s="64"><f>IF(I158&gt;=1,"NO CONFORME",IF(BK158="SIGDIFERENTES",BC158,BL158))</f><v /></c><c r="AU158" s="21"><f>B158&lt;=C158</f><v /></c><c r="AV158" s="21"><f>N158&lt;Y158</f><v /></c><c r="AW158" s="21"><f>Z158&lt;=AK158</f><v /></c><c r="AX158" s="21"><f>IF(I158&gt;=1,"Qcorrecto",IF(AND(AY158="aceptable",AZ158="aceptable",BA158="aceptable"),"Qcorrecto","Qincorrecto"))</f><v /></c><c r="AY158" s="21"><f>IF(AR158&lt;$AH$6,"error",IF(AR158&gt;$AH$6*1.1,"error","aceptable"))</f><v /></c><c r="AZ158" s="21"><f>IF(AF158&lt;$V$6,"error",IF(AF158&gt;$V$6*1.1,"error","aceptable"))</f><v /></c><c r="BA158" s="21"><f>IF(T158&lt;$J$6*0.9,"error",IF(T158&gt;$J$6,"error","aceptable"))</f><v /></c><c r="BB158" s="65"><f>(IF(ABS(U158)&lt;1.05,"CONFORME",IF(ABS(AG158)&lt;1.05,"CONFORME",IF(ABS(AS158)&lt;2.55,"CONFORME","NO CONFORME"))))</f><v /></c><c r="BC158" s="62"><f>(IF(ABS(U158)&gt;2.05,"NO CONFORME",IF(ABS(AG158)&gt;2.05,"NO CONFORME",IF(ABS(AS158)&gt;5.05,"NO CONFORME","CONFORME"))))</f><v /></c><c r="BD158" s="64"><f>SIGN(U158)</f><v /></c><c r="BE158" s="64"><f>SIGN(AG158)</f><v /></c><c r="BF158" s="64"><f>SIGN(AS158)</f><v /></c><c r="BG158" s="64"><f>CONCATENATE(BD158,BE158,BF158)</f><v /></c><c r="BH158" s="64"><f>IF(BG158="111","SI","SD")</f><v /></c><c r="BI158" s="64"><f>IF(BG158="-1-1-1","SI","SD")</f><v /></c><c r="BJ158" s="64"><f>OR(BH158="SI",BI158="SI")</f><v /></c><c r="BK158" s="64"><f>IF(BJ158=FALSE,"SIGDIFERENTES","SIGIGUALES")</f><v /></c><c r="BL158" s="21"><f>IF(BC158="NO CONFORME","NO CONFORME",IF(BB158="CONFORME","CONFORME","NO CONFORME"))</f><v /></c><c r="BM158" s="66" t="n" /><c r="BN158" s="66" t="n" /></row><row r="159" ht="15" customHeight="1"><c r="A159" s="55" t="n"><v>151</v></c><c r="B159" s="304"><f>B158</f><v /></c><c r="C159" s="304"><f>C158</f><v /></c><c r="D159" s="94"><f>D158</f><v /></c><c r="E159" s="95"><f>E158</f><v /></c><c r="F159" s="96" t="n" /><c r="G159" s="305" t="n" /><c r="H159" s="98"><f>H158</f><v /></c><c r="I159" s="98" t="n" /><c r="J159" s="306"><f>J158</f><v /></c><c r="K159" s="306"><f>K158</f><v /></c><c r="L159" s="306"><f>L158</f><v /></c><c r="M159" s="100" t="n" /><c r="N159" s="100" t="n" /><c r="O159" s="101"><f>O158</f><v /></c><c r="P159" s="307"><f>P158</f><v /></c><c r="Q159" s="10"><f>LEFT(P159,1)</f><v /></c><c r="R159" s="10"><f>RIGHT(P159,6)</f><v /></c><c r="S159" s="10"><f>+(Q159*60+R159)/(60*60)</f><v /></c><c r="T159" s="13"><f>+O159/S159</f><v /></c><c r="U159" s="300"><f>+(((N159-M159-O159)/O159)*100)</f><v /></c><c r="V159" s="308"><f>V158</f><v /></c><c r="W159" s="309"><f>W158</f><v /></c><c r="X159" s="309"><f>X158</f><v /></c><c r="Y159" s="100" t="n" /><c r="Z159" s="100" t="n" /><c r="AA159" s="109"><f>AA158</f><v /></c><c r="AB159" s="307"><f>AB158</f><v /></c><c r="AC159" s="10"><f>LEFT(AB159,2)</f><v /></c><c r="AD159" s="10"><f>RIGHT(AB159,6)</f><v /></c><c r="AE159" s="10"><f>+(AC159*60+AD159)/(60*60)</f><v /></c><c r="AF159" s="13"><f>+AA159/AE159</f><v /></c><c r="AG159" s="303"><f>+(((Z159-Y159-AA159)/AA159)*100)</f><v /></c><c r="AH159" s="308"><f>AH158</f><v /></c><c r="AI159" s="308"><f>AI158</f><v /></c><c r="AJ159" s="308"><f>AJ158</f><v /></c><c r="AK159" s="100"><f>+Z159</f><v /></c><c r="AL159" s="100" t="n" /><c r="AM159" s="112"><f>AM158</f><v /></c><c r="AN159" s="307"><f>AN158</f><v /></c><c r="AO159" s="10"><f>LEFT(AN159,2)</f><v /></c><c r="AP159" s="10"><f>RIGHT(AN159,6)</f><v /></c><c r="AQ159" s="10"><f>+(AO159*60+AP159)/(60*60)</f><v /></c><c r="AR159" s="13"><f>+AM159/AQ159</f><v /></c><c r="AS159" s="303"><f>+(((AL159-AK159-AM159)/AM159)*100)</f><v /></c><c r="AT159" s="64"><f>IF(I159&gt;=1,"NO CONFORME",IF(BK159="SIGDIFERENTES",BC159,BL159))</f><v /></c><c r="AU159" s="21"><f>B159&lt;=C159</f><v /></c><c r="AV159" s="21"><f>N159&lt;Y159</f><v /></c><c r="AW159" s="21"><f>Z159&lt;=AK159</f><v /></c><c r="AX159" s="21"><f>IF(I159&gt;=1,"Qcorrecto",IF(AND(AY159="aceptable",AZ159="aceptable",BA159="aceptable"),"Qcorrecto","Qincorrecto"))</f><v /></c><c r="AY159" s="21"><f>IF(AR159&lt;$AH$6,"error",IF(AR159&gt;$AH$6*1.1,"error","aceptable"))</f><v /></c><c r="AZ159" s="21"><f>IF(AF159&lt;$V$6,"error",IF(AF159&gt;$V$6*1.1,"error","aceptable"))</f><v /></c><c r="BA159" s="21"><f>IF(T159&lt;$J$6*0.9,"error",IF(T159&gt;$J$6,"error","aceptable"))</f><v /></c><c r="BB159" s="65"><f>(IF(ABS(U159)&lt;1.05,"CONFORME",IF(ABS(AG159)&lt;1.05,"CONFORME",IF(ABS(AS159)&lt;2.55,"CONFORME","NO CONFORME"))))</f><v /></c><c r="BC159" s="62"><f>(IF(ABS(U159)&gt;2.05,"NO CONFORME",IF(ABS(AG159)&gt;2.05,"NO CONFORME",IF(ABS(AS159)&gt;5.05,"NO CONFORME","CONFORME"))))</f><v /></c><c r="BD159" s="64"><f>SIGN(U159)</f><v /></c><c r="BE159" s="64"><f>SIGN(AG159)</f><v /></c><c r="BF159" s="64"><f>SIGN(AS159)</f><v /></c><c r="BG159" s="64"><f>CONCATENATE(BD159,BE159,BF159)</f><v /></c><c r="BH159" s="64"><f>IF(BG159="111","SI","SD")</f><v /></c><c r="BI159" s="64"><f>IF(BG159="-1-1-1","SI","SD")</f><v /></c><c r="BJ159" s="64"><f>OR(BH159="SI",BI159="SI")</f><v /></c><c r="BK159" s="64"><f>IF(BJ159=FALSE,"SIGDIFERENTES","SIGIGUALES")</f><v /></c><c r="BL159" s="21"><f>IF(BC159="NO CONFORME","NO CONFORME",IF(BB159="CONFORME","CONFORME","NO CONFORME"))</f><v /></c><c r="BM159" s="66" t="n" /><c r="BN159" s="66" t="n" /></row><row r="160" ht="15.75" customHeight="1" thickBot="1"><c r="A160" s="9" t="n"><v>152</v></c><c r="B160" s="296"><f>B159</f><v /></c><c r="C160" s="296"><f>C159</f><v /></c><c r="D160" s="11"><f>D159</f><v /></c><c r="E160" s="9"><f>E159</f><v /></c><c r="F160" s="12" t="n" /><c r="G160" s="297" t="n" /><c r="H160" s="90"><f>H159</f><v /></c><c r="I160" s="90" t="n" /><c r="J160" s="298"><f>J159</f><v /></c><c r="K160" s="298"><f>K159</f><v /></c><c r="L160" s="298"><f>L159</f><v /></c><c r="M160" s="52" t="n" /><c r="N160" s="52" t="n" /><c r="O160" s="30"><f>O159</f><v /></c><c r="P160" s="299"><f>P159</f><v /></c><c r="Q160" s="10"><f>LEFT(P160,1)</f><v /></c><c r="R160" s="10"><f>RIGHT(P160,6)</f><v /></c><c r="S160" s="10"><f>+(Q160*60+R160)/(60*60)</f><v /></c><c r="T160" s="13"><f>+O160/S160</f><v /></c><c r="U160" s="300"><f>+(((N160-M160-O160)/O160)*100)</f><v /></c><c r="V160" s="301"><f>V159</f><v /></c><c r="W160" s="302"><f>W159</f><v /></c><c r="X160" s="302"><f>X159</f><v /></c><c r="Y160" s="52" t="n" /><c r="Z160" s="52" t="n" /><c r="AA160" s="106"><f>AA159</f><v /></c><c r="AB160" s="299"><f>AB159</f><v /></c><c r="AC160" s="10"><f>LEFT(AB160,2)</f><v /></c><c r="AD160" s="10"><f>RIGHT(AB160,6)</f><v /></c><c r="AE160" s="10"><f>+(AC160*60+AD160)/(60*60)</f><v /></c><c r="AF160" s="13"><f>+AA160/AE160</f><v /></c><c r="AG160" s="303"><f>+(((Z160-Y160-AA160)/AA160)*100)</f><v /></c><c r="AH160" s="301"><f>AH159</f><v /></c><c r="AI160" s="301"><f>AI159</f><v /></c><c r="AJ160" s="301"><f>AJ159</f><v /></c><c r="AK160" s="52"><f>+Z160</f><v /></c><c r="AL160" s="52" t="n" /><c r="AM160" s="111"><f>AM159</f><v /></c><c r="AN160" s="299"><f>AN159</f><v /></c><c r="AO160" s="10"><f>LEFT(AN160,2)</f><v /></c><c r="AP160" s="10"><f>RIGHT(AN160,6)</f><v /></c><c r="AQ160" s="10"><f>+(AO160*60+AP160)/(60*60)</f><v /></c><c r="AR160" s="13"><f>+AM160/AQ160</f><v /></c><c r="AS160" s="303"><f>+(((AL160-AK160-AM160)/AM160)*100)</f><v /></c><c r="AT160" s="64"><f>IF(I160&gt;=1,"NO CONFORME",IF(BK160="SIGDIFERENTES",BC160,BL160))</f><v /></c><c r="AU160" s="21"><f>B160&lt;=C160</f><v /></c><c r="AV160" s="21"><f>N160&lt;Y160</f><v /></c><c r="AW160" s="21"><f>Z160&lt;=AK160</f><v /></c><c r="AX160" s="21"><f>IF(I160&gt;=1,"Qcorrecto",IF(AND(AY160="aceptable",AZ160="aceptable",BA160="aceptable"),"Qcorrecto","Qincorrecto"))</f><v /></c><c r="AY160" s="21"><f>IF(AR160&lt;$AH$6,"error",IF(AR160&gt;$AH$6*1.1,"error","aceptable"))</f><v /></c><c r="AZ160" s="21"><f>IF(AF160&lt;$V$6,"error",IF(AF160&gt;$V$6*1.1,"error","aceptable"))</f><v /></c><c r="BA160" s="21"><f>IF(T160&lt;$J$6*0.9,"error",IF(T160&gt;$J$6,"error","aceptable"))</f><v /></c><c r="BB160" s="65"><f>(IF(ABS(U160)&lt;1.05,"CONFORME",IF(ABS(AG160)&lt;1.05,"CONFORME",IF(ABS(AS160)&lt;2.55,"CONFORME","NO CONFORME"))))</f><v /></c><c r="BC160" s="62"><f>(IF(ABS(U160)&gt;2.05,"NO CONFORME",IF(ABS(AG160)&gt;2.05,"NO CONFORME",IF(ABS(AS160)&gt;5.05,"NO CONFORME","CONFORME"))))</f><v /></c><c r="BD160" s="64"><f>SIGN(U160)</f><v /></c><c r="BE160" s="64"><f>SIGN(AG160)</f><v /></c><c r="BF160" s="64"><f>SIGN(AS160)</f><v /></c><c r="BG160" s="64"><f>CONCATENATE(BD160,BE160,BF160)</f><v /></c><c r="BH160" s="64"><f>IF(BG160="111","SI","SD")</f><v /></c><c r="BI160" s="64"><f>IF(BG160="-1-1-1","SI","SD")</f><v /></c><c r="BJ160" s="64"><f>OR(BH160="SI",BI160="SI")</f><v /></c><c r="BK160" s="64"><f>IF(BJ160=FALSE,"SIGDIFERENTES","SIGIGUALES")</f><v /></c><c r="BL160" s="21"><f>IF(BC160="NO CONFORME","NO CONFORME",IF(BB160="CONFORME","CONFORME","NO CONFORME"))</f><v /></c><c r="BM160" s="66" t="n" /><c r="BN160" s="66" t="n" /></row><row r="161" ht="15" customHeight="1"><c r="A161" s="55" t="n"><v>153</v></c><c r="B161" s="304"><f>B160</f><v /></c><c r="C161" s="304"><f>C160</f><v /></c><c r="D161" s="94"><f>D160</f><v /></c><c r="E161" s="95"><f>E160</f><v /></c><c r="F161" s="96" t="n" /><c r="G161" s="305" t="n" /><c r="H161" s="98"><f>H160</f><v /></c><c r="I161" s="98" t="n" /><c r="J161" s="306"><f>J160</f><v /></c><c r="K161" s="306"><f>K160</f><v /></c><c r="L161" s="306"><f>L160</f><v /></c><c r="M161" s="100" t="n" /><c r="N161" s="100" t="n" /><c r="O161" s="101"><f>O160</f><v /></c><c r="P161" s="307"><f>P160</f><v /></c><c r="Q161" s="10"><f>LEFT(P161,1)</f><v /></c><c r="R161" s="10"><f>RIGHT(P161,6)</f><v /></c><c r="S161" s="10"><f>+(Q161*60+R161)/(60*60)</f><v /></c><c r="T161" s="13"><f>+O161/S161</f><v /></c><c r="U161" s="300"><f>+(((N161-M161-O161)/O161)*100)</f><v /></c><c r="V161" s="308"><f>V160</f><v /></c><c r="W161" s="309"><f>W160</f><v /></c><c r="X161" s="309"><f>X160</f><v /></c><c r="Y161" s="100" t="n" /><c r="Z161" s="100" t="n" /><c r="AA161" s="109"><f>AA160</f><v /></c><c r="AB161" s="307"><f>AB160</f><v /></c><c r="AC161" s="10"><f>LEFT(AB161,2)</f><v /></c><c r="AD161" s="10"><f>RIGHT(AB161,6)</f><v /></c><c r="AE161" s="10"><f>+(AC161*60+AD161)/(60*60)</f><v /></c><c r="AF161" s="13"><f>+AA161/AE161</f><v /></c><c r="AG161" s="303"><f>+(((Z161-Y161-AA161)/AA161)*100)</f><v /></c><c r="AH161" s="308"><f>AH160</f><v /></c><c r="AI161" s="308"><f>AI160</f><v /></c><c r="AJ161" s="308"><f>AJ160</f><v /></c><c r="AK161" s="100"><f>+Z161</f><v /></c><c r="AL161" s="100" t="n" /><c r="AM161" s="112"><f>AM160</f><v /></c><c r="AN161" s="307"><f>AN160</f><v /></c><c r="AO161" s="10"><f>LEFT(AN161,2)</f><v /></c><c r="AP161" s="10"><f>RIGHT(AN161,6)</f><v /></c><c r="AQ161" s="10"><f>+(AO161*60+AP161)/(60*60)</f><v /></c><c r="AR161" s="13"><f>+AM161/AQ161</f><v /></c><c r="AS161" s="303"><f>+(((AL161-AK161-AM161)/AM161)*100)</f><v /></c><c r="AT161" s="64"><f>IF(I161&gt;=1,"NO CONFORME",IF(BK161="SIGDIFERENTES",BC161,BL161))</f><v /></c><c r="AU161" s="21"><f>B161&lt;=C161</f><v /></c><c r="AV161" s="21"><f>N161&lt;Y161</f><v /></c><c r="AW161" s="21"><f>Z161&lt;=AK161</f><v /></c><c r="AX161" s="21"><f>IF(I161&gt;=1,"Qcorrecto",IF(AND(AY161="aceptable",AZ161="aceptable",BA161="aceptable"),"Qcorrecto","Qincorrecto"))</f><v /></c><c r="AY161" s="21"><f>IF(AR161&lt;$AH$6,"error",IF(AR161&gt;$AH$6*1.1,"error","aceptable"))</f><v /></c><c r="AZ161" s="21"><f>IF(AF161&lt;$V$6,"error",IF(AF161&gt;$V$6*1.1,"error","aceptable"))</f><v /></c><c r="BA161" s="21"><f>IF(T161&lt;$J$6*0.9,"error",IF(T161&gt;$J$6,"error","aceptable"))</f><v /></c><c r="BB161" s="65"><f>(IF(ABS(U161)&lt;1.05,"CONFORME",IF(ABS(AG161)&lt;1.05,"CONFORME",IF(ABS(AS161)&lt;2.55,"CONFORME","NO CONFORME"))))</f><v /></c><c r="BC161" s="62"><f>(IF(ABS(U161)&gt;2.05,"NO CONFORME",IF(ABS(AG161)&gt;2.05,"NO CONFORME",IF(ABS(AS161)&gt;5.05,"NO CONFORME","CONFORME"))))</f><v /></c><c r="BD161" s="64"><f>SIGN(U161)</f><v /></c><c r="BE161" s="64"><f>SIGN(AG161)</f><v /></c><c r="BF161" s="64"><f>SIGN(AS161)</f><v /></c><c r="BG161" s="64"><f>CONCATENATE(BD161,BE161,BF161)</f><v /></c><c r="BH161" s="64"><f>IF(BG161="111","SI","SD")</f><v /></c><c r="BI161" s="64"><f>IF(BG161="-1-1-1","SI","SD")</f><v /></c><c r="BJ161" s="64"><f>OR(BH161="SI",BI161="SI")</f><v /></c><c r="BK161" s="64"><f>IF(BJ161=FALSE,"SIGDIFERENTES","SIGIGUALES")</f><v /></c><c r="BL161" s="21"><f>IF(BC161="NO CONFORME","NO CONFORME",IF(BB161="CONFORME","CONFORME","NO CONFORME"))</f><v /></c><c r="BM161" s="66" t="n" /><c r="BN161" s="66" t="n" /></row><row r="162" ht="15.75" customHeight="1" thickBot="1"><c r="A162" s="9" t="n"><v>154</v></c><c r="B162" s="296"><f>B161</f><v /></c><c r="C162" s="296"><f>C161</f><v /></c><c r="D162" s="11"><f>D161</f><v /></c><c r="E162" s="9"><f>E161</f><v /></c><c r="F162" s="12" t="n" /><c r="G162" s="297" t="n" /><c r="H162" s="90"><f>H161</f><v /></c><c r="I162" s="90" t="n" /><c r="J162" s="298"><f>J161</f><v /></c><c r="K162" s="298"><f>K161</f><v /></c><c r="L162" s="298"><f>L161</f><v /></c><c r="M162" s="52" t="n" /><c r="N162" s="52" t="n" /><c r="O162" s="30"><f>O161</f><v /></c><c r="P162" s="299"><f>P161</f><v /></c><c r="Q162" s="10"><f>LEFT(P162,1)</f><v /></c><c r="R162" s="10"><f>RIGHT(P162,6)</f><v /></c><c r="S162" s="10"><f>+(Q162*60+R162)/(60*60)</f><v /></c><c r="T162" s="13"><f>+O162/S162</f><v /></c><c r="U162" s="300"><f>+(((N162-M162-O162)/O162)*100)</f><v /></c><c r="V162" s="301"><f>V161</f><v /></c><c r="W162" s="302"><f>W161</f><v /></c><c r="X162" s="302"><f>X161</f><v /></c><c r="Y162" s="52" t="n" /><c r="Z162" s="52" t="n" /><c r="AA162" s="106"><f>AA161</f><v /></c><c r="AB162" s="299"><f>AB161</f><v /></c><c r="AC162" s="10"><f>LEFT(AB162,2)</f><v /></c><c r="AD162" s="10"><f>RIGHT(AB162,6)</f><v /></c><c r="AE162" s="10"><f>+(AC162*60+AD162)/(60*60)</f><v /></c><c r="AF162" s="13"><f>+AA162/AE162</f><v /></c><c r="AG162" s="303"><f>+(((Z162-Y162-AA162)/AA162)*100)</f><v /></c><c r="AH162" s="301"><f>AH161</f><v /></c><c r="AI162" s="301"><f>AI161</f><v /></c><c r="AJ162" s="301"><f>AJ161</f><v /></c><c r="AK162" s="52"><f>+Z162</f><v /></c><c r="AL162" s="52" t="n" /><c r="AM162" s="111"><f>AM161</f><v /></c><c r="AN162" s="299"><f>AN161</f><v /></c><c r="AO162" s="10"><f>LEFT(AN162,2)</f><v /></c><c r="AP162" s="10"><f>RIGHT(AN162,6)</f><v /></c><c r="AQ162" s="10"><f>+(AO162*60+AP162)/(60*60)</f><v /></c><c r="AR162" s="13"><f>+AM162/AQ162</f><v /></c><c r="AS162" s="303"><f>+(((AL162-AK162-AM162)/AM162)*100)</f><v /></c><c r="AT162" s="64"><f>IF(I162&gt;=1,"NO CONFORME",IF(BK162="SIGDIFERENTES",BC162,BL162))</f><v /></c><c r="AU162" s="21"><f>B162&lt;=C162</f><v /></c><c r="AV162" s="21"><f>N162&lt;Y162</f><v /></c><c r="AW162" s="21"><f>Z162&lt;=AK162</f><v /></c><c r="AX162" s="21"><f>IF(I162&gt;=1,"Qcorrecto",IF(AND(AY162="aceptable",AZ162="aceptable",BA162="aceptable"),"Qcorrecto","Qincorrecto"))</f><v /></c><c r="AY162" s="21"><f>IF(AR162&lt;$AH$6,"error",IF(AR162&gt;$AH$6*1.1,"error","aceptable"))</f><v /></c><c r="AZ162" s="21"><f>IF(AF162&lt;$V$6,"error",IF(AF162&gt;$V$6*1.1,"error","aceptable"))</f><v /></c><c r="BA162" s="21"><f>IF(T162&lt;$J$6*0.9,"error",IF(T162&gt;$J$6,"error","aceptable"))</f><v /></c><c r="BB162" s="65"><f>(IF(ABS(U162)&lt;1.05,"CONFORME",IF(ABS(AG162)&lt;1.05,"CONFORME",IF(ABS(AS162)&lt;2.55,"CONFORME","NO CONFORME"))))</f><v /></c><c r="BC162" s="62"><f>(IF(ABS(U162)&gt;2.05,"NO CONFORME",IF(ABS(AG162)&gt;2.05,"NO CONFORME",IF(ABS(AS162)&gt;5.05,"NO CONFORME","CONFORME"))))</f><v /></c><c r="BD162" s="64"><f>SIGN(U162)</f><v /></c><c r="BE162" s="64"><f>SIGN(AG162)</f><v /></c><c r="BF162" s="64"><f>SIGN(AS162)</f><v /></c><c r="BG162" s="64"><f>CONCATENATE(BD162,BE162,BF162)</f><v /></c><c r="BH162" s="64"><f>IF(BG162="111","SI","SD")</f><v /></c><c r="BI162" s="64"><f>IF(BG162="-1-1-1","SI","SD")</f><v /></c><c r="BJ162" s="64"><f>OR(BH162="SI",BI162="SI")</f><v /></c><c r="BK162" s="64"><f>IF(BJ162=FALSE,"SIGDIFERENTES","SIGIGUALES")</f><v /></c><c r="BL162" s="21"><f>IF(BC162="NO CONFORME","NO CONFORME",IF(BB162="CONFORME","CONFORME","NO CONFORME"))</f><v /></c><c r="BM162" s="66" t="n" /><c r="BN162" s="66" t="n" /></row><row r="163" ht="15" customHeight="1"><c r="A163" s="55" t="n"><v>155</v></c><c r="B163" s="304"><f>B162</f><v /></c><c r="C163" s="304"><f>C162</f><v /></c><c r="D163" s="94"><f>D162</f><v /></c><c r="E163" s="95"><f>E162</f><v /></c><c r="F163" s="96" t="n" /><c r="G163" s="305" t="n" /><c r="H163" s="98"><f>H162</f><v /></c><c r="I163" s="98" t="n" /><c r="J163" s="306"><f>J162</f><v /></c><c r="K163" s="306"><f>K162</f><v /></c><c r="L163" s="306"><f>L162</f><v /></c><c r="M163" s="100" t="n" /><c r="N163" s="100" t="n" /><c r="O163" s="101"><f>O162</f><v /></c><c r="P163" s="307"><f>P162</f><v /></c><c r="Q163" s="10"><f>LEFT(P163,1)</f><v /></c><c r="R163" s="10"><f>RIGHT(P163,6)</f><v /></c><c r="S163" s="10"><f>+(Q163*60+R163)/(60*60)</f><v /></c><c r="T163" s="13"><f>+O163/S163</f><v /></c><c r="U163" s="300"><f>+(((N163-M163-O163)/O163)*100)</f><v /></c><c r="V163" s="308"><f>V162</f><v /></c><c r="W163" s="309"><f>W162</f><v /></c><c r="X163" s="309"><f>X162</f><v /></c><c r="Y163" s="100" t="n" /><c r="Z163" s="100" t="n" /><c r="AA163" s="109"><f>AA162</f><v /></c><c r="AB163" s="307"><f>AB162</f><v /></c><c r="AC163" s="10"><f>LEFT(AB163,2)</f><v /></c><c r="AD163" s="10"><f>RIGHT(AB163,6)</f><v /></c><c r="AE163" s="10"><f>+(AC163*60+AD163)/(60*60)</f><v /></c><c r="AF163" s="13"><f>+AA163/AE163</f><v /></c><c r="AG163" s="303"><f>+(((Z163-Y163-AA163)/AA163)*100)</f><v /></c><c r="AH163" s="308"><f>AH162</f><v /></c><c r="AI163" s="308"><f>AI162</f><v /></c><c r="AJ163" s="308"><f>AJ162</f><v /></c><c r="AK163" s="100"><f>+Z163</f><v /></c><c r="AL163" s="100" t="n" /><c r="AM163" s="112"><f>AM162</f><v /></c><c r="AN163" s="307"><f>AN162</f><v /></c><c r="AO163" s="10"><f>LEFT(AN163,2)</f><v /></c><c r="AP163" s="10"><f>RIGHT(AN163,6)</f><v /></c><c r="AQ163" s="10"><f>+(AO163*60+AP163)/(60*60)</f><v /></c><c r="AR163" s="13"><f>+AM163/AQ163</f><v /></c><c r="AS163" s="303"><f>+(((AL163-AK163-AM163)/AM163)*100)</f><v /></c><c r="AT163" s="64"><f>IF(I163&gt;=1,"NO CONFORME",IF(BK163="SIGDIFERENTES",BC163,BL163))</f><v /></c><c r="AU163" s="21"><f>B163&lt;=C163</f><v /></c><c r="AV163" s="21"><f>N163&lt;Y163</f><v /></c><c r="AW163" s="21"><f>Z163&lt;=AK163</f><v /></c><c r="AX163" s="21"><f>IF(I163&gt;=1,"Qcorrecto",IF(AND(AY163="aceptable",AZ163="aceptable",BA163="aceptable"),"Qcorrecto","Qincorrecto"))</f><v /></c><c r="AY163" s="21"><f>IF(AR163&lt;$AH$6,"error",IF(AR163&gt;$AH$6*1.1,"error","aceptable"))</f><v /></c><c r="AZ163" s="21"><f>IF(AF163&lt;$V$6,"error",IF(AF163&gt;$V$6*1.1,"error","aceptable"))</f><v /></c><c r="BA163" s="21"><f>IF(T163&lt;$J$6*0.9,"error",IF(T163&gt;$J$6,"error","aceptable"))</f><v /></c><c r="BB163" s="65"><f>(IF(ABS(U163)&lt;1.05,"CONFORME",IF(ABS(AG163)&lt;1.05,"CONFORME",IF(ABS(AS163)&lt;2.55,"CONFORME","NO CONFORME"))))</f><v /></c><c r="BC163" s="62"><f>(IF(ABS(U163)&gt;2.05,"NO CONFORME",IF(ABS(AG163)&gt;2.05,"NO CONFORME",IF(ABS(AS163)&gt;5.05,"NO CONFORME","CONFORME"))))</f><v /></c><c r="BD163" s="64"><f>SIGN(U163)</f><v /></c><c r="BE163" s="64"><f>SIGN(AG163)</f><v /></c><c r="BF163" s="64"><f>SIGN(AS163)</f><v /></c><c r="BG163" s="64"><f>CONCATENATE(BD163,BE163,BF163)</f><v /></c><c r="BH163" s="64"><f>IF(BG163="111","SI","SD")</f><v /></c><c r="BI163" s="64"><f>IF(BG163="-1-1-1","SI","SD")</f><v /></c><c r="BJ163" s="64"><f>OR(BH163="SI",BI163="SI")</f><v /></c><c r="BK163" s="64"><f>IF(BJ163=FALSE,"SIGDIFERENTES","SIGIGUALES")</f><v /></c><c r="BL163" s="21"><f>IF(BC163="NO CONFORME","NO CONFORME",IF(BB163="CONFORME","CONFORME","NO CONFORME"))</f><v /></c><c r="BM163" s="66" t="n" /><c r="BN163" s="66" t="n" /></row><row r="164" ht="15.75" customHeight="1" thickBot="1"><c r="A164" s="9" t="n"><v>156</v></c><c r="B164" s="296"><f>B163</f><v /></c><c r="C164" s="296"><f>C163</f><v /></c><c r="D164" s="11"><f>D163</f><v /></c><c r="E164" s="9"><f>E163</f><v /></c><c r="F164" s="12" t="n" /><c r="G164" s="297" t="n" /><c r="H164" s="90"><f>H163</f><v /></c><c r="I164" s="90" t="n" /><c r="J164" s="298"><f>J163</f><v /></c><c r="K164" s="298"><f>K163</f><v /></c><c r="L164" s="298"><f>L163</f><v /></c><c r="M164" s="52" t="n" /><c r="N164" s="52" t="n" /><c r="O164" s="30"><f>O163</f><v /></c><c r="P164" s="299"><f>P163</f><v /></c><c r="Q164" s="10"><f>LEFT(P164,1)</f><v /></c><c r="R164" s="10"><f>RIGHT(P164,6)</f><v /></c><c r="S164" s="10"><f>+(Q164*60+R164)/(60*60)</f><v /></c><c r="T164" s="13"><f>+O164/S164</f><v /></c><c r="U164" s="300"><f>+(((N164-M164-O164)/O164)*100)</f><v /></c><c r="V164" s="301"><f>V163</f><v /></c><c r="W164" s="302"><f>W163</f><v /></c><c r="X164" s="302"><f>X163</f><v /></c><c r="Y164" s="52" t="n" /><c r="Z164" s="52" t="n" /><c r="AA164" s="106"><f>AA163</f><v /></c><c r="AB164" s="299"><f>AB163</f><v /></c><c r="AC164" s="10"><f>LEFT(AB164,2)</f><v /></c><c r="AD164" s="10"><f>RIGHT(AB164,6)</f><v /></c><c r="AE164" s="10"><f>+(AC164*60+AD164)/(60*60)</f><v /></c><c r="AF164" s="13"><f>+AA164/AE164</f><v /></c><c r="AG164" s="303"><f>+(((Z164-Y164-AA164)/AA164)*100)</f><v /></c><c r="AH164" s="301"><f>AH163</f><v /></c><c r="AI164" s="301"><f>AI163</f><v /></c><c r="AJ164" s="301"><f>AJ163</f><v /></c><c r="AK164" s="52"><f>+Z164</f><v /></c><c r="AL164" s="52" t="n" /><c r="AM164" s="111"><f>AM163</f><v /></c><c r="AN164" s="299"><f>AN163</f><v /></c><c r="AO164" s="10"><f>LEFT(AN164,2)</f><v /></c><c r="AP164" s="10"><f>RIGHT(AN164,6)</f><v /></c><c r="AQ164" s="10"><f>+(AO164*60+AP164)/(60*60)</f><v /></c><c r="AR164" s="13"><f>+AM164/AQ164</f><v /></c><c r="AS164" s="303"><f>+(((AL164-AK164-AM164)/AM164)*100)</f><v /></c><c r="AT164" s="64"><f>IF(I164&gt;=1,"NO CONFORME",IF(BK164="SIGDIFERENTES",BC164,BL164))</f><v /></c><c r="AU164" s="21"><f>B164&lt;=C164</f><v /></c><c r="AV164" s="21"><f>N164&lt;Y164</f><v /></c><c r="AW164" s="21"><f>Z164&lt;=AK164</f><v /></c><c r="AX164" s="21"><f>IF(I164&gt;=1,"Qcorrecto",IF(AND(AY164="aceptable",AZ164="aceptable",BA164="aceptable"),"Qcorrecto","Qincorrecto"))</f><v /></c><c r="AY164" s="21"><f>IF(AR164&lt;$AH$6,"error",IF(AR164&gt;$AH$6*1.1,"error","aceptable"))</f><v /></c><c r="AZ164" s="21"><f>IF(AF164&lt;$V$6,"error",IF(AF164&gt;$V$6*1.1,"error","aceptable"))</f><v /></c><c r="BA164" s="21"><f>IF(T164&lt;$J$6*0.9,"error",IF(T164&gt;$J$6,"error","aceptable"))</f><v /></c><c r="BB164" s="65"><f>(IF(ABS(U164)&lt;1.05,"CONFORME",IF(ABS(AG164)&lt;1.05,"CONFORME",IF(ABS(AS164)&lt;2.55,"CONFORME","NO CONFORME"))))</f><v /></c><c r="BC164" s="62"><f>(IF(ABS(U164)&gt;2.05,"NO CONFORME",IF(ABS(AG164)&gt;2.05,"NO CONFORME",IF(ABS(AS164)&gt;5.05,"NO CONFORME","CONFORME"))))</f><v /></c><c r="BD164" s="64"><f>SIGN(U164)</f><v /></c><c r="BE164" s="64"><f>SIGN(AG164)</f><v /></c><c r="BF164" s="64"><f>SIGN(AS164)</f><v /></c><c r="BG164" s="64"><f>CONCATENATE(BD164,BE164,BF164)</f><v /></c><c r="BH164" s="64"><f>IF(BG164="111","SI","SD")</f><v /></c><c r="BI164" s="64"><f>IF(BG164="-1-1-1","SI","SD")</f><v /></c><c r="BJ164" s="64"><f>OR(BH164="SI",BI164="SI")</f><v /></c><c r="BK164" s="64"><f>IF(BJ164=FALSE,"SIGDIFERENTES","SIGIGUALES")</f><v /></c><c r="BL164" s="21"><f>IF(BC164="NO CONFORME","NO CONFORME",IF(BB164="CONFORME","CONFORME","NO CONFORME"))</f><v /></c><c r="BM164" s="66" t="n" /><c r="BN164" s="66" t="n" /></row><row r="165" ht="15" customHeight="1"><c r="A165" s="55" t="n"><v>157</v></c><c r="B165" s="304"><f>B164</f><v /></c><c r="C165" s="304"><f>C164</f><v /></c><c r="D165" s="94"><f>D164</f><v /></c><c r="E165" s="95"><f>E164</f><v /></c><c r="F165" s="96" t="n" /><c r="G165" s="305" t="n" /><c r="H165" s="98"><f>H164</f><v /></c><c r="I165" s="98" t="n" /><c r="J165" s="306"><f>J164</f><v /></c><c r="K165" s="306"><f>K164</f><v /></c><c r="L165" s="306"><f>L164</f><v /></c><c r="M165" s="100" t="n" /><c r="N165" s="100" t="n" /><c r="O165" s="101"><f>O164</f><v /></c><c r="P165" s="307"><f>P164</f><v /></c><c r="Q165" s="10"><f>LEFT(P165,1)</f><v /></c><c r="R165" s="10"><f>RIGHT(P165,6)</f><v /></c><c r="S165" s="10"><f>+(Q165*60+R165)/(60*60)</f><v /></c><c r="T165" s="13"><f>+O165/S165</f><v /></c><c r="U165" s="300"><f>+(((N165-M165-O165)/O165)*100)</f><v /></c><c r="V165" s="308"><f>V164</f><v /></c><c r="W165" s="309"><f>W164</f><v /></c><c r="X165" s="309"><f>X164</f><v /></c><c r="Y165" s="100" t="n" /><c r="Z165" s="100" t="n" /><c r="AA165" s="109"><f>AA164</f><v /></c><c r="AB165" s="307"><f>AB164</f><v /></c><c r="AC165" s="10"><f>LEFT(AB165,2)</f><v /></c><c r="AD165" s="10"><f>RIGHT(AB165,6)</f><v /></c><c r="AE165" s="10"><f>+(AC165*60+AD165)/(60*60)</f><v /></c><c r="AF165" s="13"><f>+AA165/AE165</f><v /></c><c r="AG165" s="303"><f>+(((Z165-Y165-AA165)/AA165)*100)</f><v /></c><c r="AH165" s="308"><f>AH164</f><v /></c><c r="AI165" s="308"><f>AI164</f><v /></c><c r="AJ165" s="308"><f>AJ164</f><v /></c><c r="AK165" s="100"><f>+Z165</f><v /></c><c r="AL165" s="100" t="n" /><c r="AM165" s="112"><f>AM164</f><v /></c><c r="AN165" s="307"><f>AN164</f><v /></c><c r="AO165" s="10"><f>LEFT(AN165,2)</f><v /></c><c r="AP165" s="10"><f>RIGHT(AN165,6)</f><v /></c><c r="AQ165" s="10"><f>+(AO165*60+AP165)/(60*60)</f><v /></c><c r="AR165" s="13"><f>+AM165/AQ165</f><v /></c><c r="AS165" s="303"><f>+(((AL165-AK165-AM165)/AM165)*100)</f><v /></c><c r="AT165" s="64"><f>IF(I165&gt;=1,"NO CONFORME",IF(BK165="SIGDIFERENTES",BC165,BL165))</f><v /></c><c r="AU165" s="21"><f>B165&lt;=C165</f><v /></c><c r="AV165" s="21"><f>N165&lt;Y165</f><v /></c><c r="AW165" s="21"><f>Z165&lt;=AK165</f><v /></c><c r="AX165" s="21"><f>IF(I165&gt;=1,"Qcorrecto",IF(AND(AY165="aceptable",AZ165="aceptable",BA165="aceptable"),"Qcorrecto","Qincorrecto"))</f><v /></c><c r="AY165" s="21"><f>IF(AR165&lt;$AH$6,"error",IF(AR165&gt;$AH$6*1.1,"error","aceptable"))</f><v /></c><c r="AZ165" s="21"><f>IF(AF165&lt;$V$6,"error",IF(AF165&gt;$V$6*1.1,"error","aceptable"))</f><v /></c><c r="BA165" s="21"><f>IF(T165&lt;$J$6*0.9,"error",IF(T165&gt;$J$6,"error","aceptable"))</f><v /></c><c r="BB165" s="65"><f>(IF(ABS(U165)&lt;1.05,"CONFORME",IF(ABS(AG165)&lt;1.05,"CONFORME",IF(ABS(AS165)&lt;2.55,"CONFORME","NO CONFORME"))))</f><v /></c><c r="BC165" s="62"><f>(IF(ABS(U165)&gt;2.05,"NO CONFORME",IF(ABS(AG165)&gt;2.05,"NO CONFORME",IF(ABS(AS165)&gt;5.05,"NO CONFORME","CONFORME"))))</f><v /></c><c r="BD165" s="64"><f>SIGN(U165)</f><v /></c><c r="BE165" s="64"><f>SIGN(AG165)</f><v /></c><c r="BF165" s="64"><f>SIGN(AS165)</f><v /></c><c r="BG165" s="64"><f>CONCATENATE(BD165,BE165,BF165)</f><v /></c><c r="BH165" s="64"><f>IF(BG165="111","SI","SD")</f><v /></c><c r="BI165" s="64"><f>IF(BG165="-1-1-1","SI","SD")</f><v /></c><c r="BJ165" s="64"><f>OR(BH165="SI",BI165="SI")</f><v /></c><c r="BK165" s="64"><f>IF(BJ165=FALSE,"SIGDIFERENTES","SIGIGUALES")</f><v /></c><c r="BL165" s="21"><f>IF(BC165="NO CONFORME","NO CONFORME",IF(BB165="CONFORME","CONFORME","NO CONFORME"))</f><v /></c><c r="BM165" s="66" t="n" /><c r="BN165" s="66" t="n" /></row><row r="166" ht="15.75" customHeight="1" thickBot="1"><c r="A166" s="9" t="n"><v>158</v></c><c r="B166" s="296"><f>B165</f><v /></c><c r="C166" s="296"><f>C165</f><v /></c><c r="D166" s="11"><f>D165</f><v /></c><c r="E166" s="9"><f>E165</f><v /></c><c r="F166" s="12" t="n" /><c r="G166" s="297" t="n" /><c r="H166" s="90"><f>H165</f><v /></c><c r="I166" s="90" t="n" /><c r="J166" s="298"><f>J165</f><v /></c><c r="K166" s="298"><f>K165</f><v /></c><c r="L166" s="298"><f>L165</f><v /></c><c r="M166" s="52" t="n" /><c r="N166" s="52" t="n" /><c r="O166" s="30"><f>O165</f><v /></c><c r="P166" s="299"><f>P165</f><v /></c><c r="Q166" s="10"><f>LEFT(P166,1)</f><v /></c><c r="R166" s="10"><f>RIGHT(P166,6)</f><v /></c><c r="S166" s="10"><f>+(Q166*60+R166)/(60*60)</f><v /></c><c r="T166" s="13"><f>+O166/S166</f><v /></c><c r="U166" s="300"><f>+(((N166-M166-O166)/O166)*100)</f><v /></c><c r="V166" s="301"><f>V165</f><v /></c><c r="W166" s="302"><f>W165</f><v /></c><c r="X166" s="302"><f>X165</f><v /></c><c r="Y166" s="52" t="n" /><c r="Z166" s="52" t="n" /><c r="AA166" s="106"><f>AA165</f><v /></c><c r="AB166" s="299"><f>AB165</f><v /></c><c r="AC166" s="10"><f>LEFT(AB166,2)</f><v /></c><c r="AD166" s="10"><f>RIGHT(AB166,6)</f><v /></c><c r="AE166" s="10"><f>+(AC166*60+AD166)/(60*60)</f><v /></c><c r="AF166" s="13"><f>+AA166/AE166</f><v /></c><c r="AG166" s="303"><f>+(((Z166-Y166-AA166)/AA166)*100)</f><v /></c><c r="AH166" s="301"><f>AH165</f><v /></c><c r="AI166" s="301"><f>AI165</f><v /></c><c r="AJ166" s="301"><f>AJ165</f><v /></c><c r="AK166" s="52"><f>+Z166</f><v /></c><c r="AL166" s="52" t="n" /><c r="AM166" s="111"><f>AM165</f><v /></c><c r="AN166" s="299"><f>AN165</f><v /></c><c r="AO166" s="10"><f>LEFT(AN166,2)</f><v /></c><c r="AP166" s="10"><f>RIGHT(AN166,6)</f><v /></c><c r="AQ166" s="10"><f>+(AO166*60+AP166)/(60*60)</f><v /></c><c r="AR166" s="13"><f>+AM166/AQ166</f><v /></c><c r="AS166" s="303"><f>+(((AL166-AK166-AM166)/AM166)*100)</f><v /></c><c r="AT166" s="64"><f>IF(I166&gt;=1,"NO CONFORME",IF(BK166="SIGDIFERENTES",BC166,BL166))</f><v /></c><c r="AU166" s="21"><f>B166&lt;=C166</f><v /></c><c r="AV166" s="21"><f>N166&lt;Y166</f><v /></c><c r="AW166" s="21"><f>Z166&lt;=AK166</f><v /></c><c r="AX166" s="21"><f>IF(I166&gt;=1,"Qcorrecto",IF(AND(AY166="aceptable",AZ166="aceptable",BA166="aceptable"),"Qcorrecto","Qincorrecto"))</f><v /></c><c r="AY166" s="21"><f>IF(AR166&lt;$AH$6,"error",IF(AR166&gt;$AH$6*1.1,"error","aceptable"))</f><v /></c><c r="AZ166" s="21"><f>IF(AF166&lt;$V$6,"error",IF(AF166&gt;$V$6*1.1,"error","aceptable"))</f><v /></c><c r="BA166" s="21"><f>IF(T166&lt;$J$6*0.9,"error",IF(T166&gt;$J$6,"error","aceptable"))</f><v /></c><c r="BB166" s="65"><f>(IF(ABS(U166)&lt;1.05,"CONFORME",IF(ABS(AG166)&lt;1.05,"CONFORME",IF(ABS(AS166)&lt;2.55,"CONFORME","NO CONFORME"))))</f><v /></c><c r="BC166" s="62"><f>(IF(ABS(U166)&gt;2.05,"NO CONFORME",IF(ABS(AG166)&gt;2.05,"NO CONFORME",IF(ABS(AS166)&gt;5.05,"NO CONFORME","CONFORME"))))</f><v /></c><c r="BD166" s="64"><f>SIGN(U166)</f><v /></c><c r="BE166" s="64"><f>SIGN(AG166)</f><v /></c><c r="BF166" s="64"><f>SIGN(AS166)</f><v /></c><c r="BG166" s="64"><f>CONCATENATE(BD166,BE166,BF166)</f><v /></c><c r="BH166" s="64"><f>IF(BG166="111","SI","SD")</f><v /></c><c r="BI166" s="64"><f>IF(BG166="-1-1-1","SI","SD")</f><v /></c><c r="BJ166" s="64"><f>OR(BH166="SI",BI166="SI")</f><v /></c><c r="BK166" s="64"><f>IF(BJ166=FALSE,"SIGDIFERENTES","SIGIGUALES")</f><v /></c><c r="BL166" s="21"><f>IF(BC166="NO CONFORME","NO CONFORME",IF(BB166="CONFORME","CONFORME","NO CONFORME"))</f><v /></c><c r="BM166" s="66" t="n" /><c r="BN166" s="66" t="n" /></row><row r="167" ht="15" customHeight="1"><c r="A167" s="55" t="n"><v>159</v></c><c r="B167" s="304"><f>B166</f><v /></c><c r="C167" s="304"><f>C166</f><v /></c><c r="D167" s="94"><f>D166</f><v /></c><c r="E167" s="95"><f>E166</f><v /></c><c r="F167" s="96" t="n" /><c r="G167" s="305" t="n" /><c r="H167" s="98"><f>H166</f><v /></c><c r="I167" s="98" t="n" /><c r="J167" s="306"><f>J166</f><v /></c><c r="K167" s="306"><f>K166</f><v /></c><c r="L167" s="306"><f>L166</f><v /></c><c r="M167" s="100" t="n" /><c r="N167" s="100" t="n" /><c r="O167" s="101"><f>O166</f><v /></c><c r="P167" s="307"><f>P166</f><v /></c><c r="Q167" s="10"><f>LEFT(P167,1)</f><v /></c><c r="R167" s="10"><f>RIGHT(P167,6)</f><v /></c><c r="S167" s="10"><f>+(Q167*60+R167)/(60*60)</f><v /></c><c r="T167" s="13"><f>+O167/S167</f><v /></c><c r="U167" s="300"><f>+(((N167-M167-O167)/O167)*100)</f><v /></c><c r="V167" s="308"><f>V166</f><v /></c><c r="W167" s="309"><f>W166</f><v /></c><c r="X167" s="309"><f>X166</f><v /></c><c r="Y167" s="100" t="n" /><c r="Z167" s="100" t="n" /><c r="AA167" s="109"><f>AA166</f><v /></c><c r="AB167" s="307"><f>AB166</f><v /></c><c r="AC167" s="10"><f>LEFT(AB167,2)</f><v /></c><c r="AD167" s="10"><f>RIGHT(AB167,6)</f><v /></c><c r="AE167" s="10"><f>+(AC167*60+AD167)/(60*60)</f><v /></c><c r="AF167" s="13"><f>+AA167/AE167</f><v /></c><c r="AG167" s="303"><f>+(((Z167-Y167-AA167)/AA167)*100)</f><v /></c><c r="AH167" s="308"><f>AH166</f><v /></c><c r="AI167" s="308"><f>AI166</f><v /></c><c r="AJ167" s="308"><f>AJ166</f><v /></c><c r="AK167" s="100"><f>+Z167</f><v /></c><c r="AL167" s="100" t="n" /><c r="AM167" s="112"><f>AM166</f><v /></c><c r="AN167" s="307"><f>AN166</f><v /></c><c r="AO167" s="10"><f>LEFT(AN167,2)</f><v /></c><c r="AP167" s="10"><f>RIGHT(AN167,6)</f><v /></c><c r="AQ167" s="10"><f>+(AO167*60+AP167)/(60*60)</f><v /></c><c r="AR167" s="13"><f>+AM167/AQ167</f><v /></c><c r="AS167" s="303"><f>+(((AL167-AK167-AM167)/AM167)*100)</f><v /></c><c r="AT167" s="64"><f>IF(I167&gt;=1,"NO CONFORME",IF(BK167="SIGDIFERENTES",BC167,BL167))</f><v /></c><c r="AU167" s="21"><f>B167&lt;=C167</f><v /></c><c r="AV167" s="21"><f>N167&lt;Y167</f><v /></c><c r="AW167" s="21"><f>Z167&lt;=AK167</f><v /></c><c r="AX167" s="21"><f>IF(I167&gt;=1,"Qcorrecto",IF(AND(AY167="aceptable",AZ167="aceptable",BA167="aceptable"),"Qcorrecto","Qincorrecto"))</f><v /></c><c r="AY167" s="21"><f>IF(AR167&lt;$AH$6,"error",IF(AR167&gt;$AH$6*1.1,"error","aceptable"))</f><v /></c><c r="AZ167" s="21"><f>IF(AF167&lt;$V$6,"error",IF(AF167&gt;$V$6*1.1,"error","aceptable"))</f><v /></c><c r="BA167" s="21"><f>IF(T167&lt;$J$6*0.9,"error",IF(T167&gt;$J$6,"error","aceptable"))</f><v /></c><c r="BB167" s="65"><f>(IF(ABS(U167)&lt;1.05,"CONFORME",IF(ABS(AG167)&lt;1.05,"CONFORME",IF(ABS(AS167)&lt;2.55,"CONFORME","NO CONFORME"))))</f><v /></c><c r="BC167" s="62"><f>(IF(ABS(U167)&gt;2.05,"NO CONFORME",IF(ABS(AG167)&gt;2.05,"NO CONFORME",IF(ABS(AS167)&gt;5.05,"NO CONFORME","CONFORME"))))</f><v /></c><c r="BD167" s="64"><f>SIGN(U167)</f><v /></c><c r="BE167" s="64"><f>SIGN(AG167)</f><v /></c><c r="BF167" s="64"><f>SIGN(AS167)</f><v /></c><c r="BG167" s="64"><f>CONCATENATE(BD167,BE167,BF167)</f><v /></c><c r="BH167" s="64"><f>IF(BG167="111","SI","SD")</f><v /></c><c r="BI167" s="64"><f>IF(BG167="-1-1-1","SI","SD")</f><v /></c><c r="BJ167" s="64"><f>OR(BH167="SI",BI167="SI")</f><v /></c><c r="BK167" s="64"><f>IF(BJ167=FALSE,"SIGDIFERENTES","SIGIGUALES")</f><v /></c><c r="BL167" s="21"><f>IF(BC167="NO CONFORME","NO CONFORME",IF(BB167="CONFORME","CONFORME","NO CONFORME"))</f><v /></c><c r="BM167" s="66" t="n" /><c r="BN167" s="66" t="n" /></row><row r="168" ht="15.75" customHeight="1" thickBot="1"><c r="A168" s="9" t="n"><v>160</v></c><c r="B168" s="296"><f>B167</f><v /></c><c r="C168" s="296"><f>C167</f><v /></c><c r="D168" s="11"><f>D167</f><v /></c><c r="E168" s="9"><f>E167</f><v /></c><c r="F168" s="12" t="n" /><c r="G168" s="297" t="n" /><c r="H168" s="90"><f>H167</f><v /></c><c r="I168" s="90" t="n" /><c r="J168" s="298"><f>J167</f><v /></c><c r="K168" s="298"><f>K167</f><v /></c><c r="L168" s="298"><f>L167</f><v /></c><c r="M168" s="52" t="n" /><c r="N168" s="52" t="n" /><c r="O168" s="30"><f>O167</f><v /></c><c r="P168" s="299"><f>P167</f><v /></c><c r="Q168" s="10"><f>LEFT(P168,1)</f><v /></c><c r="R168" s="10"><f>RIGHT(P168,6)</f><v /></c><c r="S168" s="10"><f>+(Q168*60+R168)/(60*60)</f><v /></c><c r="T168" s="13"><f>+O168/S168</f><v /></c><c r="U168" s="300"><f>+(((N168-M168-O168)/O168)*100)</f><v /></c><c r="V168" s="301"><f>V167</f><v /></c><c r="W168" s="302"><f>W167</f><v /></c><c r="X168" s="302"><f>X167</f><v /></c><c r="Y168" s="52" t="n" /><c r="Z168" s="52" t="n" /><c r="AA168" s="106"><f>AA167</f><v /></c><c r="AB168" s="299"><f>AB167</f><v /></c><c r="AC168" s="10"><f>LEFT(AB168,2)</f><v /></c><c r="AD168" s="10"><f>RIGHT(AB168,6)</f><v /></c><c r="AE168" s="10"><f>+(AC168*60+AD168)/(60*60)</f><v /></c><c r="AF168" s="13"><f>+AA168/AE168</f><v /></c><c r="AG168" s="303"><f>+(((Z168-Y168-AA168)/AA168)*100)</f><v /></c><c r="AH168" s="301"><f>AH167</f><v /></c><c r="AI168" s="301"><f>AI167</f><v /></c><c r="AJ168" s="301"><f>AJ167</f><v /></c><c r="AK168" s="52"><f>+Z168</f><v /></c><c r="AL168" s="52" t="n" /><c r="AM168" s="111"><f>AM167</f><v /></c><c r="AN168" s="299"><f>AN167</f><v /></c><c r="AO168" s="10"><f>LEFT(AN168,2)</f><v /></c><c r="AP168" s="10"><f>RIGHT(AN168,6)</f><v /></c><c r="AQ168" s="10"><f>+(AO168*60+AP168)/(60*60)</f><v /></c><c r="AR168" s="13"><f>+AM168/AQ168</f><v /></c><c r="AS168" s="303"><f>+(((AL168-AK168-AM168)/AM168)*100)</f><v /></c><c r="AT168" s="64"><f>IF(I168&gt;=1,"NO CONFORME",IF(BK168="SIGDIFERENTES",BC168,BL168))</f><v /></c><c r="AU168" s="21"><f>B168&lt;=C168</f><v /></c><c r="AV168" s="21"><f>N168&lt;Y168</f><v /></c><c r="AW168" s="21"><f>Z168&lt;=AK168</f><v /></c><c r="AX168" s="21"><f>IF(I168&gt;=1,"Qcorrecto",IF(AND(AY168="aceptable",AZ168="aceptable",BA168="aceptable"),"Qcorrecto","Qincorrecto"))</f><v /></c><c r="AY168" s="21"><f>IF(AR168&lt;$AH$6,"error",IF(AR168&gt;$AH$6*1.1,"error","aceptable"))</f><v /></c><c r="AZ168" s="21"><f>IF(AF168&lt;$V$6,"error",IF(AF168&gt;$V$6*1.1,"error","aceptable"))</f><v /></c><c r="BA168" s="21"><f>IF(T168&lt;$J$6*0.9,"error",IF(T168&gt;$J$6,"error","aceptable"))</f><v /></c><c r="BB168" s="65"><f>(IF(ABS(U168)&lt;1.05,"CONFORME",IF(ABS(AG168)&lt;1.05,"CONFORME",IF(ABS(AS168)&lt;2.55,"CONFORME","NO CONFORME"))))</f><v /></c><c r="BC168" s="62"><f>(IF(ABS(U168)&gt;2.05,"NO CONFORME",IF(ABS(AG168)&gt;2.05,"NO CONFORME",IF(ABS(AS168)&gt;5.05,"NO CONFORME","CONFORME"))))</f><v /></c><c r="BD168" s="64"><f>SIGN(U168)</f><v /></c><c r="BE168" s="64"><f>SIGN(AG168)</f><v /></c><c r="BF168" s="64"><f>SIGN(AS168)</f><v /></c><c r="BG168" s="64"><f>CONCATENATE(BD168,BE168,BF168)</f><v /></c><c r="BH168" s="64"><f>IF(BG168="111","SI","SD")</f><v /></c><c r="BI168" s="64"><f>IF(BG168="-1-1-1","SI","SD")</f><v /></c><c r="BJ168" s="64"><f>OR(BH168="SI",BI168="SI")</f><v /></c><c r="BK168" s="64"><f>IF(BJ168=FALSE,"SIGDIFERENTES","SIGIGUALES")</f><v /></c><c r="BL168" s="21"><f>IF(BC168="NO CONFORME","NO CONFORME",IF(BB168="CONFORME","CONFORME","NO CONFORME"))</f><v /></c><c r="BM168" s="66" t="n" /><c r="BN168" s="66" t="n" /></row><row r="169" ht="15" customHeight="1"><c r="A169" s="55" t="n"><v>161</v></c><c r="B169" s="304"><f>B168</f><v /></c><c r="C169" s="304"><f>C168</f><v /></c><c r="D169" s="94"><f>D168</f><v /></c><c r="E169" s="95"><f>E168</f><v /></c><c r="F169" s="96" t="n" /><c r="G169" s="305" t="n" /><c r="H169" s="98"><f>H168</f><v /></c><c r="I169" s="98" t="n" /><c r="J169" s="306"><f>J168</f><v /></c><c r="K169" s="306"><f>K168</f><v /></c><c r="L169" s="306"><f>L168</f><v /></c><c r="M169" s="100" t="n" /><c r="N169" s="100" t="n" /><c r="O169" s="101"><f>O168</f><v /></c><c r="P169" s="307"><f>P168</f><v /></c><c r="Q169" s="10"><f>LEFT(P169,1)</f><v /></c><c r="R169" s="10"><f>RIGHT(P169,6)</f><v /></c><c r="S169" s="10"><f>+(Q169*60+R169)/(60*60)</f><v /></c><c r="T169" s="13"><f>+O169/S169</f><v /></c><c r="U169" s="300"><f>+(((N169-M169-O169)/O169)*100)</f><v /></c><c r="V169" s="308"><f>V168</f><v /></c><c r="W169" s="309"><f>W168</f><v /></c><c r="X169" s="309"><f>X168</f><v /></c><c r="Y169" s="100" t="n" /><c r="Z169" s="100" t="n" /><c r="AA169" s="109"><f>AA168</f><v /></c><c r="AB169" s="307"><f>AB168</f><v /></c><c r="AC169" s="10"><f>LEFT(AB169,2)</f><v /></c><c r="AD169" s="10"><f>RIGHT(AB169,6)</f><v /></c><c r="AE169" s="10"><f>+(AC169*60+AD169)/(60*60)</f><v /></c><c r="AF169" s="13"><f>+AA169/AE169</f><v /></c><c r="AG169" s="303"><f>+(((Z169-Y169-AA169)/AA169)*100)</f><v /></c><c r="AH169" s="308"><f>AH168</f><v /></c><c r="AI169" s="308"><f>AI168</f><v /></c><c r="AJ169" s="308"><f>AJ168</f><v /></c><c r="AK169" s="100"><f>+Z169</f><v /></c><c r="AL169" s="100" t="n" /><c r="AM169" s="112"><f>AM168</f><v /></c><c r="AN169" s="307"><f>AN168</f><v /></c><c r="AO169" s="10"><f>LEFT(AN169,2)</f><v /></c><c r="AP169" s="10"><f>RIGHT(AN169,6)</f><v /></c><c r="AQ169" s="10"><f>+(AO169*60+AP169)/(60*60)</f><v /></c><c r="AR169" s="13"><f>+AM169/AQ169</f><v /></c><c r="AS169" s="303"><f>+(((AL169-AK169-AM169)/AM169)*100)</f><v /></c><c r="AT169" s="64"><f>IF(I169&gt;=1,"NO CONFORME",IF(BK169="SIGDIFERENTES",BC169,BL169))</f><v /></c><c r="AU169" s="21"><f>B169&lt;=C169</f><v /></c><c r="AV169" s="21"><f>N169&lt;Y169</f><v /></c><c r="AW169" s="21"><f>Z169&lt;=AK169</f><v /></c><c r="AX169" s="21"><f>IF(I169&gt;=1,"Qcorrecto",IF(AND(AY169="aceptable",AZ169="aceptable",BA169="aceptable"),"Qcorrecto","Qincorrecto"))</f><v /></c><c r="AY169" s="21"><f>IF(AR169&lt;$AH$6,"error",IF(AR169&gt;$AH$6*1.1,"error","aceptable"))</f><v /></c><c r="AZ169" s="21"><f>IF(AF169&lt;$V$6,"error",IF(AF169&gt;$V$6*1.1,"error","aceptable"))</f><v /></c><c r="BA169" s="21"><f>IF(T169&lt;$J$6*0.9,"error",IF(T169&gt;$J$6,"error","aceptable"))</f><v /></c><c r="BB169" s="65"><f>(IF(ABS(U169)&lt;1.05,"CONFORME",IF(ABS(AG169)&lt;1.05,"CONFORME",IF(ABS(AS169)&lt;2.55,"CONFORME","NO CONFORME"))))</f><v /></c><c r="BC169" s="62"><f>(IF(ABS(U169)&gt;2.05,"NO CONFORME",IF(ABS(AG169)&gt;2.05,"NO CONFORME",IF(ABS(AS169)&gt;5.05,"NO CONFORME","CONFORME"))))</f><v /></c><c r="BD169" s="64"><f>SIGN(U169)</f><v /></c><c r="BE169" s="64"><f>SIGN(AG169)</f><v /></c><c r="BF169" s="64"><f>SIGN(AS169)</f><v /></c><c r="BG169" s="64"><f>CONCATENATE(BD169,BE169,BF169)</f><v /></c><c r="BH169" s="64"><f>IF(BG169="111","SI","SD")</f><v /></c><c r="BI169" s="64"><f>IF(BG169="-1-1-1","SI","SD")</f><v /></c><c r="BJ169" s="64"><f>OR(BH169="SI",BI169="SI")</f><v /></c><c r="BK169" s="64"><f>IF(BJ169=FALSE,"SIGDIFERENTES","SIGIGUALES")</f><v /></c><c r="BL169" s="21"><f>IF(BC169="NO CONFORME","NO CONFORME",IF(BB169="CONFORME","CONFORME","NO CONFORME"))</f><v /></c><c r="BM169" s="66" t="n" /><c r="BN169" s="66" t="n" /></row><row r="170" ht="15.75" customHeight="1" thickBot="1"><c r="A170" s="9" t="n"><v>162</v></c><c r="B170" s="296"><f>B169</f><v /></c><c r="C170" s="296"><f>C169</f><v /></c><c r="D170" s="11"><f>D169</f><v /></c><c r="E170" s="9"><f>E169</f><v /></c><c r="F170" s="12" t="n" /><c r="G170" s="297" t="n" /><c r="H170" s="90"><f>H169</f><v /></c><c r="I170" s="90" t="n" /><c r="J170" s="298"><f>J169</f><v /></c><c r="K170" s="298"><f>K169</f><v /></c><c r="L170" s="298"><f>L169</f><v /></c><c r="M170" s="52" t="n" /><c r="N170" s="52" t="n" /><c r="O170" s="30"><f>O169</f><v /></c><c r="P170" s="299"><f>P169</f><v /></c><c r="Q170" s="10"><f>LEFT(P170,1)</f><v /></c><c r="R170" s="10"><f>RIGHT(P170,6)</f><v /></c><c r="S170" s="10"><f>+(Q170*60+R170)/(60*60)</f><v /></c><c r="T170" s="13"><f>+O170/S170</f><v /></c><c r="U170" s="300"><f>+(((N170-M170-O170)/O170)*100)</f><v /></c><c r="V170" s="301"><f>V169</f><v /></c><c r="W170" s="302"><f>W169</f><v /></c><c r="X170" s="302"><f>X169</f><v /></c><c r="Y170" s="52" t="n" /><c r="Z170" s="52" t="n" /><c r="AA170" s="106"><f>AA169</f><v /></c><c r="AB170" s="299"><f>AB169</f><v /></c><c r="AC170" s="10"><f>LEFT(AB170,2)</f><v /></c><c r="AD170" s="10"><f>RIGHT(AB170,6)</f><v /></c><c r="AE170" s="10"><f>+(AC170*60+AD170)/(60*60)</f><v /></c><c r="AF170" s="13"><f>+AA170/AE170</f><v /></c><c r="AG170" s="303"><f>+(((Z170-Y170-AA170)/AA170)*100)</f><v /></c><c r="AH170" s="301"><f>AH169</f><v /></c><c r="AI170" s="301"><f>AI169</f><v /></c><c r="AJ170" s="301"><f>AJ169</f><v /></c><c r="AK170" s="52"><f>+Z170</f><v /></c><c r="AL170" s="52" t="n" /><c r="AM170" s="111"><f>AM169</f><v /></c><c r="AN170" s="299"><f>AN169</f><v /></c><c r="AO170" s="10"><f>LEFT(AN170,2)</f><v /></c><c r="AP170" s="10"><f>RIGHT(AN170,6)</f><v /></c><c r="AQ170" s="10"><f>+(AO170*60+AP170)/(60*60)</f><v /></c><c r="AR170" s="13"><f>+AM170/AQ170</f><v /></c><c r="AS170" s="303"><f>+(((AL170-AK170-AM170)/AM170)*100)</f><v /></c><c r="AT170" s="64"><f>IF(I170&gt;=1,"NO CONFORME",IF(BK170="SIGDIFERENTES",BC170,BL170))</f><v /></c><c r="AU170" s="21"><f>B170&lt;=C170</f><v /></c><c r="AV170" s="21"><f>N170&lt;Y170</f><v /></c><c r="AW170" s="21"><f>Z170&lt;=AK170</f><v /></c><c r="AX170" s="21"><f>IF(I170&gt;=1,"Qcorrecto",IF(AND(AY170="aceptable",AZ170="aceptable",BA170="aceptable"),"Qcorrecto","Qincorrecto"))</f><v /></c><c r="AY170" s="21"><f>IF(AR170&lt;$AH$6,"error",IF(AR170&gt;$AH$6*1.1,"error","aceptable"))</f><v /></c><c r="AZ170" s="21"><f>IF(AF170&lt;$V$6,"error",IF(AF170&gt;$V$6*1.1,"error","aceptable"))</f><v /></c><c r="BA170" s="21"><f>IF(T170&lt;$J$6*0.9,"error",IF(T170&gt;$J$6,"error","aceptable"))</f><v /></c><c r="BB170" s="65"><f>(IF(ABS(U170)&lt;1.05,"CONFORME",IF(ABS(AG170)&lt;1.05,"CONFORME",IF(ABS(AS170)&lt;2.55,"CONFORME","NO CONFORME"))))</f><v /></c><c r="BC170" s="62"><f>(IF(ABS(U170)&gt;2.05,"NO CONFORME",IF(ABS(AG170)&gt;2.05,"NO CONFORME",IF(ABS(AS170)&gt;5.05,"NO CONFORME","CONFORME"))))</f><v /></c><c r="BD170" s="64"><f>SIGN(U170)</f><v /></c><c r="BE170" s="64"><f>SIGN(AG170)</f><v /></c><c r="BF170" s="64"><f>SIGN(AS170)</f><v /></c><c r="BG170" s="64"><f>CONCATENATE(BD170,BE170,BF170)</f><v /></c><c r="BH170" s="64"><f>IF(BG170="111","SI","SD")</f><v /></c><c r="BI170" s="64"><f>IF(BG170="-1-1-1","SI","SD")</f><v /></c><c r="BJ170" s="64"><f>OR(BH170="SI",BI170="SI")</f><v /></c><c r="BK170" s="64"><f>IF(BJ170=FALSE,"SIGDIFERENTES","SIGIGUALES")</f><v /></c><c r="BL170" s="21"><f>IF(BC170="NO CONFORME","NO CONFORME",IF(BB170="CONFORME","CONFORME","NO CONFORME"))</f><v /></c><c r="BM170" s="66" t="n" /><c r="BN170" s="66" t="n" /></row><row r="171" ht="15" customHeight="1"><c r="A171" s="55" t="n"><v>163</v></c><c r="B171" s="304"><f>B170</f><v /></c><c r="C171" s="304"><f>C170</f><v /></c><c r="D171" s="94"><f>D170</f><v /></c><c r="E171" s="95"><f>E170</f><v /></c><c r="F171" s="96" t="n" /><c r="G171" s="305" t="n" /><c r="H171" s="98"><f>H170</f><v /></c><c r="I171" s="98" t="n" /><c r="J171" s="306"><f>J170</f><v /></c><c r="K171" s="306"><f>K170</f><v /></c><c r="L171" s="306"><f>L170</f><v /></c><c r="M171" s="100" t="n" /><c r="N171" s="100" t="n" /><c r="O171" s="101"><f>O170</f><v /></c><c r="P171" s="307"><f>P170</f><v /></c><c r="Q171" s="10"><f>LEFT(P171,1)</f><v /></c><c r="R171" s="10"><f>RIGHT(P171,6)</f><v /></c><c r="S171" s="10"><f>+(Q171*60+R171)/(60*60)</f><v /></c><c r="T171" s="13"><f>+O171/S171</f><v /></c><c r="U171" s="300"><f>+(((N171-M171-O171)/O171)*100)</f><v /></c><c r="V171" s="308"><f>V170</f><v /></c><c r="W171" s="309"><f>W170</f><v /></c><c r="X171" s="309"><f>X170</f><v /></c><c r="Y171" s="100" t="n" /><c r="Z171" s="100" t="n" /><c r="AA171" s="109"><f>AA170</f><v /></c><c r="AB171" s="307"><f>AB170</f><v /></c><c r="AC171" s="10"><f>LEFT(AB171,2)</f><v /></c><c r="AD171" s="10"><f>RIGHT(AB171,6)</f><v /></c><c r="AE171" s="10"><f>+(AC171*60+AD171)/(60*60)</f><v /></c><c r="AF171" s="13"><f>+AA171/AE171</f><v /></c><c r="AG171" s="303"><f>+(((Z171-Y171-AA171)/AA171)*100)</f><v /></c><c r="AH171" s="308"><f>AH170</f><v /></c><c r="AI171" s="308"><f>AI170</f><v /></c><c r="AJ171" s="308"><f>AJ170</f><v /></c><c r="AK171" s="100"><f>+Z171</f><v /></c><c r="AL171" s="100" t="n" /><c r="AM171" s="112"><f>AM170</f><v /></c><c r="AN171" s="307"><f>AN170</f><v /></c><c r="AO171" s="10"><f>LEFT(AN171,2)</f><v /></c><c r="AP171" s="10"><f>RIGHT(AN171,6)</f><v /></c><c r="AQ171" s="10"><f>+(AO171*60+AP171)/(60*60)</f><v /></c><c r="AR171" s="13"><f>+AM171/AQ171</f><v /></c><c r="AS171" s="303"><f>+(((AL171-AK171-AM171)/AM171)*100)</f><v /></c><c r="AT171" s="64"><f>IF(I171&gt;=1,"NO CONFORME",IF(BK171="SIGDIFERENTES",BC171,BL171))</f><v /></c><c r="AU171" s="21"><f>B171&lt;=C171</f><v /></c><c r="AV171" s="21"><f>N171&lt;Y171</f><v /></c><c r="AW171" s="21"><f>Z171&lt;=AK171</f><v /></c><c r="AX171" s="21"><f>IF(I171&gt;=1,"Qcorrecto",IF(AND(AY171="aceptable",AZ171="aceptable",BA171="aceptable"),"Qcorrecto","Qincorrecto"))</f><v /></c><c r="AY171" s="21"><f>IF(AR171&lt;$AH$6,"error",IF(AR171&gt;$AH$6*1.1,"error","aceptable"))</f><v /></c><c r="AZ171" s="21"><f>IF(AF171&lt;$V$6,"error",IF(AF171&gt;$V$6*1.1,"error","aceptable"))</f><v /></c><c r="BA171" s="21"><f>IF(T171&lt;$J$6*0.9,"error",IF(T171&gt;$J$6,"error","aceptable"))</f><v /></c><c r="BB171" s="65"><f>(IF(ABS(U171)&lt;1.05,"CONFORME",IF(ABS(AG171)&lt;1.05,"CONFORME",IF(ABS(AS171)&lt;2.55,"CONFORME","NO CONFORME"))))</f><v /></c><c r="BC171" s="62"><f>(IF(ABS(U171)&gt;2.05,"NO CONFORME",IF(ABS(AG171)&gt;2.05,"NO CONFORME",IF(ABS(AS171)&gt;5.05,"NO CONFORME","CONFORME"))))</f><v /></c><c r="BD171" s="64"><f>SIGN(U171)</f><v /></c><c r="BE171" s="64"><f>SIGN(AG171)</f><v /></c><c r="BF171" s="64"><f>SIGN(AS171)</f><v /></c><c r="BG171" s="64"><f>CONCATENATE(BD171,BE171,BF171)</f><v /></c><c r="BH171" s="64"><f>IF(BG171="111","SI","SD")</f><v /></c><c r="BI171" s="64"><f>IF(BG171="-1-1-1","SI","SD")</f><v /></c><c r="BJ171" s="64"><f>OR(BH171="SI",BI171="SI")</f><v /></c><c r="BK171" s="64"><f>IF(BJ171=FALSE,"SIGDIFERENTES","SIGIGUALES")</f><v /></c><c r="BL171" s="21"><f>IF(BC171="NO CONFORME","NO CONFORME",IF(BB171="CONFORME","CONFORME","NO CONFORME"))</f><v /></c><c r="BM171" s="66" t="n" /><c r="BN171" s="66" t="n" /></row><row r="172" ht="15.75" customHeight="1" thickBot="1"><c r="A172" s="9" t="n"><v>164</v></c><c r="B172" s="296"><f>B171</f><v /></c><c r="C172" s="296"><f>C171</f><v /></c><c r="D172" s="11"><f>D171</f><v /></c><c r="E172" s="9"><f>E171</f><v /></c><c r="F172" s="12" t="n" /><c r="G172" s="297" t="n" /><c r="H172" s="90"><f>H171</f><v /></c><c r="I172" s="90" t="n" /><c r="J172" s="298"><f>J171</f><v /></c><c r="K172" s="298"><f>K171</f><v /></c><c r="L172" s="298"><f>L171</f><v /></c><c r="M172" s="52" t="n" /><c r="N172" s="52" t="n" /><c r="O172" s="30"><f>O171</f><v /></c><c r="P172" s="299"><f>P171</f><v /></c><c r="Q172" s="10"><f>LEFT(P172,1)</f><v /></c><c r="R172" s="10"><f>RIGHT(P172,6)</f><v /></c><c r="S172" s="10"><f>+(Q172*60+R172)/(60*60)</f><v /></c><c r="T172" s="13"><f>+O172/S172</f><v /></c><c r="U172" s="300"><f>+(((N172-M172-O172)/O172)*100)</f><v /></c><c r="V172" s="301"><f>V171</f><v /></c><c r="W172" s="302"><f>W171</f><v /></c><c r="X172" s="302"><f>X171</f><v /></c><c r="Y172" s="52" t="n" /><c r="Z172" s="52" t="n" /><c r="AA172" s="106"><f>AA171</f><v /></c><c r="AB172" s="299"><f>AB171</f><v /></c><c r="AC172" s="10"><f>LEFT(AB172,2)</f><v /></c><c r="AD172" s="10"><f>RIGHT(AB172,6)</f><v /></c><c r="AE172" s="10"><f>+(AC172*60+AD172)/(60*60)</f><v /></c><c r="AF172" s="13"><f>+AA172/AE172</f><v /></c><c r="AG172" s="303"><f>+(((Z172-Y172-AA172)/AA172)*100)</f><v /></c><c r="AH172" s="301"><f>AH171</f><v /></c><c r="AI172" s="301"><f>AI171</f><v /></c><c r="AJ172" s="301"><f>AJ171</f><v /></c><c r="AK172" s="52"><f>+Z172</f><v /></c><c r="AL172" s="52" t="n" /><c r="AM172" s="111"><f>AM171</f><v /></c><c r="AN172" s="299"><f>AN171</f><v /></c><c r="AO172" s="10"><f>LEFT(AN172,2)</f><v /></c><c r="AP172" s="10"><f>RIGHT(AN172,6)</f><v /></c><c r="AQ172" s="10"><f>+(AO172*60+AP172)/(60*60)</f><v /></c><c r="AR172" s="13"><f>+AM172/AQ172</f><v /></c><c r="AS172" s="303"><f>+(((AL172-AK172-AM172)/AM172)*100)</f><v /></c><c r="AT172" s="64"><f>IF(I172&gt;=1,"NO CONFORME",IF(BK172="SIGDIFERENTES",BC172,BL172))</f><v /></c><c r="AU172" s="21"><f>B172&lt;=C172</f><v /></c><c r="AV172" s="21"><f>N172&lt;Y172</f><v /></c><c r="AW172" s="21"><f>Z172&lt;=AK172</f><v /></c><c r="AX172" s="21"><f>IF(I172&gt;=1,"Qcorrecto",IF(AND(AY172="aceptable",AZ172="aceptable",BA172="aceptable"),"Qcorrecto","Qincorrecto"))</f><v /></c><c r="AY172" s="21"><f>IF(AR172&lt;$AH$6,"error",IF(AR172&gt;$AH$6*1.1,"error","aceptable"))</f><v /></c><c r="AZ172" s="21"><f>IF(AF172&lt;$V$6,"error",IF(AF172&gt;$V$6*1.1,"error","aceptable"))</f><v /></c><c r="BA172" s="21"><f>IF(T172&lt;$J$6*0.9,"error",IF(T172&gt;$J$6,"error","aceptable"))</f><v /></c><c r="BB172" s="65"><f>(IF(ABS(U172)&lt;1.05,"CONFORME",IF(ABS(AG172)&lt;1.05,"CONFORME",IF(ABS(AS172)&lt;2.55,"CONFORME","NO CONFORME"))))</f><v /></c><c r="BC172" s="62"><f>(IF(ABS(U172)&gt;2.05,"NO CONFORME",IF(ABS(AG172)&gt;2.05,"NO CONFORME",IF(ABS(AS172)&gt;5.05,"NO CONFORME","CONFORME"))))</f><v /></c><c r="BD172" s="64"><f>SIGN(U172)</f><v /></c><c r="BE172" s="64"><f>SIGN(AG172)</f><v /></c><c r="BF172" s="64"><f>SIGN(AS172)</f><v /></c><c r="BG172" s="64"><f>CONCATENATE(BD172,BE172,BF172)</f><v /></c><c r="BH172" s="64"><f>IF(BG172="111","SI","SD")</f><v /></c><c r="BI172" s="64"><f>IF(BG172="-1-1-1","SI","SD")</f><v /></c><c r="BJ172" s="64"><f>OR(BH172="SI",BI172="SI")</f><v /></c><c r="BK172" s="64"><f>IF(BJ172=FALSE,"SIGDIFERENTES","SIGIGUALES")</f><v /></c><c r="BL172" s="21"><f>IF(BC172="NO CONFORME","NO CONFORME",IF(BB172="CONFORME","CONFORME","NO CONFORME"))</f><v /></c><c r="BM172" s="66" t="n" /><c r="BN172" s="66" t="n" /></row><row r="173" ht="15" customHeight="1"><c r="A173" s="55" t="n"><v>165</v></c><c r="B173" s="304"><f>B172</f><v /></c><c r="C173" s="304"><f>C172</f><v /></c><c r="D173" s="94"><f>D172</f><v /></c><c r="E173" s="95"><f>E172</f><v /></c><c r="F173" s="96" t="n" /><c r="G173" s="305" t="n" /><c r="H173" s="98"><f>H172</f><v /></c><c r="I173" s="98" t="n" /><c r="J173" s="306"><f>J172</f><v /></c><c r="K173" s="306"><f>K172</f><v /></c><c r="L173" s="306"><f>L172</f><v /></c><c r="M173" s="100" t="n" /><c r="N173" s="100" t="n" /><c r="O173" s="101"><f>O172</f><v /></c><c r="P173" s="307"><f>P172</f><v /></c><c r="Q173" s="10"><f>LEFT(P173,1)</f><v /></c><c r="R173" s="10"><f>RIGHT(P173,6)</f><v /></c><c r="S173" s="10"><f>+(Q173*60+R173)/(60*60)</f><v /></c><c r="T173" s="13"><f>+O173/S173</f><v /></c><c r="U173" s="300"><f>+(((N173-M173-O173)/O173)*100)</f><v /></c><c r="V173" s="308"><f>V172</f><v /></c><c r="W173" s="309"><f>W172</f><v /></c><c r="X173" s="309"><f>X172</f><v /></c><c r="Y173" s="100" t="n" /><c r="Z173" s="100" t="n" /><c r="AA173" s="109"><f>AA172</f><v /></c><c r="AB173" s="307"><f>AB172</f><v /></c><c r="AC173" s="10"><f>LEFT(AB173,2)</f><v /></c><c r="AD173" s="10"><f>RIGHT(AB173,6)</f><v /></c><c r="AE173" s="10"><f>+(AC173*60+AD173)/(60*60)</f><v /></c><c r="AF173" s="13"><f>+AA173/AE173</f><v /></c><c r="AG173" s="303"><f>+(((Z173-Y173-AA173)/AA173)*100)</f><v /></c><c r="AH173" s="308"><f>AH172</f><v /></c><c r="AI173" s="308"><f>AI172</f><v /></c><c r="AJ173" s="308"><f>AJ172</f><v /></c><c r="AK173" s="100"><f>+Z173</f><v /></c><c r="AL173" s="100" t="n" /><c r="AM173" s="112"><f>AM172</f><v /></c><c r="AN173" s="307"><f>AN172</f><v /></c><c r="AO173" s="10"><f>LEFT(AN173,2)</f><v /></c><c r="AP173" s="10"><f>RIGHT(AN173,6)</f><v /></c><c r="AQ173" s="10"><f>+(AO173*60+AP173)/(60*60)</f><v /></c><c r="AR173" s="13"><f>+AM173/AQ173</f><v /></c><c r="AS173" s="303"><f>+(((AL173-AK173-AM173)/AM173)*100)</f><v /></c><c r="AT173" s="64"><f>IF(I173&gt;=1,"NO CONFORME",IF(BK173="SIGDIFERENTES",BC173,BL173))</f><v /></c><c r="AU173" s="21"><f>B173&lt;=C173</f><v /></c><c r="AV173" s="21"><f>N173&lt;Y173</f><v /></c><c r="AW173" s="21"><f>Z173&lt;=AK173</f><v /></c><c r="AX173" s="21"><f>IF(I173&gt;=1,"Qcorrecto",IF(AND(AY173="aceptable",AZ173="aceptable",BA173="aceptable"),"Qcorrecto","Qincorrecto"))</f><v /></c><c r="AY173" s="21"><f>IF(AR173&lt;$AH$6,"error",IF(AR173&gt;$AH$6*1.1,"error","aceptable"))</f><v /></c><c r="AZ173" s="21"><f>IF(AF173&lt;$V$6,"error",IF(AF173&gt;$V$6*1.1,"error","aceptable"))</f><v /></c><c r="BA173" s="21"><f>IF(T173&lt;$J$6*0.9,"error",IF(T173&gt;$J$6,"error","aceptable"))</f><v /></c><c r="BB173" s="65"><f>(IF(ABS(U173)&lt;1.05,"CONFORME",IF(ABS(AG173)&lt;1.05,"CONFORME",IF(ABS(AS173)&lt;2.55,"CONFORME","NO CONFORME"))))</f><v /></c><c r="BC173" s="62"><f>(IF(ABS(U173)&gt;2.05,"NO CONFORME",IF(ABS(AG173)&gt;2.05,"NO CONFORME",IF(ABS(AS173)&gt;5.05,"NO CONFORME","CONFORME"))))</f><v /></c><c r="BD173" s="64"><f>SIGN(U173)</f><v /></c><c r="BE173" s="64"><f>SIGN(AG173)</f><v /></c><c r="BF173" s="64"><f>SIGN(AS173)</f><v /></c><c r="BG173" s="64"><f>CONCATENATE(BD173,BE173,BF173)</f><v /></c><c r="BH173" s="64"><f>IF(BG173="111","SI","SD")</f><v /></c><c r="BI173" s="64"><f>IF(BG173="-1-1-1","SI","SD")</f><v /></c><c r="BJ173" s="64"><f>OR(BH173="SI",BI173="SI")</f><v /></c><c r="BK173" s="64"><f>IF(BJ173=FALSE,"SIGDIFERENTES","SIGIGUALES")</f><v /></c><c r="BL173" s="21"><f>IF(BC173="NO CONFORME","NO CONFORME",IF(BB173="CONFORME","CONFORME","NO CONFORME"))</f><v /></c><c r="BM173" s="66" t="n" /><c r="BN173" s="66" t="n" /></row><row r="174" ht="15.75" customHeight="1" thickBot="1"><c r="A174" s="9" t="n"><v>166</v></c><c r="B174" s="296"><f>B173</f><v /></c><c r="C174" s="296"><f>C173</f><v /></c><c r="D174" s="11"><f>D173</f><v /></c><c r="E174" s="9"><f>E173</f><v /></c><c r="F174" s="12" t="n" /><c r="G174" s="297" t="n" /><c r="H174" s="90"><f>H173</f><v /></c><c r="I174" s="90" t="n" /><c r="J174" s="298"><f>J173</f><v /></c><c r="K174" s="298"><f>K173</f><v /></c><c r="L174" s="298"><f>L173</f><v /></c><c r="M174" s="52" t="n" /><c r="N174" s="52" t="n" /><c r="O174" s="30"><f>O173</f><v /></c><c r="P174" s="299"><f>P173</f><v /></c><c r="Q174" s="10"><f>LEFT(P174,1)</f><v /></c><c r="R174" s="10"><f>RIGHT(P174,6)</f><v /></c><c r="S174" s="10"><f>+(Q174*60+R174)/(60*60)</f><v /></c><c r="T174" s="13"><f>+O174/S174</f><v /></c><c r="U174" s="300"><f>+(((N174-M174-O174)/O174)*100)</f><v /></c><c r="V174" s="301"><f>V173</f><v /></c><c r="W174" s="302"><f>W173</f><v /></c><c r="X174" s="302"><f>X173</f><v /></c><c r="Y174" s="52" t="n" /><c r="Z174" s="52" t="n" /><c r="AA174" s="106"><f>AA173</f><v /></c><c r="AB174" s="299"><f>AB173</f><v /></c><c r="AC174" s="10"><f>LEFT(AB174,2)</f><v /></c><c r="AD174" s="10"><f>RIGHT(AB174,6)</f><v /></c><c r="AE174" s="10"><f>+(AC174*60+AD174)/(60*60)</f><v /></c><c r="AF174" s="13"><f>+AA174/AE174</f><v /></c><c r="AG174" s="303"><f>+(((Z174-Y174-AA174)/AA174)*100)</f><v /></c><c r="AH174" s="301"><f>AH173</f><v /></c><c r="AI174" s="301"><f>AI173</f><v /></c><c r="AJ174" s="301"><f>AJ173</f><v /></c><c r="AK174" s="52"><f>+Z174</f><v /></c><c r="AL174" s="52" t="n" /><c r="AM174" s="111"><f>AM173</f><v /></c><c r="AN174" s="299"><f>AN173</f><v /></c><c r="AO174" s="10"><f>LEFT(AN174,2)</f><v /></c><c r="AP174" s="10"><f>RIGHT(AN174,6)</f><v /></c><c r="AQ174" s="10"><f>+(AO174*60+AP174)/(60*60)</f><v /></c><c r="AR174" s="13"><f>+AM174/AQ174</f><v /></c><c r="AS174" s="303"><f>+(((AL174-AK174-AM174)/AM174)*100)</f><v /></c><c r="AT174" s="64"><f>IF(I174&gt;=1,"NO CONFORME",IF(BK174="SIGDIFERENTES",BC174,BL174))</f><v /></c><c r="AU174" s="21"><f>B174&lt;=C174</f><v /></c><c r="AV174" s="21"><f>N174&lt;Y174</f><v /></c><c r="AW174" s="21"><f>Z174&lt;=AK174</f><v /></c><c r="AX174" s="21"><f>IF(I174&gt;=1,"Qcorrecto",IF(AND(AY174="aceptable",AZ174="aceptable",BA174="aceptable"),"Qcorrecto","Qincorrecto"))</f><v /></c><c r="AY174" s="21"><f>IF(AR174&lt;$AH$6,"error",IF(AR174&gt;$AH$6*1.1,"error","aceptable"))</f><v /></c><c r="AZ174" s="21"><f>IF(AF174&lt;$V$6,"error",IF(AF174&gt;$V$6*1.1,"error","aceptable"))</f><v /></c><c r="BA174" s="21"><f>IF(T174&lt;$J$6*0.9,"error",IF(T174&gt;$J$6,"error","aceptable"))</f><v /></c><c r="BB174" s="65"><f>(IF(ABS(U174)&lt;1.05,"CONFORME",IF(ABS(AG174)&lt;1.05,"CONFORME",IF(ABS(AS174)&lt;2.55,"CONFORME","NO CONFORME"))))</f><v /></c><c r="BC174" s="62"><f>(IF(ABS(U174)&gt;2.05,"NO CONFORME",IF(ABS(AG174)&gt;2.05,"NO CONFORME",IF(ABS(AS174)&gt;5.05,"NO CONFORME","CONFORME"))))</f><v /></c><c r="BD174" s="64"><f>SIGN(U174)</f><v /></c><c r="BE174" s="64"><f>SIGN(AG174)</f><v /></c><c r="BF174" s="64"><f>SIGN(AS174)</f><v /></c><c r="BG174" s="64"><f>CONCATENATE(BD174,BE174,BF174)</f><v /></c><c r="BH174" s="64"><f>IF(BG174="111","SI","SD")</f><v /></c><c r="BI174" s="64"><f>IF(BG174="-1-1-1","SI","SD")</f><v /></c><c r="BJ174" s="64"><f>OR(BH174="SI",BI174="SI")</f><v /></c><c r="BK174" s="64"><f>IF(BJ174=FALSE,"SIGDIFERENTES","SIGIGUALES")</f><v /></c><c r="BL174" s="21"><f>IF(BC174="NO CONFORME","NO CONFORME",IF(BB174="CONFORME","CONFORME","NO CONFORME"))</f><v /></c><c r="BM174" s="66" t="n" /><c r="BN174" s="66" t="n" /></row><row r="175" ht="15" customHeight="1"><c r="A175" s="55" t="n"><v>167</v></c><c r="B175" s="304"><f>B174</f><v /></c><c r="C175" s="304"><f>C174</f><v /></c><c r="D175" s="94"><f>D174</f><v /></c><c r="E175" s="95"><f>E174</f><v /></c><c r="F175" s="96" t="n" /><c r="G175" s="305" t="n" /><c r="H175" s="98"><f>H174</f><v /></c><c r="I175" s="98" t="n" /><c r="J175" s="306"><f>J174</f><v /></c><c r="K175" s="306"><f>K174</f><v /></c><c r="L175" s="306"><f>L174</f><v /></c><c r="M175" s="100" t="n" /><c r="N175" s="100" t="n" /><c r="O175" s="101"><f>O174</f><v /></c><c r="P175" s="307"><f>P174</f><v /></c><c r="Q175" s="10"><f>LEFT(P175,1)</f><v /></c><c r="R175" s="10"><f>RIGHT(P175,6)</f><v /></c><c r="S175" s="10"><f>+(Q175*60+R175)/(60*60)</f><v /></c><c r="T175" s="13"><f>+O175/S175</f><v /></c><c r="U175" s="300"><f>+(((N175-M175-O175)/O175)*100)</f><v /></c><c r="V175" s="308"><f>V174</f><v /></c><c r="W175" s="309"><f>W174</f><v /></c><c r="X175" s="309"><f>X174</f><v /></c><c r="Y175" s="100" t="n" /><c r="Z175" s="100" t="n" /><c r="AA175" s="109"><f>AA174</f><v /></c><c r="AB175" s="307"><f>AB174</f><v /></c><c r="AC175" s="10"><f>LEFT(AB175,2)</f><v /></c><c r="AD175" s="10"><f>RIGHT(AB175,6)</f><v /></c><c r="AE175" s="10"><f>+(AC175*60+AD175)/(60*60)</f><v /></c><c r="AF175" s="13"><f>+AA175/AE175</f><v /></c><c r="AG175" s="303"><f>+(((Z175-Y175-AA175)/AA175)*100)</f><v /></c><c r="AH175" s="308"><f>AH174</f><v /></c><c r="AI175" s="308"><f>AI174</f><v /></c><c r="AJ175" s="308"><f>AJ174</f><v /></c><c r="AK175" s="100"><f>+Z175</f><v /></c><c r="AL175" s="100" t="n" /><c r="AM175" s="112"><f>AM174</f><v /></c><c r="AN175" s="307"><f>AN174</f><v /></c><c r="AO175" s="10"><f>LEFT(AN175,2)</f><v /></c><c r="AP175" s="10"><f>RIGHT(AN175,6)</f><v /></c><c r="AQ175" s="10"><f>+(AO175*60+AP175)/(60*60)</f><v /></c><c r="AR175" s="13"><f>+AM175/AQ175</f><v /></c><c r="AS175" s="303"><f>+(((AL175-AK175-AM175)/AM175)*100)</f><v /></c><c r="AT175" s="64"><f>IF(I175&gt;=1,"NO CONFORME",IF(BK175="SIGDIFERENTES",BC175,BL175))</f><v /></c><c r="AU175" s="21"><f>B175&lt;=C175</f><v /></c><c r="AV175" s="21"><f>N175&lt;Y175</f><v /></c><c r="AW175" s="21"><f>Z175&lt;=AK175</f><v /></c><c r="AX175" s="21"><f>IF(I175&gt;=1,"Qcorrecto",IF(AND(AY175="aceptable",AZ175="aceptable",BA175="aceptable"),"Qcorrecto","Qincorrecto"))</f><v /></c><c r="AY175" s="21"><f>IF(AR175&lt;$AH$6,"error",IF(AR175&gt;$AH$6*1.1,"error","aceptable"))</f><v /></c><c r="AZ175" s="21"><f>IF(AF175&lt;$V$6,"error",IF(AF175&gt;$V$6*1.1,"error","aceptable"))</f><v /></c><c r="BA175" s="21"><f>IF(T175&lt;$J$6*0.9,"error",IF(T175&gt;$J$6,"error","aceptable"))</f><v /></c><c r="BB175" s="65"><f>(IF(ABS(U175)&lt;1.05,"CONFORME",IF(ABS(AG175)&lt;1.05,"CONFORME",IF(ABS(AS175)&lt;2.55,"CONFORME","NO CONFORME"))))</f><v /></c><c r="BC175" s="62"><f>(IF(ABS(U175)&gt;2.05,"NO CONFORME",IF(ABS(AG175)&gt;2.05,"NO CONFORME",IF(ABS(AS175)&gt;5.05,"NO CONFORME","CONFORME"))))</f><v /></c><c r="BD175" s="64"><f>SIGN(U175)</f><v /></c><c r="BE175" s="64"><f>SIGN(AG175)</f><v /></c><c r="BF175" s="64"><f>SIGN(AS175)</f><v /></c><c r="BG175" s="64"><f>CONCATENATE(BD175,BE175,BF175)</f><v /></c><c r="BH175" s="64"><f>IF(BG175="111","SI","SD")</f><v /></c><c r="BI175" s="64"><f>IF(BG175="-1-1-1","SI","SD")</f><v /></c><c r="BJ175" s="64"><f>OR(BH175="SI",BI175="SI")</f><v /></c><c r="BK175" s="64"><f>IF(BJ175=FALSE,"SIGDIFERENTES","SIGIGUALES")</f><v /></c><c r="BL175" s="21"><f>IF(BC175="NO CONFORME","NO CONFORME",IF(BB175="CONFORME","CONFORME","NO CONFORME"))</f><v /></c><c r="BM175" s="66" t="n" /><c r="BN175" s="66" t="n" /></row><row r="176" ht="15.75" customHeight="1" thickBot="1"><c r="A176" s="9" t="n"><v>168</v></c><c r="B176" s="296"><f>B175</f><v /></c><c r="C176" s="296"><f>C175</f><v /></c><c r="D176" s="11"><f>D175</f><v /></c><c r="E176" s="9"><f>E175</f><v /></c><c r="F176" s="12" t="n" /><c r="G176" s="297" t="n" /><c r="H176" s="90"><f>H175</f><v /></c><c r="I176" s="90" t="n" /><c r="J176" s="298"><f>J175</f><v /></c><c r="K176" s="298"><f>K175</f><v /></c><c r="L176" s="298"><f>L175</f><v /></c><c r="M176" s="52" t="n" /><c r="N176" s="52" t="n" /><c r="O176" s="30"><f>O175</f><v /></c><c r="P176" s="299"><f>P175</f><v /></c><c r="Q176" s="10"><f>LEFT(P176,1)</f><v /></c><c r="R176" s="10"><f>RIGHT(P176,6)</f><v /></c><c r="S176" s="10"><f>+(Q176*60+R176)/(60*60)</f><v /></c><c r="T176" s="13"><f>+O176/S176</f><v /></c><c r="U176" s="300"><f>+(((N176-M176-O176)/O176)*100)</f><v /></c><c r="V176" s="301"><f>V175</f><v /></c><c r="W176" s="302"><f>W175</f><v /></c><c r="X176" s="302"><f>X175</f><v /></c><c r="Y176" s="52" t="n" /><c r="Z176" s="52" t="n" /><c r="AA176" s="106"><f>AA175</f><v /></c><c r="AB176" s="299"><f>AB175</f><v /></c><c r="AC176" s="10"><f>LEFT(AB176,2)</f><v /></c><c r="AD176" s="10"><f>RIGHT(AB176,6)</f><v /></c><c r="AE176" s="10"><f>+(AC176*60+AD176)/(60*60)</f><v /></c><c r="AF176" s="13"><f>+AA176/AE176</f><v /></c><c r="AG176" s="303"><f>+(((Z176-Y176-AA176)/AA176)*100)</f><v /></c><c r="AH176" s="301"><f>AH175</f><v /></c><c r="AI176" s="301"><f>AI175</f><v /></c><c r="AJ176" s="301"><f>AJ175</f><v /></c><c r="AK176" s="52"><f>+Z176</f><v /></c><c r="AL176" s="52" t="n" /><c r="AM176" s="111"><f>AM175</f><v /></c><c r="AN176" s="299"><f>AN175</f><v /></c><c r="AO176" s="10"><f>LEFT(AN176,2)</f><v /></c><c r="AP176" s="10"><f>RIGHT(AN176,6)</f><v /></c><c r="AQ176" s="10"><f>+(AO176*60+AP176)/(60*60)</f><v /></c><c r="AR176" s="13"><f>+AM176/AQ176</f><v /></c><c r="AS176" s="303"><f>+(((AL176-AK176-AM176)/AM176)*100)</f><v /></c><c r="AT176" s="64"><f>IF(I176&gt;=1,"NO CONFORME",IF(BK176="SIGDIFERENTES",BC176,BL176))</f><v /></c><c r="AU176" s="21"><f>B176&lt;=C176</f><v /></c><c r="AV176" s="21"><f>N176&lt;Y176</f><v /></c><c r="AW176" s="21"><f>Z176&lt;=AK176</f><v /></c><c r="AX176" s="21"><f>IF(I176&gt;=1,"Qcorrecto",IF(AND(AY176="aceptable",AZ176="aceptable",BA176="aceptable"),"Qcorrecto","Qincorrecto"))</f><v /></c><c r="AY176" s="21"><f>IF(AR176&lt;$AH$6,"error",IF(AR176&gt;$AH$6*1.1,"error","aceptable"))</f><v /></c><c r="AZ176" s="21"><f>IF(AF176&lt;$V$6,"error",IF(AF176&gt;$V$6*1.1,"error","aceptable"))</f><v /></c><c r="BA176" s="21"><f>IF(T176&lt;$J$6*0.9,"error",IF(T176&gt;$J$6,"error","aceptable"))</f><v /></c><c r="BB176" s="65"><f>(IF(ABS(U176)&lt;1.05,"CONFORME",IF(ABS(AG176)&lt;1.05,"CONFORME",IF(ABS(AS176)&lt;2.55,"CONFORME","NO CONFORME"))))</f><v /></c><c r="BC176" s="62"><f>(IF(ABS(U176)&gt;2.05,"NO CONFORME",IF(ABS(AG176)&gt;2.05,"NO CONFORME",IF(ABS(AS176)&gt;5.05,"NO CONFORME","CONFORME"))))</f><v /></c><c r="BD176" s="64"><f>SIGN(U176)</f><v /></c><c r="BE176" s="64"><f>SIGN(AG176)</f><v /></c><c r="BF176" s="64"><f>SIGN(AS176)</f><v /></c><c r="BG176" s="64"><f>CONCATENATE(BD176,BE176,BF176)</f><v /></c><c r="BH176" s="64"><f>IF(BG176="111","SI","SD")</f><v /></c><c r="BI176" s="64"><f>IF(BG176="-1-1-1","SI","SD")</f><v /></c><c r="BJ176" s="64"><f>OR(BH176="SI",BI176="SI")</f><v /></c><c r="BK176" s="64"><f>IF(BJ176=FALSE,"SIGDIFERENTES","SIGIGUALES")</f><v /></c><c r="BL176" s="21"><f>IF(BC176="NO CONFORME","NO CONFORME",IF(BB176="CONFORME","CONFORME","NO CONFORME"))</f><v /></c><c r="BM176" s="66" t="n" /><c r="BN176" s="66" t="n" /></row><row r="177" ht="15" customHeight="1"><c r="A177" s="55" t="n"><v>169</v></c><c r="B177" s="304"><f>B176</f><v /></c><c r="C177" s="304"><f>C176</f><v /></c><c r="D177" s="94"><f>D176</f><v /></c><c r="E177" s="95"><f>E176</f><v /></c><c r="F177" s="96" t="n" /><c r="G177" s="305" t="n" /><c r="H177" s="98"><f>H176</f><v /></c><c r="I177" s="98" t="n" /><c r="J177" s="306"><f>J176</f><v /></c><c r="K177" s="306"><f>K176</f><v /></c><c r="L177" s="306"><f>L176</f><v /></c><c r="M177" s="100" t="n" /><c r="N177" s="100" t="n" /><c r="O177" s="101"><f>O176</f><v /></c><c r="P177" s="307"><f>P176</f><v /></c><c r="Q177" s="10"><f>LEFT(P177,1)</f><v /></c><c r="R177" s="10"><f>RIGHT(P177,6)</f><v /></c><c r="S177" s="10"><f>+(Q177*60+R177)/(60*60)</f><v /></c><c r="T177" s="13"><f>+O177/S177</f><v /></c><c r="U177" s="300"><f>+(((N177-M177-O177)/O177)*100)</f><v /></c><c r="V177" s="308"><f>V176</f><v /></c><c r="W177" s="309"><f>W176</f><v /></c><c r="X177" s="309"><f>X176</f><v /></c><c r="Y177" s="100" t="n" /><c r="Z177" s="100" t="n" /><c r="AA177" s="109"><f>AA176</f><v /></c><c r="AB177" s="307"><f>AB176</f><v /></c><c r="AC177" s="10"><f>LEFT(AB177,2)</f><v /></c><c r="AD177" s="10"><f>RIGHT(AB177,6)</f><v /></c><c r="AE177" s="10"><f>+(AC177*60+AD177)/(60*60)</f><v /></c><c r="AF177" s="13"><f>+AA177/AE177</f><v /></c><c r="AG177" s="303"><f>+(((Z177-Y177-AA177)/AA177)*100)</f><v /></c><c r="AH177" s="308"><f>AH176</f><v /></c><c r="AI177" s="308"><f>AI176</f><v /></c><c r="AJ177" s="308"><f>AJ176</f><v /></c><c r="AK177" s="100"><f>+Z177</f><v /></c><c r="AL177" s="100" t="n" /><c r="AM177" s="112"><f>AM176</f><v /></c><c r="AN177" s="307"><f>AN176</f><v /></c><c r="AO177" s="10"><f>LEFT(AN177,2)</f><v /></c><c r="AP177" s="10"><f>RIGHT(AN177,6)</f><v /></c><c r="AQ177" s="10"><f>+(AO177*60+AP177)/(60*60)</f><v /></c><c r="AR177" s="13"><f>+AM177/AQ177</f><v /></c><c r="AS177" s="303"><f>+(((AL177-AK177-AM177)/AM177)*100)</f><v /></c><c r="AT177" s="64"><f>IF(I177&gt;=1,"NO CONFORME",IF(BK177="SIGDIFERENTES",BC177,BL177))</f><v /></c><c r="AU177" s="21"><f>B177&lt;=C177</f><v /></c><c r="AV177" s="21"><f>N177&lt;Y177</f><v /></c><c r="AW177" s="21"><f>Z177&lt;=AK177</f><v /></c><c r="AX177" s="21"><f>IF(I177&gt;=1,"Qcorrecto",IF(AND(AY177="aceptable",AZ177="aceptable",BA177="aceptable"),"Qcorrecto","Qincorrecto"))</f><v /></c><c r="AY177" s="21"><f>IF(AR177&lt;$AH$6,"error",IF(AR177&gt;$AH$6*1.1,"error","aceptable"))</f><v /></c><c r="AZ177" s="21"><f>IF(AF177&lt;$V$6,"error",IF(AF177&gt;$V$6*1.1,"error","aceptable"))</f><v /></c><c r="BA177" s="21"><f>IF(T177&lt;$J$6*0.9,"error",IF(T177&gt;$J$6,"error","aceptable"))</f><v /></c><c r="BB177" s="65"><f>(IF(ABS(U177)&lt;1.05,"CONFORME",IF(ABS(AG177)&lt;1.05,"CONFORME",IF(ABS(AS177)&lt;2.55,"CONFORME","NO CONFORME"))))</f><v /></c><c r="BC177" s="62"><f>(IF(ABS(U177)&gt;2.05,"NO CONFORME",IF(ABS(AG177)&gt;2.05,"NO CONFORME",IF(ABS(AS177)&gt;5.05,"NO CONFORME","CONFORME"))))</f><v /></c><c r="BD177" s="64"><f>SIGN(U177)</f><v /></c><c r="BE177" s="64"><f>SIGN(AG177)</f><v /></c><c r="BF177" s="64"><f>SIGN(AS177)</f><v /></c><c r="BG177" s="64"><f>CONCATENATE(BD177,BE177,BF177)</f><v /></c><c r="BH177" s="64"><f>IF(BG177="111","SI","SD")</f><v /></c><c r="BI177" s="64"><f>IF(BG177="-1-1-1","SI","SD")</f><v /></c><c r="BJ177" s="64"><f>OR(BH177="SI",BI177="SI")</f><v /></c><c r="BK177" s="64"><f>IF(BJ177=FALSE,"SIGDIFERENTES","SIGIGUALES")</f><v /></c><c r="BL177" s="21"><f>IF(BC177="NO CONFORME","NO CONFORME",IF(BB177="CONFORME","CONFORME","NO CONFORME"))</f><v /></c><c r="BM177" s="66" t="n" /><c r="BN177" s="66" t="n" /></row><row r="178" ht="15.75" customHeight="1" thickBot="1"><c r="A178" s="9" t="n"><v>170</v></c><c r="B178" s="296"><f>B177</f><v /></c><c r="C178" s="296"><f>C177</f><v /></c><c r="D178" s="11"><f>D177</f><v /></c><c r="E178" s="9"><f>E177</f><v /></c><c r="F178" s="12" t="n" /><c r="G178" s="297" t="n" /><c r="H178" s="90"><f>H177</f><v /></c><c r="I178" s="90" t="n" /><c r="J178" s="298"><f>J177</f><v /></c><c r="K178" s="298"><f>K177</f><v /></c><c r="L178" s="298"><f>L177</f><v /></c><c r="M178" s="52" t="n" /><c r="N178" s="52" t="n" /><c r="O178" s="30"><f>O177</f><v /></c><c r="P178" s="299"><f>P177</f><v /></c><c r="Q178" s="10"><f>LEFT(P178,1)</f><v /></c><c r="R178" s="10"><f>RIGHT(P178,6)</f><v /></c><c r="S178" s="10"><f>+(Q178*60+R178)/(60*60)</f><v /></c><c r="T178" s="13"><f>+O178/S178</f><v /></c><c r="U178" s="300"><f>+(((N178-M178-O178)/O178)*100)</f><v /></c><c r="V178" s="301"><f>V177</f><v /></c><c r="W178" s="302"><f>W177</f><v /></c><c r="X178" s="302"><f>X177</f><v /></c><c r="Y178" s="52" t="n" /><c r="Z178" s="52" t="n" /><c r="AA178" s="106"><f>AA177</f><v /></c><c r="AB178" s="299"><f>AB177</f><v /></c><c r="AC178" s="10"><f>LEFT(AB178,2)</f><v /></c><c r="AD178" s="10"><f>RIGHT(AB178,6)</f><v /></c><c r="AE178" s="10"><f>+(AC178*60+AD178)/(60*60)</f><v /></c><c r="AF178" s="13"><f>+AA178/AE178</f><v /></c><c r="AG178" s="303"><f>+(((Z178-Y178-AA178)/AA178)*100)</f><v /></c><c r="AH178" s="301"><f>AH177</f><v /></c><c r="AI178" s="301"><f>AI177</f><v /></c><c r="AJ178" s="301"><f>AJ177</f><v /></c><c r="AK178" s="52"><f>+Z178</f><v /></c><c r="AL178" s="52" t="n" /><c r="AM178" s="111"><f>AM177</f><v /></c><c r="AN178" s="299"><f>AN177</f><v /></c><c r="AO178" s="10"><f>LEFT(AN178,2)</f><v /></c><c r="AP178" s="10"><f>RIGHT(AN178,6)</f><v /></c><c r="AQ178" s="10"><f>+(AO178*60+AP178)/(60*60)</f><v /></c><c r="AR178" s="13"><f>+AM178/AQ178</f><v /></c><c r="AS178" s="303"><f>+(((AL178-AK178-AM178)/AM178)*100)</f><v /></c><c r="AT178" s="64"><f>IF(I178&gt;=1,"NO CONFORME",IF(BK178="SIGDIFERENTES",BC178,BL178))</f><v /></c><c r="AU178" s="21"><f>B178&lt;=C178</f><v /></c><c r="AV178" s="21"><f>N178&lt;Y178</f><v /></c><c r="AW178" s="21"><f>Z178&lt;=AK178</f><v /></c><c r="AX178" s="21"><f>IF(I178&gt;=1,"Qcorrecto",IF(AND(AY178="aceptable",AZ178="aceptable",BA178="aceptable"),"Qcorrecto","Qincorrecto"))</f><v /></c><c r="AY178" s="21"><f>IF(AR178&lt;$AH$6,"error",IF(AR178&gt;$AH$6*1.1,"error","aceptable"))</f><v /></c><c r="AZ178" s="21"><f>IF(AF178&lt;$V$6,"error",IF(AF178&gt;$V$6*1.1,"error","aceptable"))</f><v /></c><c r="BA178" s="21"><f>IF(T178&lt;$J$6*0.9,"error",IF(T178&gt;$J$6,"error","aceptable"))</f><v /></c><c r="BB178" s="65"><f>(IF(ABS(U178)&lt;1.05,"CONFORME",IF(ABS(AG178)&lt;1.05,"CONFORME",IF(ABS(AS178)&lt;2.55,"CONFORME","NO CONFORME"))))</f><v /></c><c r="BC178" s="62"><f>(IF(ABS(U178)&gt;2.05,"NO CONFORME",IF(ABS(AG178)&gt;2.05,"NO CONFORME",IF(ABS(AS178)&gt;5.05,"NO CONFORME","CONFORME"))))</f><v /></c><c r="BD178" s="64"><f>SIGN(U178)</f><v /></c><c r="BE178" s="64"><f>SIGN(AG178)</f><v /></c><c r="BF178" s="64"><f>SIGN(AS178)</f><v /></c><c r="BG178" s="64"><f>CONCATENATE(BD178,BE178,BF178)</f><v /></c><c r="BH178" s="64"><f>IF(BG178="111","SI","SD")</f><v /></c><c r="BI178" s="64"><f>IF(BG178="-1-1-1","SI","SD")</f><v /></c><c r="BJ178" s="64"><f>OR(BH178="SI",BI178="SI")</f><v /></c><c r="BK178" s="64"><f>IF(BJ178=FALSE,"SIGDIFERENTES","SIGIGUALES")</f><v /></c><c r="BL178" s="21"><f>IF(BC178="NO CONFORME","NO CONFORME",IF(BB178="CONFORME","CONFORME","NO CONFORME"))</f><v /></c><c r="BM178" s="66" t="n" /><c r="BN178" s="66" t="n" /></row><row r="179" ht="15" customHeight="1"><c r="A179" s="55" t="n"><v>171</v></c><c r="B179" s="304"><f>B178</f><v /></c><c r="C179" s="304"><f>C178</f><v /></c><c r="D179" s="94"><f>D178</f><v /></c><c r="E179" s="95"><f>E178</f><v /></c><c r="F179" s="96" t="n" /><c r="G179" s="305" t="n" /><c r="H179" s="98"><f>H178</f><v /></c><c r="I179" s="98" t="n" /><c r="J179" s="306"><f>J178</f><v /></c><c r="K179" s="306"><f>K178</f><v /></c><c r="L179" s="306"><f>L178</f><v /></c><c r="M179" s="100" t="n" /><c r="N179" s="100" t="n" /><c r="O179" s="101"><f>O178</f><v /></c><c r="P179" s="307"><f>P178</f><v /></c><c r="Q179" s="10"><f>LEFT(P179,1)</f><v /></c><c r="R179" s="10"><f>RIGHT(P179,6)</f><v /></c><c r="S179" s="10"><f>+(Q179*60+R179)/(60*60)</f><v /></c><c r="T179" s="13"><f>+O179/S179</f><v /></c><c r="U179" s="300"><f>+(((N179-M179-O179)/O179)*100)</f><v /></c><c r="V179" s="308"><f>V178</f><v /></c><c r="W179" s="309"><f>W178</f><v /></c><c r="X179" s="309"><f>X178</f><v /></c><c r="Y179" s="100" t="n" /><c r="Z179" s="100" t="n" /><c r="AA179" s="109"><f>AA178</f><v /></c><c r="AB179" s="307"><f>AB178</f><v /></c><c r="AC179" s="10"><f>LEFT(AB179,2)</f><v /></c><c r="AD179" s="10"><f>RIGHT(AB179,6)</f><v /></c><c r="AE179" s="10"><f>+(AC179*60+AD179)/(60*60)</f><v /></c><c r="AF179" s="13"><f>+AA179/AE179</f><v /></c><c r="AG179" s="303"><f>+(((Z179-Y179-AA179)/AA179)*100)</f><v /></c><c r="AH179" s="308"><f>AH178</f><v /></c><c r="AI179" s="308"><f>AI178</f><v /></c><c r="AJ179" s="308"><f>AJ178</f><v /></c><c r="AK179" s="100"><f>+Z179</f><v /></c><c r="AL179" s="100" t="n" /><c r="AM179" s="112"><f>AM178</f><v /></c><c r="AN179" s="307"><f>AN178</f><v /></c><c r="AO179" s="10"><f>LEFT(AN179,2)</f><v /></c><c r="AP179" s="10"><f>RIGHT(AN179,6)</f><v /></c><c r="AQ179" s="10"><f>+(AO179*60+AP179)/(60*60)</f><v /></c><c r="AR179" s="13"><f>+AM179/AQ179</f><v /></c><c r="AS179" s="303"><f>+(((AL179-AK179-AM179)/AM179)*100)</f><v /></c><c r="AT179" s="64"><f>IF(I179&gt;=1,"NO CONFORME",IF(BK179="SIGDIFERENTES",BC179,BL179))</f><v /></c><c r="AU179" s="21"><f>B179&lt;=C179</f><v /></c><c r="AV179" s="21"><f>N179&lt;Y179</f><v /></c><c r="AW179" s="21"><f>Z179&lt;=AK179</f><v /></c><c r="AX179" s="21"><f>IF(I179&gt;=1,"Qcorrecto",IF(AND(AY179="aceptable",AZ179="aceptable",BA179="aceptable"),"Qcorrecto","Qincorrecto"))</f><v /></c><c r="AY179" s="21"><f>IF(AR179&lt;$AH$6,"error",IF(AR179&gt;$AH$6*1.1,"error","aceptable"))</f><v /></c><c r="AZ179" s="21"><f>IF(AF179&lt;$V$6,"error",IF(AF179&gt;$V$6*1.1,"error","aceptable"))</f><v /></c><c r="BA179" s="21"><f>IF(T179&lt;$J$6*0.9,"error",IF(T179&gt;$J$6,"error","aceptable"))</f><v /></c><c r="BB179" s="65"><f>(IF(ABS(U179)&lt;1.05,"CONFORME",IF(ABS(AG179)&lt;1.05,"CONFORME",IF(ABS(AS179)&lt;2.55,"CONFORME","NO CONFORME"))))</f><v /></c><c r="BC179" s="62"><f>(IF(ABS(U179)&gt;2.05,"NO CONFORME",IF(ABS(AG179)&gt;2.05,"NO CONFORME",IF(ABS(AS179)&gt;5.05,"NO CONFORME","CONFORME"))))</f><v /></c><c r="BD179" s="64"><f>SIGN(U179)</f><v /></c><c r="BE179" s="64"><f>SIGN(AG179)</f><v /></c><c r="BF179" s="64"><f>SIGN(AS179)</f><v /></c><c r="BG179" s="64"><f>CONCATENATE(BD179,BE179,BF179)</f><v /></c><c r="BH179" s="64"><f>IF(BG179="111","SI","SD")</f><v /></c><c r="BI179" s="64"><f>IF(BG179="-1-1-1","SI","SD")</f><v /></c><c r="BJ179" s="64"><f>OR(BH179="SI",BI179="SI")</f><v /></c><c r="BK179" s="64"><f>IF(BJ179=FALSE,"SIGDIFERENTES","SIGIGUALES")</f><v /></c><c r="BL179" s="21"><f>IF(BC179="NO CONFORME","NO CONFORME",IF(BB179="CONFORME","CONFORME","NO CONFORME"))</f><v /></c><c r="BM179" s="66" t="n" /><c r="BN179" s="66" t="n" /></row><row r="180" ht="15.75" customHeight="1" thickBot="1"><c r="A180" s="9" t="n"><v>172</v></c><c r="B180" s="296"><f>B179</f><v /></c><c r="C180" s="296"><f>C179</f><v /></c><c r="D180" s="11"><f>D179</f><v /></c><c r="E180" s="9"><f>E179</f><v /></c><c r="F180" s="12" t="n" /><c r="G180" s="297" t="n" /><c r="H180" s="90"><f>H179</f><v /></c><c r="I180" s="90" t="n" /><c r="J180" s="298"><f>J179</f><v /></c><c r="K180" s="298"><f>K179</f><v /></c><c r="L180" s="298"><f>L179</f><v /></c><c r="M180" s="52" t="n" /><c r="N180" s="52" t="n" /><c r="O180" s="30"><f>O179</f><v /></c><c r="P180" s="299"><f>P179</f><v /></c><c r="Q180" s="10"><f>LEFT(P180,1)</f><v /></c><c r="R180" s="10"><f>RIGHT(P180,6)</f><v /></c><c r="S180" s="10"><f>+(Q180*60+R180)/(60*60)</f><v /></c><c r="T180" s="13"><f>+O180/S180</f><v /></c><c r="U180" s="300"><f>+(((N180-M180-O180)/O180)*100)</f><v /></c><c r="V180" s="301"><f>V179</f><v /></c><c r="W180" s="302"><f>W179</f><v /></c><c r="X180" s="302"><f>X179</f><v /></c><c r="Y180" s="52" t="n" /><c r="Z180" s="52" t="n" /><c r="AA180" s="106"><f>AA179</f><v /></c><c r="AB180" s="299"><f>AB179</f><v /></c><c r="AC180" s="10"><f>LEFT(AB180,2)</f><v /></c><c r="AD180" s="10"><f>RIGHT(AB180,6)</f><v /></c><c r="AE180" s="10"><f>+(AC180*60+AD180)/(60*60)</f><v /></c><c r="AF180" s="13"><f>+AA180/AE180</f><v /></c><c r="AG180" s="303"><f>+(((Z180-Y180-AA180)/AA180)*100)</f><v /></c><c r="AH180" s="301"><f>AH179</f><v /></c><c r="AI180" s="301"><f>AI179</f><v /></c><c r="AJ180" s="301"><f>AJ179</f><v /></c><c r="AK180" s="52"><f>+Z180</f><v /></c><c r="AL180" s="52" t="n" /><c r="AM180" s="111"><f>AM179</f><v /></c><c r="AN180" s="299"><f>AN179</f><v /></c><c r="AO180" s="10"><f>LEFT(AN180,2)</f><v /></c><c r="AP180" s="10"><f>RIGHT(AN180,6)</f><v /></c><c r="AQ180" s="10"><f>+(AO180*60+AP180)/(60*60)</f><v /></c><c r="AR180" s="13"><f>+AM180/AQ180</f><v /></c><c r="AS180" s="303"><f>+(((AL180-AK180-AM180)/AM180)*100)</f><v /></c><c r="AT180" s="64"><f>IF(I180&gt;=1,"NO CONFORME",IF(BK180="SIGDIFERENTES",BC180,BL180))</f><v /></c><c r="AU180" s="21"><f>B180&lt;=C180</f><v /></c><c r="AV180" s="21"><f>N180&lt;Y180</f><v /></c><c r="AW180" s="21"><f>Z180&lt;=AK180</f><v /></c><c r="AX180" s="21"><f>IF(I180&gt;=1,"Qcorrecto",IF(AND(AY180="aceptable",AZ180="aceptable",BA180="aceptable"),"Qcorrecto","Qincorrecto"))</f><v /></c><c r="AY180" s="21"><f>IF(AR180&lt;$AH$6,"error",IF(AR180&gt;$AH$6*1.1,"error","aceptable"))</f><v /></c><c r="AZ180" s="21"><f>IF(AF180&lt;$V$6,"error",IF(AF180&gt;$V$6*1.1,"error","aceptable"))</f><v /></c><c r="BA180" s="21"><f>IF(T180&lt;$J$6*0.9,"error",IF(T180&gt;$J$6,"error","aceptable"))</f><v /></c><c r="BB180" s="65"><f>(IF(ABS(U180)&lt;1.05,"CONFORME",IF(ABS(AG180)&lt;1.05,"CONFORME",IF(ABS(AS180)&lt;2.55,"CONFORME","NO CONFORME"))))</f><v /></c><c r="BC180" s="62"><f>(IF(ABS(U180)&gt;2.05,"NO CONFORME",IF(ABS(AG180)&gt;2.05,"NO CONFORME",IF(ABS(AS180)&gt;5.05,"NO CONFORME","CONFORME"))))</f><v /></c><c r="BD180" s="64"><f>SIGN(U180)</f><v /></c><c r="BE180" s="64"><f>SIGN(AG180)</f><v /></c><c r="BF180" s="64"><f>SIGN(AS180)</f><v /></c><c r="BG180" s="64"><f>CONCATENATE(BD180,BE180,BF180)</f><v /></c><c r="BH180" s="64"><f>IF(BG180="111","SI","SD")</f><v /></c><c r="BI180" s="64"><f>IF(BG180="-1-1-1","SI","SD")</f><v /></c><c r="BJ180" s="64"><f>OR(BH180="SI",BI180="SI")</f><v /></c><c r="BK180" s="64"><f>IF(BJ180=FALSE,"SIGDIFERENTES","SIGIGUALES")</f><v /></c><c r="BL180" s="21"><f>IF(BC180="NO CONFORME","NO CONFORME",IF(BB180="CONFORME","CONFORME","NO CONFORME"))</f><v /></c><c r="BM180" s="66" t="n" /><c r="BN180" s="66" t="n" /></row><row r="181" ht="15" customHeight="1"><c r="A181" s="55" t="n"><v>173</v></c><c r="B181" s="304"><f>B180</f><v /></c><c r="C181" s="304"><f>C180</f><v /></c><c r="D181" s="94"><f>D180</f><v /></c><c r="E181" s="95"><f>E180</f><v /></c><c r="F181" s="96" t="n" /><c r="G181" s="305" t="n" /><c r="H181" s="98"><f>H180</f><v /></c><c r="I181" s="98" t="n" /><c r="J181" s="306"><f>J180</f><v /></c><c r="K181" s="306"><f>K180</f><v /></c><c r="L181" s="306"><f>L180</f><v /></c><c r="M181" s="100" t="n" /><c r="N181" s="100" t="n" /><c r="O181" s="101"><f>O180</f><v /></c><c r="P181" s="307"><f>P180</f><v /></c><c r="Q181" s="10"><f>LEFT(P181,1)</f><v /></c><c r="R181" s="10"><f>RIGHT(P181,6)</f><v /></c><c r="S181" s="10"><f>+(Q181*60+R181)/(60*60)</f><v /></c><c r="T181" s="13"><f>+O181/S181</f><v /></c><c r="U181" s="300"><f>+(((N181-M181-O181)/O181)*100)</f><v /></c><c r="V181" s="308"><f>V180</f><v /></c><c r="W181" s="309"><f>W180</f><v /></c><c r="X181" s="309"><f>X180</f><v /></c><c r="Y181" s="100" t="n" /><c r="Z181" s="100" t="n" /><c r="AA181" s="109"><f>AA180</f><v /></c><c r="AB181" s="307"><f>AB180</f><v /></c><c r="AC181" s="10"><f>LEFT(AB181,2)</f><v /></c><c r="AD181" s="10"><f>RIGHT(AB181,6)</f><v /></c><c r="AE181" s="10"><f>+(AC181*60+AD181)/(60*60)</f><v /></c><c r="AF181" s="13"><f>+AA181/AE181</f><v /></c><c r="AG181" s="303"><f>+(((Z181-Y181-AA181)/AA181)*100)</f><v /></c><c r="AH181" s="308"><f>AH180</f><v /></c><c r="AI181" s="308"><f>AI180</f><v /></c><c r="AJ181" s="308"><f>AJ180</f><v /></c><c r="AK181" s="100"><f>+Z181</f><v /></c><c r="AL181" s="100" t="n" /><c r="AM181" s="112"><f>AM180</f><v /></c><c r="AN181" s="307"><f>AN180</f><v /></c><c r="AO181" s="10"><f>LEFT(AN181,2)</f><v /></c><c r="AP181" s="10"><f>RIGHT(AN181,6)</f><v /></c><c r="AQ181" s="10"><f>+(AO181*60+AP181)/(60*60)</f><v /></c><c r="AR181" s="13"><f>+AM181/AQ181</f><v /></c><c r="AS181" s="303"><f>+(((AL181-AK181-AM181)/AM181)*100)</f><v /></c><c r="AT181" s="64"><f>IF(I181&gt;=1,"NO CONFORME",IF(BK181="SIGDIFERENTES",BC181,BL181))</f><v /></c><c r="AU181" s="21"><f>B181&lt;=C181</f><v /></c><c r="AV181" s="21"><f>N181&lt;Y181</f><v /></c><c r="AW181" s="21"><f>Z181&lt;=AK181</f><v /></c><c r="AX181" s="21"><f>IF(I181&gt;=1,"Qcorrecto",IF(AND(AY181="aceptable",AZ181="aceptable",BA181="aceptable"),"Qcorrecto","Qincorrecto"))</f><v /></c><c r="AY181" s="21"><f>IF(AR181&lt;$AH$6,"error",IF(AR181&gt;$AH$6*1.1,"error","aceptable"))</f><v /></c><c r="AZ181" s="21"><f>IF(AF181&lt;$V$6,"error",IF(AF181&gt;$V$6*1.1,"error","aceptable"))</f><v /></c><c r="BA181" s="21"><f>IF(T181&lt;$J$6*0.9,"error",IF(T181&gt;$J$6,"error","aceptable"))</f><v /></c><c r="BB181" s="65"><f>(IF(ABS(U181)&lt;1.05,"CONFORME",IF(ABS(AG181)&lt;1.05,"CONFORME",IF(ABS(AS181)&lt;2.55,"CONFORME","NO CONFORME"))))</f><v /></c><c r="BC181" s="62"><f>(IF(ABS(U181)&gt;2.05,"NO CONFORME",IF(ABS(AG181)&gt;2.05,"NO CONFORME",IF(ABS(AS181)&gt;5.05,"NO CONFORME","CONFORME"))))</f><v /></c><c r="BD181" s="64"><f>SIGN(U181)</f><v /></c><c r="BE181" s="64"><f>SIGN(AG181)</f><v /></c><c r="BF181" s="64"><f>SIGN(AS181)</f><v /></c><c r="BG181" s="64"><f>CONCATENATE(BD181,BE181,BF181)</f><v /></c><c r="BH181" s="64"><f>IF(BG181="111","SI","SD")</f><v /></c><c r="BI181" s="64"><f>IF(BG181="-1-1-1","SI","SD")</f><v /></c><c r="BJ181" s="64"><f>OR(BH181="SI",BI181="SI")</f><v /></c><c r="BK181" s="64"><f>IF(BJ181=FALSE,"SIGDIFERENTES","SIGIGUALES")</f><v /></c><c r="BL181" s="21"><f>IF(BC181="NO CONFORME","NO CONFORME",IF(BB181="CONFORME","CONFORME","NO CONFORME"))</f><v /></c><c r="BM181" s="66" t="n" /><c r="BN181" s="66" t="n" /></row><row r="182" ht="15.75" customHeight="1" thickBot="1"><c r="A182" s="9" t="n"><v>174</v></c><c r="B182" s="296"><f>B181</f><v /></c><c r="C182" s="296"><f>C181</f><v /></c><c r="D182" s="11"><f>D181</f><v /></c><c r="E182" s="9"><f>E181</f><v /></c><c r="F182" s="12" t="n" /><c r="G182" s="297" t="n" /><c r="H182" s="90"><f>H181</f><v /></c><c r="I182" s="90" t="n" /><c r="J182" s="298"><f>J181</f><v /></c><c r="K182" s="298"><f>K181</f><v /></c><c r="L182" s="298"><f>L181</f><v /></c><c r="M182" s="52" t="n" /><c r="N182" s="52" t="n" /><c r="O182" s="30"><f>O181</f><v /></c><c r="P182" s="299"><f>P181</f><v /></c><c r="Q182" s="10"><f>LEFT(P182,1)</f><v /></c><c r="R182" s="10"><f>RIGHT(P182,6)</f><v /></c><c r="S182" s="10"><f>+(Q182*60+R182)/(60*60)</f><v /></c><c r="T182" s="13"><f>+O182/S182</f><v /></c><c r="U182" s="300"><f>+(((N182-M182-O182)/O182)*100)</f><v /></c><c r="V182" s="301"><f>V181</f><v /></c><c r="W182" s="302"><f>W181</f><v /></c><c r="X182" s="302"><f>X181</f><v /></c><c r="Y182" s="52" t="n" /><c r="Z182" s="52" t="n" /><c r="AA182" s="106"><f>AA181</f><v /></c><c r="AB182" s="299"><f>AB181</f><v /></c><c r="AC182" s="10"><f>LEFT(AB182,2)</f><v /></c><c r="AD182" s="10"><f>RIGHT(AB182,6)</f><v /></c><c r="AE182" s="10"><f>+(AC182*60+AD182)/(60*60)</f><v /></c><c r="AF182" s="13"><f>+AA182/AE182</f><v /></c><c r="AG182" s="303"><f>+(((Z182-Y182-AA182)/AA182)*100)</f><v /></c><c r="AH182" s="301"><f>AH181</f><v /></c><c r="AI182" s="301"><f>AI181</f><v /></c><c r="AJ182" s="301"><f>AJ181</f><v /></c><c r="AK182" s="52"><f>+Z182</f><v /></c><c r="AL182" s="52" t="n" /><c r="AM182" s="111"><f>AM181</f><v /></c><c r="AN182" s="299"><f>AN181</f><v /></c><c r="AO182" s="10"><f>LEFT(AN182,2)</f><v /></c><c r="AP182" s="10"><f>RIGHT(AN182,6)</f><v /></c><c r="AQ182" s="10"><f>+(AO182*60+AP182)/(60*60)</f><v /></c><c r="AR182" s="13"><f>+AM182/AQ182</f><v /></c><c r="AS182" s="303"><f>+(((AL182-AK182-AM182)/AM182)*100)</f><v /></c><c r="AT182" s="64"><f>IF(I182&gt;=1,"NO CONFORME",IF(BK182="SIGDIFERENTES",BC182,BL182))</f><v /></c><c r="AU182" s="21"><f>B182&lt;=C182</f><v /></c><c r="AV182" s="21"><f>N182&lt;Y182</f><v /></c><c r="AW182" s="21"><f>Z182&lt;=AK182</f><v /></c><c r="AX182" s="21"><f>IF(I182&gt;=1,"Qcorrecto",IF(AND(AY182="aceptable",AZ182="aceptable",BA182="aceptable"),"Qcorrecto","Qincorrecto"))</f><v /></c><c r="AY182" s="21"><f>IF(AR182&lt;$AH$6,"error",IF(AR182&gt;$AH$6*1.1,"error","aceptable"))</f><v /></c><c r="AZ182" s="21"><f>IF(AF182&lt;$V$6,"error",IF(AF182&gt;$V$6*1.1,"error","aceptable"))</f><v /></c><c r="BA182" s="21"><f>IF(T182&lt;$J$6*0.9,"error",IF(T182&gt;$J$6,"error","aceptable"))</f><v /></c><c r="BB182" s="65"><f>(IF(ABS(U182)&lt;1.05,"CONFORME",IF(ABS(AG182)&lt;1.05,"CONFORME",IF(ABS(AS182)&lt;2.55,"CONFORME","NO CONFORME"))))</f><v /></c><c r="BC182" s="62"><f>(IF(ABS(U182)&gt;2.05,"NO CONFORME",IF(ABS(AG182)&gt;2.05,"NO CONFORME",IF(ABS(AS182)&gt;5.05,"NO CONFORME","CONFORME"))))</f><v /></c><c r="BD182" s="64"><f>SIGN(U182)</f><v /></c><c r="BE182" s="64"><f>SIGN(AG182)</f><v /></c><c r="BF182" s="64"><f>SIGN(AS182)</f><v /></c><c r="BG182" s="64"><f>CONCATENATE(BD182,BE182,BF182)</f><v /></c><c r="BH182" s="64"><f>IF(BG182="111","SI","SD")</f><v /></c><c r="BI182" s="64"><f>IF(BG182="-1-1-1","SI","SD")</f><v /></c><c r="BJ182" s="64"><f>OR(BH182="SI",BI182="SI")</f><v /></c><c r="BK182" s="64"><f>IF(BJ182=FALSE,"SIGDIFERENTES","SIGIGUALES")</f><v /></c><c r="BL182" s="21"><f>IF(BC182="NO CONFORME","NO CONFORME",IF(BB182="CONFORME","CONFORME","NO CONFORME"))</f><v /></c><c r="BM182" s="66" t="n" /><c r="BN182" s="66" t="n" /></row><row r="183" ht="15" customHeight="1"><c r="A183" s="55" t="n"><v>175</v></c><c r="B183" s="304"><f>B182</f><v /></c><c r="C183" s="304"><f>C182</f><v /></c><c r="D183" s="94"><f>D182</f><v /></c><c r="E183" s="95"><f>E182</f><v /></c><c r="F183" s="96" t="n" /><c r="G183" s="305" t="n" /><c r="H183" s="98"><f>H182</f><v /></c><c r="I183" s="98" t="n" /><c r="J183" s="306"><f>J182</f><v /></c><c r="K183" s="306"><f>K182</f><v /></c><c r="L183" s="306"><f>L182</f><v /></c><c r="M183" s="100" t="n" /><c r="N183" s="100" t="n" /><c r="O183" s="101"><f>O182</f><v /></c><c r="P183" s="307"><f>P182</f><v /></c><c r="Q183" s="10"><f>LEFT(P183,1)</f><v /></c><c r="R183" s="10"><f>RIGHT(P183,6)</f><v /></c><c r="S183" s="10"><f>+(Q183*60+R183)/(60*60)</f><v /></c><c r="T183" s="13"><f>+O183/S183</f><v /></c><c r="U183" s="300"><f>+(((N183-M183-O183)/O183)*100)</f><v /></c><c r="V183" s="308"><f>V182</f><v /></c><c r="W183" s="309"><f>W182</f><v /></c><c r="X183" s="309"><f>X182</f><v /></c><c r="Y183" s="100" t="n" /><c r="Z183" s="100" t="n" /><c r="AA183" s="109"><f>AA182</f><v /></c><c r="AB183" s="307"><f>AB182</f><v /></c><c r="AC183" s="10"><f>LEFT(AB183,2)</f><v /></c><c r="AD183" s="10"><f>RIGHT(AB183,6)</f><v /></c><c r="AE183" s="10"><f>+(AC183*60+AD183)/(60*60)</f><v /></c><c r="AF183" s="13"><f>+AA183/AE183</f><v /></c><c r="AG183" s="303"><f>+(((Z183-Y183-AA183)/AA183)*100)</f><v /></c><c r="AH183" s="308"><f>AH182</f><v /></c><c r="AI183" s="308"><f>AI182</f><v /></c><c r="AJ183" s="308"><f>AJ182</f><v /></c><c r="AK183" s="100"><f>+Z183</f><v /></c><c r="AL183" s="100" t="n" /><c r="AM183" s="112"><f>AM182</f><v /></c><c r="AN183" s="307"><f>AN182</f><v /></c><c r="AO183" s="10"><f>LEFT(AN183,2)</f><v /></c><c r="AP183" s="10"><f>RIGHT(AN183,6)</f><v /></c><c r="AQ183" s="10"><f>+(AO183*60+AP183)/(60*60)</f><v /></c><c r="AR183" s="13"><f>+AM183/AQ183</f><v /></c><c r="AS183" s="303"><f>+(((AL183-AK183-AM183)/AM183)*100)</f><v /></c><c r="AT183" s="64"><f>IF(I183&gt;=1,"NO CONFORME",IF(BK183="SIGDIFERENTES",BC183,BL183))</f><v /></c><c r="AU183" s="21"><f>B183&lt;=C183</f><v /></c><c r="AV183" s="21"><f>N183&lt;Y183</f><v /></c><c r="AW183" s="21"><f>Z183&lt;=AK183</f><v /></c><c r="AX183" s="21"><f>IF(I183&gt;=1,"Qcorrecto",IF(AND(AY183="aceptable",AZ183="aceptable",BA183="aceptable"),"Qcorrecto","Qincorrecto"))</f><v /></c><c r="AY183" s="21"><f>IF(AR183&lt;$AH$6,"error",IF(AR183&gt;$AH$6*1.1,"error","aceptable"))</f><v /></c><c r="AZ183" s="21"><f>IF(AF183&lt;$V$6,"error",IF(AF183&gt;$V$6*1.1,"error","aceptable"))</f><v /></c><c r="BA183" s="21"><f>IF(T183&lt;$J$6*0.9,"error",IF(T183&gt;$J$6,"error","aceptable"))</f><v /></c><c r="BB183" s="65"><f>(IF(ABS(U183)&lt;1.05,"CONFORME",IF(ABS(AG183)&lt;1.05,"CONFORME",IF(ABS(AS183)&lt;2.55,"CONFORME","NO CONFORME"))))</f><v /></c><c r="BC183" s="62"><f>(IF(ABS(U183)&gt;2.05,"NO CONFORME",IF(ABS(AG183)&gt;2.05,"NO CONFORME",IF(ABS(AS183)&gt;5.05,"NO CONFORME","CONFORME"))))</f><v /></c><c r="BD183" s="64"><f>SIGN(U183)</f><v /></c><c r="BE183" s="64"><f>SIGN(AG183)</f><v /></c><c r="BF183" s="64"><f>SIGN(AS183)</f><v /></c><c r="BG183" s="64"><f>CONCATENATE(BD183,BE183,BF183)</f><v /></c><c r="BH183" s="64"><f>IF(BG183="111","SI","SD")</f><v /></c><c r="BI183" s="64"><f>IF(BG183="-1-1-1","SI","SD")</f><v /></c><c r="BJ183" s="64"><f>OR(BH183="SI",BI183="SI")</f><v /></c><c r="BK183" s="64"><f>IF(BJ183=FALSE,"SIGDIFERENTES","SIGIGUALES")</f><v /></c><c r="BL183" s="21"><f>IF(BC183="NO CONFORME","NO CONFORME",IF(BB183="CONFORME","CONFORME","NO CONFORME"))</f><v /></c><c r="BM183" s="66" t="n" /><c r="BN183" s="66" t="n" /></row><row r="184" ht="15.75" customHeight="1" thickBot="1"><c r="A184" s="9" t="n"><v>176</v></c><c r="B184" s="296"><f>B183</f><v /></c><c r="C184" s="296"><f>C183</f><v /></c><c r="D184" s="11"><f>D183</f><v /></c><c r="E184" s="9"><f>E183</f><v /></c><c r="F184" s="12" t="n" /><c r="G184" s="297" t="n" /><c r="H184" s="90"><f>H183</f><v /></c><c r="I184" s="90" t="n" /><c r="J184" s="298"><f>J183</f><v /></c><c r="K184" s="298"><f>K183</f><v /></c><c r="L184" s="298"><f>L183</f><v /></c><c r="M184" s="52" t="n" /><c r="N184" s="52" t="n" /><c r="O184" s="30"><f>O183</f><v /></c><c r="P184" s="299"><f>P183</f><v /></c><c r="Q184" s="10"><f>LEFT(P184,1)</f><v /></c><c r="R184" s="10"><f>RIGHT(P184,6)</f><v /></c><c r="S184" s="10"><f>+(Q184*60+R184)/(60*60)</f><v /></c><c r="T184" s="13"><f>+O184/S184</f><v /></c><c r="U184" s="300"><f>+(((N184-M184-O184)/O184)*100)</f><v /></c><c r="V184" s="301"><f>V183</f><v /></c><c r="W184" s="302"><f>W183</f><v /></c><c r="X184" s="302"><f>X183</f><v /></c><c r="Y184" s="52" t="n" /><c r="Z184" s="52" t="n" /><c r="AA184" s="106"><f>AA183</f><v /></c><c r="AB184" s="299"><f>AB183</f><v /></c><c r="AC184" s="10"><f>LEFT(AB184,2)</f><v /></c><c r="AD184" s="10"><f>RIGHT(AB184,6)</f><v /></c><c r="AE184" s="10"><f>+(AC184*60+AD184)/(60*60)</f><v /></c><c r="AF184" s="13"><f>+AA184/AE184</f><v /></c><c r="AG184" s="303"><f>+(((Z184-Y184-AA184)/AA184)*100)</f><v /></c><c r="AH184" s="301"><f>AH183</f><v /></c><c r="AI184" s="301"><f>AI183</f><v /></c><c r="AJ184" s="301"><f>AJ183</f><v /></c><c r="AK184" s="52"><f>+Z184</f><v /></c><c r="AL184" s="52" t="n" /><c r="AM184" s="111"><f>AM183</f><v /></c><c r="AN184" s="299"><f>AN183</f><v /></c><c r="AO184" s="10"><f>LEFT(AN184,2)</f><v /></c><c r="AP184" s="10"><f>RIGHT(AN184,6)</f><v /></c><c r="AQ184" s="10"><f>+(AO184*60+AP184)/(60*60)</f><v /></c><c r="AR184" s="13"><f>+AM184/AQ184</f><v /></c><c r="AS184" s="303"><f>+(((AL184-AK184-AM184)/AM184)*100)</f><v /></c><c r="AT184" s="64"><f>IF(I184&gt;=1,"NO CONFORME",IF(BK184="SIGDIFERENTES",BC184,BL184))</f><v /></c><c r="AU184" s="21"><f>B184&lt;=C184</f><v /></c><c r="AV184" s="21"><f>N184&lt;Y184</f><v /></c><c r="AW184" s="21"><f>Z184&lt;=AK184</f><v /></c><c r="AX184" s="21"><f>IF(I184&gt;=1,"Qcorrecto",IF(AND(AY184="aceptable",AZ184="aceptable",BA184="aceptable"),"Qcorrecto","Qincorrecto"))</f><v /></c><c r="AY184" s="21"><f>IF(AR184&lt;$AH$6,"error",IF(AR184&gt;$AH$6*1.1,"error","aceptable"))</f><v /></c><c r="AZ184" s="21"><f>IF(AF184&lt;$V$6,"error",IF(AF184&gt;$V$6*1.1,"error","aceptable"))</f><v /></c><c r="BA184" s="21"><f>IF(T184&lt;$J$6*0.9,"error",IF(T184&gt;$J$6,"error","aceptable"))</f><v /></c><c r="BB184" s="65"><f>(IF(ABS(U184)&lt;1.05,"CONFORME",IF(ABS(AG184)&lt;1.05,"CONFORME",IF(ABS(AS184)&lt;2.55,"CONFORME","NO CONFORME"))))</f><v /></c><c r="BC184" s="62"><f>(IF(ABS(U184)&gt;2.05,"NO CONFORME",IF(ABS(AG184)&gt;2.05,"NO CONFORME",IF(ABS(AS184)&gt;5.05,"NO CONFORME","CONFORME"))))</f><v /></c><c r="BD184" s="64"><f>SIGN(U184)</f><v /></c><c r="BE184" s="64"><f>SIGN(AG184)</f><v /></c><c r="BF184" s="64"><f>SIGN(AS184)</f><v /></c><c r="BG184" s="64"><f>CONCATENATE(BD184,BE184,BF184)</f><v /></c><c r="BH184" s="64"><f>IF(BG184="111","SI","SD")</f><v /></c><c r="BI184" s="64"><f>IF(BG184="-1-1-1","SI","SD")</f><v /></c><c r="BJ184" s="64"><f>OR(BH184="SI",BI184="SI")</f><v /></c><c r="BK184" s="64"><f>IF(BJ184=FALSE,"SIGDIFERENTES","SIGIGUALES")</f><v /></c><c r="BL184" s="21"><f>IF(BC184="NO CONFORME","NO CONFORME",IF(BB184="CONFORME","CONFORME","NO CONFORME"))</f><v /></c><c r="BM184" s="66" t="n" /><c r="BN184" s="66" t="n" /></row><row r="185" ht="15" customHeight="1"><c r="A185" s="55" t="n"><v>177</v></c><c r="B185" s="304"><f>B184</f><v /></c><c r="C185" s="304"><f>C184</f><v /></c><c r="D185" s="94"><f>D184</f><v /></c><c r="E185" s="95"><f>E184</f><v /></c><c r="F185" s="96" t="n" /><c r="G185" s="305" t="n" /><c r="H185" s="98"><f>H184</f><v /></c><c r="I185" s="98" t="n" /><c r="J185" s="306"><f>J184</f><v /></c><c r="K185" s="306"><f>K184</f><v /></c><c r="L185" s="306"><f>L184</f><v /></c><c r="M185" s="100" t="n" /><c r="N185" s="100" t="n" /><c r="O185" s="101"><f>O184</f><v /></c><c r="P185" s="307"><f>P184</f><v /></c><c r="Q185" s="10"><f>LEFT(P185,1)</f><v /></c><c r="R185" s="10"><f>RIGHT(P185,6)</f><v /></c><c r="S185" s="10"><f>+(Q185*60+R185)/(60*60)</f><v /></c><c r="T185" s="13"><f>+O185/S185</f><v /></c><c r="U185" s="300"><f>+(((N185-M185-O185)/O185)*100)</f><v /></c><c r="V185" s="308"><f>V184</f><v /></c><c r="W185" s="309"><f>W184</f><v /></c><c r="X185" s="309"><f>X184</f><v /></c><c r="Y185" s="100" t="n" /><c r="Z185" s="100" t="n" /><c r="AA185" s="109"><f>AA184</f><v /></c><c r="AB185" s="307"><f>AB184</f><v /></c><c r="AC185" s="10"><f>LEFT(AB185,2)</f><v /></c><c r="AD185" s="10"><f>RIGHT(AB185,6)</f><v /></c><c r="AE185" s="10"><f>+(AC185*60+AD185)/(60*60)</f><v /></c><c r="AF185" s="13"><f>+AA185/AE185</f><v /></c><c r="AG185" s="303"><f>+(((Z185-Y185-AA185)/AA185)*100)</f><v /></c><c r="AH185" s="308"><f>AH184</f><v /></c><c r="AI185" s="308"><f>AI184</f><v /></c><c r="AJ185" s="308"><f>AJ184</f><v /></c><c r="AK185" s="100"><f>+Z185</f><v /></c><c r="AL185" s="100" t="n" /><c r="AM185" s="112"><f>AM184</f><v /></c><c r="AN185" s="307"><f>AN184</f><v /></c><c r="AO185" s="10"><f>LEFT(AN185,2)</f><v /></c><c r="AP185" s="10"><f>RIGHT(AN185,6)</f><v /></c><c r="AQ185" s="10"><f>+(AO185*60+AP185)/(60*60)</f><v /></c><c r="AR185" s="13"><f>+AM185/AQ185</f><v /></c><c r="AS185" s="303"><f>+(((AL185-AK185-AM185)/AM185)*100)</f><v /></c><c r="AT185" s="64"><f>IF(I185&gt;=1,"NO CONFORME",IF(BK185="SIGDIFERENTES",BC185,BL185))</f><v /></c><c r="AU185" s="21"><f>B185&lt;=C185</f><v /></c><c r="AV185" s="21"><f>N185&lt;Y185</f><v /></c><c r="AW185" s="21"><f>Z185&lt;=AK185</f><v /></c><c r="AX185" s="21"><f>IF(I185&gt;=1,"Qcorrecto",IF(AND(AY185="aceptable",AZ185="aceptable",BA185="aceptable"),"Qcorrecto","Qincorrecto"))</f><v /></c><c r="AY185" s="21"><f>IF(AR185&lt;$AH$6,"error",IF(AR185&gt;$AH$6*1.1,"error","aceptable"))</f><v /></c><c r="AZ185" s="21"><f>IF(AF185&lt;$V$6,"error",IF(AF185&gt;$V$6*1.1,"error","aceptable"))</f><v /></c><c r="BA185" s="21"><f>IF(T185&lt;$J$6*0.9,"error",IF(T185&gt;$J$6,"error","aceptable"))</f><v /></c><c r="BB185" s="65"><f>(IF(ABS(U185)&lt;1.05,"CONFORME",IF(ABS(AG185)&lt;1.05,"CONFORME",IF(ABS(AS185)&lt;2.55,"CONFORME","NO CONFORME"))))</f><v /></c><c r="BC185" s="62"><f>(IF(ABS(U185)&gt;2.05,"NO CONFORME",IF(ABS(AG185)&gt;2.05,"NO CONFORME",IF(ABS(AS185)&gt;5.05,"NO CONFORME","CONFORME"))))</f><v /></c><c r="BD185" s="64"><f>SIGN(U185)</f><v /></c><c r="BE185" s="64"><f>SIGN(AG185)</f><v /></c><c r="BF185" s="64"><f>SIGN(AS185)</f><v /></c><c r="BG185" s="64"><f>CONCATENATE(BD185,BE185,BF185)</f><v /></c><c r="BH185" s="64"><f>IF(BG185="111","SI","SD")</f><v /></c><c r="BI185" s="64"><f>IF(BG185="-1-1-1","SI","SD")</f><v /></c><c r="BJ185" s="64"><f>OR(BH185="SI",BI185="SI")</f><v /></c><c r="BK185" s="64"><f>IF(BJ185=FALSE,"SIGDIFERENTES","SIGIGUALES")</f><v /></c><c r="BL185" s="21"><f>IF(BC185="NO CONFORME","NO CONFORME",IF(BB185="CONFORME","CONFORME","NO CONFORME"))</f><v /></c><c r="BM185" s="66" t="n" /><c r="BN185" s="66" t="n" /></row><row r="186" ht="15.75" customHeight="1" thickBot="1"><c r="A186" s="9" t="n"><v>178</v></c><c r="B186" s="296"><f>B185</f><v /></c><c r="C186" s="296"><f>C185</f><v /></c><c r="D186" s="11"><f>D185</f><v /></c><c r="E186" s="9"><f>E185</f><v /></c><c r="F186" s="12" t="n" /><c r="G186" s="297" t="n" /><c r="H186" s="90"><f>H185</f><v /></c><c r="I186" s="90" t="n" /><c r="J186" s="298"><f>J185</f><v /></c><c r="K186" s="298"><f>K185</f><v /></c><c r="L186" s="298"><f>L185</f><v /></c><c r="M186" s="52" t="n" /><c r="N186" s="52" t="n" /><c r="O186" s="30"><f>O185</f><v /></c><c r="P186" s="299"><f>P185</f><v /></c><c r="Q186" s="10"><f>LEFT(P186,1)</f><v /></c><c r="R186" s="10"><f>RIGHT(P186,6)</f><v /></c><c r="S186" s="10"><f>+(Q186*60+R186)/(60*60)</f><v /></c><c r="T186" s="13"><f>+O186/S186</f><v /></c><c r="U186" s="300"><f>+(((N186-M186-O186)/O186)*100)</f><v /></c><c r="V186" s="301"><f>V185</f><v /></c><c r="W186" s="302"><f>W185</f><v /></c><c r="X186" s="302"><f>X185</f><v /></c><c r="Y186" s="52" t="n" /><c r="Z186" s="52" t="n" /><c r="AA186" s="106"><f>AA185</f><v /></c><c r="AB186" s="299"><f>AB185</f><v /></c><c r="AC186" s="10"><f>LEFT(AB186,2)</f><v /></c><c r="AD186" s="10"><f>RIGHT(AB186,6)</f><v /></c><c r="AE186" s="10"><f>+(AC186*60+AD186)/(60*60)</f><v /></c><c r="AF186" s="13"><f>+AA186/AE186</f><v /></c><c r="AG186" s="303"><f>+(((Z186-Y186-AA186)/AA186)*100)</f><v /></c><c r="AH186" s="301"><f>AH185</f><v /></c><c r="AI186" s="301"><f>AI185</f><v /></c><c r="AJ186" s="301"><f>AJ185</f><v /></c><c r="AK186" s="52"><f>+Z186</f><v /></c><c r="AL186" s="52" t="n" /><c r="AM186" s="111"><f>AM185</f><v /></c><c r="AN186" s="299"><f>AN185</f><v /></c><c r="AO186" s="10"><f>LEFT(AN186,2)</f><v /></c><c r="AP186" s="10"><f>RIGHT(AN186,6)</f><v /></c><c r="AQ186" s="10"><f>+(AO186*60+AP186)/(60*60)</f><v /></c><c r="AR186" s="13"><f>+AM186/AQ186</f><v /></c><c r="AS186" s="303"><f>+(((AL186-AK186-AM186)/AM186)*100)</f><v /></c><c r="AT186" s="64"><f>IF(I186&gt;=1,"NO CONFORME",IF(BK186="SIGDIFERENTES",BC186,BL186))</f><v /></c><c r="AU186" s="21"><f>B186&lt;=C186</f><v /></c><c r="AV186" s="21"><f>N186&lt;Y186</f><v /></c><c r="AW186" s="21"><f>Z186&lt;=AK186</f><v /></c><c r="AX186" s="21"><f>IF(I186&gt;=1,"Qcorrecto",IF(AND(AY186="aceptable",AZ186="aceptable",BA186="aceptable"),"Qcorrecto","Qincorrecto"))</f><v /></c><c r="AY186" s="21"><f>IF(AR186&lt;$AH$6,"error",IF(AR186&gt;$AH$6*1.1,"error","aceptable"))</f><v /></c><c r="AZ186" s="21"><f>IF(AF186&lt;$V$6,"error",IF(AF186&gt;$V$6*1.1,"error","aceptable"))</f><v /></c><c r="BA186" s="21"><f>IF(T186&lt;$J$6*0.9,"error",IF(T186&gt;$J$6,"error","aceptable"))</f><v /></c><c r="BB186" s="65"><f>(IF(ABS(U186)&lt;1.05,"CONFORME",IF(ABS(AG186)&lt;1.05,"CONFORME",IF(ABS(AS186)&lt;2.55,"CONFORME","NO CONFORME"))))</f><v /></c><c r="BC186" s="62"><f>(IF(ABS(U186)&gt;2.05,"NO CONFORME",IF(ABS(AG186)&gt;2.05,"NO CONFORME",IF(ABS(AS186)&gt;5.05,"NO CONFORME","CONFORME"))))</f><v /></c><c r="BD186" s="64"><f>SIGN(U186)</f><v /></c><c r="BE186" s="64"><f>SIGN(AG186)</f><v /></c><c r="BF186" s="64"><f>SIGN(AS186)</f><v /></c><c r="BG186" s="64"><f>CONCATENATE(BD186,BE186,BF186)</f><v /></c><c r="BH186" s="64"><f>IF(BG186="111","SI","SD")</f><v /></c><c r="BI186" s="64"><f>IF(BG186="-1-1-1","SI","SD")</f><v /></c><c r="BJ186" s="64"><f>OR(BH186="SI",BI186="SI")</f><v /></c><c r="BK186" s="64"><f>IF(BJ186=FALSE,"SIGDIFERENTES","SIGIGUALES")</f><v /></c><c r="BL186" s="21"><f>IF(BC186="NO CONFORME","NO CONFORME",IF(BB186="CONFORME","CONFORME","NO CONFORME"))</f><v /></c><c r="BM186" s="66" t="n" /><c r="BN186" s="66" t="n" /></row><row r="187" ht="15" customHeight="1"><c r="A187" s="55" t="n"><v>179</v></c><c r="B187" s="304"><f>B186</f><v /></c><c r="C187" s="304"><f>C186</f><v /></c><c r="D187" s="94"><f>D186</f><v /></c><c r="E187" s="95"><f>E186</f><v /></c><c r="F187" s="96" t="n" /><c r="G187" s="305" t="n" /><c r="H187" s="98"><f>H186</f><v /></c><c r="I187" s="98" t="n" /><c r="J187" s="306"><f>J186</f><v /></c><c r="K187" s="306"><f>K186</f><v /></c><c r="L187" s="306"><f>L186</f><v /></c><c r="M187" s="100" t="n" /><c r="N187" s="100" t="n" /><c r="O187" s="101"><f>O186</f><v /></c><c r="P187" s="307"><f>P186</f><v /></c><c r="Q187" s="10"><f>LEFT(P187,1)</f><v /></c><c r="R187" s="10"><f>RIGHT(P187,6)</f><v /></c><c r="S187" s="10"><f>+(Q187*60+R187)/(60*60)</f><v /></c><c r="T187" s="13"><f>+O187/S187</f><v /></c><c r="U187" s="300"><f>+(((N187-M187-O187)/O187)*100)</f><v /></c><c r="V187" s="308"><f>V186</f><v /></c><c r="W187" s="309"><f>W186</f><v /></c><c r="X187" s="309"><f>X186</f><v /></c><c r="Y187" s="100" t="n" /><c r="Z187" s="100" t="n" /><c r="AA187" s="109"><f>AA186</f><v /></c><c r="AB187" s="307"><f>AB186</f><v /></c><c r="AC187" s="10"><f>LEFT(AB187,2)</f><v /></c><c r="AD187" s="10"><f>RIGHT(AB187,6)</f><v /></c><c r="AE187" s="10"><f>+(AC187*60+AD187)/(60*60)</f><v /></c><c r="AF187" s="13"><f>+AA187/AE187</f><v /></c><c r="AG187" s="303"><f>+(((Z187-Y187-AA187)/AA187)*100)</f><v /></c><c r="AH187" s="308"><f>AH186</f><v /></c><c r="AI187" s="308"><f>AI186</f><v /></c><c r="AJ187" s="308"><f>AJ186</f><v /></c><c r="AK187" s="100"><f>+Z187</f><v /></c><c r="AL187" s="100" t="n" /><c r="AM187" s="112"><f>AM186</f><v /></c><c r="AN187" s="307"><f>AN186</f><v /></c><c r="AO187" s="10"><f>LEFT(AN187,2)</f><v /></c><c r="AP187" s="10"><f>RIGHT(AN187,6)</f><v /></c><c r="AQ187" s="10"><f>+(AO187*60+AP187)/(60*60)</f><v /></c><c r="AR187" s="13"><f>+AM187/AQ187</f><v /></c><c r="AS187" s="303"><f>+(((AL187-AK187-AM187)/AM187)*100)</f><v /></c><c r="AT187" s="64"><f>IF(I187&gt;=1,"NO CONFORME",IF(BK187="SIGDIFERENTES",BC187,BL187))</f><v /></c><c r="AU187" s="21"><f>B187&lt;=C187</f><v /></c><c r="AV187" s="21"><f>N187&lt;Y187</f><v /></c><c r="AW187" s="21"><f>Z187&lt;=AK187</f><v /></c><c r="AX187" s="21"><f>IF(I187&gt;=1,"Qcorrecto",IF(AND(AY187="aceptable",AZ187="aceptable",BA187="aceptable"),"Qcorrecto","Qincorrecto"))</f><v /></c><c r="AY187" s="21"><f>IF(AR187&lt;$AH$6,"error",IF(AR187&gt;$AH$6*1.1,"error","aceptable"))</f><v /></c><c r="AZ187" s="21"><f>IF(AF187&lt;$V$6,"error",IF(AF187&gt;$V$6*1.1,"error","aceptable"))</f><v /></c><c r="BA187" s="21"><f>IF(T187&lt;$J$6*0.9,"error",IF(T187&gt;$J$6,"error","aceptable"))</f><v /></c><c r="BB187" s="65"><f>(IF(ABS(U187)&lt;1.05,"CONFORME",IF(ABS(AG187)&lt;1.05,"CONFORME",IF(ABS(AS187)&lt;2.55,"CONFORME","NO CONFORME"))))</f><v /></c><c r="BC187" s="62"><f>(IF(ABS(U187)&gt;2.05,"NO CONFORME",IF(ABS(AG187)&gt;2.05,"NO CONFORME",IF(ABS(AS187)&gt;5.05,"NO CONFORME","CONFORME"))))</f><v /></c><c r="BD187" s="64"><f>SIGN(U187)</f><v /></c><c r="BE187" s="64"><f>SIGN(AG187)</f><v /></c><c r="BF187" s="64"><f>SIGN(AS187)</f><v /></c><c r="BG187" s="64"><f>CONCATENATE(BD187,BE187,BF187)</f><v /></c><c r="BH187" s="64"><f>IF(BG187="111","SI","SD")</f><v /></c><c r="BI187" s="64"><f>IF(BG187="-1-1-1","SI","SD")</f><v /></c><c r="BJ187" s="64"><f>OR(BH187="SI",BI187="SI")</f><v /></c><c r="BK187" s="64"><f>IF(BJ187=FALSE,"SIGDIFERENTES","SIGIGUALES")</f><v /></c><c r="BL187" s="21"><f>IF(BC187="NO CONFORME","NO CONFORME",IF(BB187="CONFORME","CONFORME","NO CONFORME"))</f><v /></c><c r="BM187" s="66" t="n" /><c r="BN187" s="66" t="n" /></row><row r="188" ht="15.75" customHeight="1" thickBot="1"><c r="A188" s="9" t="n"><v>180</v></c><c r="B188" s="296"><f>B187</f><v /></c><c r="C188" s="296"><f>C187</f><v /></c><c r="D188" s="11"><f>D187</f><v /></c><c r="E188" s="9"><f>E187</f><v /></c><c r="F188" s="12" t="n" /><c r="G188" s="297" t="n" /><c r="H188" s="90"><f>H187</f><v /></c><c r="I188" s="90" t="n" /><c r="J188" s="298"><f>J187</f><v /></c><c r="K188" s="298"><f>K187</f><v /></c><c r="L188" s="298"><f>L187</f><v /></c><c r="M188" s="52" t="n" /><c r="N188" s="52" t="n" /><c r="O188" s="30"><f>O187</f><v /></c><c r="P188" s="299"><f>P187</f><v /></c><c r="Q188" s="10"><f>LEFT(P188,1)</f><v /></c><c r="R188" s="10"><f>RIGHT(P188,6)</f><v /></c><c r="S188" s="10"><f>+(Q188*60+R188)/(60*60)</f><v /></c><c r="T188" s="13"><f>+O188/S188</f><v /></c><c r="U188" s="300"><f>+(((N188-M188-O188)/O188)*100)</f><v /></c><c r="V188" s="301"><f>V187</f><v /></c><c r="W188" s="302"><f>W187</f><v /></c><c r="X188" s="302"><f>X187</f><v /></c><c r="Y188" s="52" t="n" /><c r="Z188" s="52" t="n" /><c r="AA188" s="106"><f>AA187</f><v /></c><c r="AB188" s="299"><f>AB187</f><v /></c><c r="AC188" s="10"><f>LEFT(AB188,2)</f><v /></c><c r="AD188" s="10"><f>RIGHT(AB188,6)</f><v /></c><c r="AE188" s="10"><f>+(AC188*60+AD188)/(60*60)</f><v /></c><c r="AF188" s="13"><f>+AA188/AE188</f><v /></c><c r="AG188" s="303"><f>+(((Z188-Y188-AA188)/AA188)*100)</f><v /></c><c r="AH188" s="301"><f>AH187</f><v /></c><c r="AI188" s="301"><f>AI187</f><v /></c><c r="AJ188" s="301"><f>AJ187</f><v /></c><c r="AK188" s="52"><f>+Z188</f><v /></c><c r="AL188" s="52" t="n" /><c r="AM188" s="111"><f>AM187</f><v /></c><c r="AN188" s="299"><f>AN187</f><v /></c><c r="AO188" s="10"><f>LEFT(AN188,2)</f><v /></c><c r="AP188" s="10"><f>RIGHT(AN188,6)</f><v /></c><c r="AQ188" s="10"><f>+(AO188*60+AP188)/(60*60)</f><v /></c><c r="AR188" s="13"><f>+AM188/AQ188</f><v /></c><c r="AS188" s="303"><f>+(((AL188-AK188-AM188)/AM188)*100)</f><v /></c><c r="AT188" s="64"><f>IF(I188&gt;=1,"NO CONFORME",IF(BK188="SIGDIFERENTES",BC188,BL188))</f><v /></c><c r="AU188" s="21"><f>B188&lt;=C188</f><v /></c><c r="AV188" s="21"><f>N188&lt;Y188</f><v /></c><c r="AW188" s="21"><f>Z188&lt;=AK188</f><v /></c><c r="AX188" s="21"><f>IF(I188&gt;=1,"Qcorrecto",IF(AND(AY188="aceptable",AZ188="aceptable",BA188="aceptable"),"Qcorrecto","Qincorrecto"))</f><v /></c><c r="AY188" s="21"><f>IF(AR188&lt;$AH$6,"error",IF(AR188&gt;$AH$6*1.1,"error","aceptable"))</f><v /></c><c r="AZ188" s="21"><f>IF(AF188&lt;$V$6,"error",IF(AF188&gt;$V$6*1.1,"error","aceptable"))</f><v /></c><c r="BA188" s="21"><f>IF(T188&lt;$J$6*0.9,"error",IF(T188&gt;$J$6,"error","aceptable"))</f><v /></c><c r="BB188" s="65"><f>(IF(ABS(U188)&lt;1.05,"CONFORME",IF(ABS(AG188)&lt;1.05,"CONFORME",IF(ABS(AS188)&lt;2.55,"CONFORME","NO CONFORME"))))</f><v /></c><c r="BC188" s="62"><f>(IF(ABS(U188)&gt;2.05,"NO CONFORME",IF(ABS(AG188)&gt;2.05,"NO CONFORME",IF(ABS(AS188)&gt;5.05,"NO CONFORME","CONFORME"))))</f><v /></c><c r="BD188" s="64"><f>SIGN(U188)</f><v /></c><c r="BE188" s="64"><f>SIGN(AG188)</f><v /></c><c r="BF188" s="64"><f>SIGN(AS188)</f><v /></c><c r="BG188" s="64"><f>CONCATENATE(BD188,BE188,BF188)</f><v /></c><c r="BH188" s="64"><f>IF(BG188="111","SI","SD")</f><v /></c><c r="BI188" s="64"><f>IF(BG188="-1-1-1","SI","SD")</f><v /></c><c r="BJ188" s="64"><f>OR(BH188="SI",BI188="SI")</f><v /></c><c r="BK188" s="64"><f>IF(BJ188=FALSE,"SIGDIFERENTES","SIGIGUALES")</f><v /></c><c r="BL188" s="21"><f>IF(BC188="NO CONFORME","NO CONFORME",IF(BB188="CONFORME","CONFORME","NO CONFORME"))</f><v /></c><c r="BM188" s="66" t="n" /><c r="BN188" s="66" t="n" /></row><row r="189" ht="15" customHeight="1"><c r="A189" s="55" t="n"><v>181</v></c><c r="B189" s="304"><f>B188</f><v /></c><c r="C189" s="304"><f>C188</f><v /></c><c r="D189" s="94"><f>D188</f><v /></c><c r="E189" s="95"><f>E188</f><v /></c><c r="F189" s="96" t="n" /><c r="G189" s="305" t="n" /><c r="H189" s="98"><f>H188</f><v /></c><c r="I189" s="98" t="n" /><c r="J189" s="306"><f>J188</f><v /></c><c r="K189" s="306"><f>K188</f><v /></c><c r="L189" s="306"><f>L188</f><v /></c><c r="M189" s="100" t="n" /><c r="N189" s="100" t="n" /><c r="O189" s="101"><f>O188</f><v /></c><c r="P189" s="307"><f>P188</f><v /></c><c r="Q189" s="10"><f>LEFT(P189,1)</f><v /></c><c r="R189" s="10"><f>RIGHT(P189,6)</f><v /></c><c r="S189" s="10"><f>+(Q189*60+R189)/(60*60)</f><v /></c><c r="T189" s="13"><f>+O189/S189</f><v /></c><c r="U189" s="300"><f>+(((N189-M189-O189)/O189)*100)</f><v /></c><c r="V189" s="308"><f>V188</f><v /></c><c r="W189" s="309"><f>W188</f><v /></c><c r="X189" s="309"><f>X188</f><v /></c><c r="Y189" s="100" t="n" /><c r="Z189" s="100" t="n" /><c r="AA189" s="109"><f>AA188</f><v /></c><c r="AB189" s="307"><f>AB188</f><v /></c><c r="AC189" s="10"><f>LEFT(AB189,2)</f><v /></c><c r="AD189" s="10"><f>RIGHT(AB189,6)</f><v /></c><c r="AE189" s="10"><f>+(AC189*60+AD189)/(60*60)</f><v /></c><c r="AF189" s="13"><f>+AA189/AE189</f><v /></c><c r="AG189" s="303"><f>+(((Z189-Y189-AA189)/AA189)*100)</f><v /></c><c r="AH189" s="308"><f>AH188</f><v /></c><c r="AI189" s="308"><f>AI188</f><v /></c><c r="AJ189" s="308"><f>AJ188</f><v /></c><c r="AK189" s="100"><f>+Z189</f><v /></c><c r="AL189" s="100" t="n" /><c r="AM189" s="112"><f>AM188</f><v /></c><c r="AN189" s="307"><f>AN188</f><v /></c><c r="AO189" s="10"><f>LEFT(AN189,2)</f><v /></c><c r="AP189" s="10"><f>RIGHT(AN189,6)</f><v /></c><c r="AQ189" s="10"><f>+(AO189*60+AP189)/(60*60)</f><v /></c><c r="AR189" s="13"><f>+AM189/AQ189</f><v /></c><c r="AS189" s="303"><f>+(((AL189-AK189-AM189)/AM189)*100)</f><v /></c><c r="AT189" s="64"><f>IF(I189&gt;=1,"NO CONFORME",IF(BK189="SIGDIFERENTES",BC189,BL189))</f><v /></c><c r="AU189" s="21"><f>B189&lt;=C189</f><v /></c><c r="AV189" s="21"><f>N189&lt;Y189</f><v /></c><c r="AW189" s="21"><f>Z189&lt;=AK189</f><v /></c><c r="AX189" s="21"><f>IF(I189&gt;=1,"Qcorrecto",IF(AND(AY189="aceptable",AZ189="aceptable",BA189="aceptable"),"Qcorrecto","Qincorrecto"))</f><v /></c><c r="AY189" s="21"><f>IF(AR189&lt;$AH$6,"error",IF(AR189&gt;$AH$6*1.1,"error","aceptable"))</f><v /></c><c r="AZ189" s="21"><f>IF(AF189&lt;$V$6,"error",IF(AF189&gt;$V$6*1.1,"error","aceptable"))</f><v /></c><c r="BA189" s="21"><f>IF(T189&lt;$J$6*0.9,"error",IF(T189&gt;$J$6,"error","aceptable"))</f><v /></c><c r="BB189" s="65"><f>(IF(ABS(U189)&lt;1.05,"CONFORME",IF(ABS(AG189)&lt;1.05,"CONFORME",IF(ABS(AS189)&lt;2.55,"CONFORME","NO CONFORME"))))</f><v /></c><c r="BC189" s="62"><f>(IF(ABS(U189)&gt;2.05,"NO CONFORME",IF(ABS(AG189)&gt;2.05,"NO CONFORME",IF(ABS(AS189)&gt;5.05,"NO CONFORME","CONFORME"))))</f><v /></c><c r="BD189" s="64"><f>SIGN(U189)</f><v /></c><c r="BE189" s="64"><f>SIGN(AG189)</f><v /></c><c r="BF189" s="64"><f>SIGN(AS189)</f><v /></c><c r="BG189" s="64"><f>CONCATENATE(BD189,BE189,BF189)</f><v /></c><c r="BH189" s="64"><f>IF(BG189="111","SI","SD")</f><v /></c><c r="BI189" s="64"><f>IF(BG189="-1-1-1","SI","SD")</f><v /></c><c r="BJ189" s="64"><f>OR(BH189="SI",BI189="SI")</f><v /></c><c r="BK189" s="64"><f>IF(BJ189=FALSE,"SIGDIFERENTES","SIGIGUALES")</f><v /></c><c r="BL189" s="21"><f>IF(BC189="NO CONFORME","NO CONFORME",IF(BB189="CONFORME","CONFORME","NO CONFORME"))</f><v /></c><c r="BM189" s="66" t="n" /><c r="BN189" s="66" t="n" /></row><row r="190" ht="15.75" customHeight="1" thickBot="1"><c r="A190" s="9" t="n"><v>182</v></c><c r="B190" s="296"><f>B189</f><v /></c><c r="C190" s="296"><f>C189</f><v /></c><c r="D190" s="11"><f>D189</f><v /></c><c r="E190" s="9"><f>E189</f><v /></c><c r="F190" s="12" t="n" /><c r="G190" s="297" t="n" /><c r="H190" s="90"><f>H189</f><v /></c><c r="I190" s="90" t="n" /><c r="J190" s="298"><f>J189</f><v /></c><c r="K190" s="298"><f>K189</f><v /></c><c r="L190" s="298"><f>L189</f><v /></c><c r="M190" s="52" t="n" /><c r="N190" s="52" t="n" /><c r="O190" s="30"><f>O189</f><v /></c><c r="P190" s="299"><f>P189</f><v /></c><c r="Q190" s="10"><f>LEFT(P190,1)</f><v /></c><c r="R190" s="10"><f>RIGHT(P190,6)</f><v /></c><c r="S190" s="10"><f>+(Q190*60+R190)/(60*60)</f><v /></c><c r="T190" s="13"><f>+O190/S190</f><v /></c><c r="U190" s="300"><f>+(((N190-M190-O190)/O190)*100)</f><v /></c><c r="V190" s="301"><f>V189</f><v /></c><c r="W190" s="302"><f>W189</f><v /></c><c r="X190" s="302"><f>X189</f><v /></c><c r="Y190" s="52" t="n" /><c r="Z190" s="52" t="n" /><c r="AA190" s="106"><f>AA189</f><v /></c><c r="AB190" s="299"><f>AB189</f><v /></c><c r="AC190" s="10"><f>LEFT(AB190,2)</f><v /></c><c r="AD190" s="10"><f>RIGHT(AB190,6)</f><v /></c><c r="AE190" s="10"><f>+(AC190*60+AD190)/(60*60)</f><v /></c><c r="AF190" s="13"><f>+AA190/AE190</f><v /></c><c r="AG190" s="303"><f>+(((Z190-Y190-AA190)/AA190)*100)</f><v /></c><c r="AH190" s="301"><f>AH189</f><v /></c><c r="AI190" s="301"><f>AI189</f><v /></c><c r="AJ190" s="301"><f>AJ189</f><v /></c><c r="AK190" s="52"><f>+Z190</f><v /></c><c r="AL190" s="52" t="n" /><c r="AM190" s="111"><f>AM189</f><v /></c><c r="AN190" s="299"><f>AN189</f><v /></c><c r="AO190" s="10"><f>LEFT(AN190,2)</f><v /></c><c r="AP190" s="10"><f>RIGHT(AN190,6)</f><v /></c><c r="AQ190" s="10"><f>+(AO190*60+AP190)/(60*60)</f><v /></c><c r="AR190" s="13"><f>+AM190/AQ190</f><v /></c><c r="AS190" s="303"><f>+(((AL190-AK190-AM190)/AM190)*100)</f><v /></c><c r="AT190" s="64"><f>IF(I190&gt;=1,"NO CONFORME",IF(BK190="SIGDIFERENTES",BC190,BL190))</f><v /></c><c r="AU190" s="21"><f>B190&lt;=C190</f><v /></c><c r="AV190" s="21"><f>N190&lt;Y190</f><v /></c><c r="AW190" s="21"><f>Z190&lt;=AK190</f><v /></c><c r="AX190" s="21"><f>IF(I190&gt;=1,"Qcorrecto",IF(AND(AY190="aceptable",AZ190="aceptable",BA190="aceptable"),"Qcorrecto","Qincorrecto"))</f><v /></c><c r="AY190" s="21"><f>IF(AR190&lt;$AH$6,"error",IF(AR190&gt;$AH$6*1.1,"error","aceptable"))</f><v /></c><c r="AZ190" s="21"><f>IF(AF190&lt;$V$6,"error",IF(AF190&gt;$V$6*1.1,"error","aceptable"))</f><v /></c><c r="BA190" s="21"><f>IF(T190&lt;$J$6*0.9,"error",IF(T190&gt;$J$6,"error","aceptable"))</f><v /></c><c r="BB190" s="65"><f>(IF(ABS(U190)&lt;1.05,"CONFORME",IF(ABS(AG190)&lt;1.05,"CONFORME",IF(ABS(AS190)&lt;2.55,"CONFORME","NO CONFORME"))))</f><v /></c><c r="BC190" s="62"><f>(IF(ABS(U190)&gt;2.05,"NO CONFORME",IF(ABS(AG190)&gt;2.05,"NO CONFORME",IF(ABS(AS190)&gt;5.05,"NO CONFORME","CONFORME"))))</f><v /></c><c r="BD190" s="64"><f>SIGN(U190)</f><v /></c><c r="BE190" s="64"><f>SIGN(AG190)</f><v /></c><c r="BF190" s="64"><f>SIGN(AS190)</f><v /></c><c r="BG190" s="64"><f>CONCATENATE(BD190,BE190,BF190)</f><v /></c><c r="BH190" s="64"><f>IF(BG190="111","SI","SD")</f><v /></c><c r="BI190" s="64"><f>IF(BG190="-1-1-1","SI","SD")</f><v /></c><c r="BJ190" s="64"><f>OR(BH190="SI",BI190="SI")</f><v /></c><c r="BK190" s="64"><f>IF(BJ190=FALSE,"SIGDIFERENTES","SIGIGUALES")</f><v /></c><c r="BL190" s="21"><f>IF(BC190="NO CONFORME","NO CONFORME",IF(BB190="CONFORME","CONFORME","NO CONFORME"))</f><v /></c><c r="BM190" s="66" t="n" /><c r="BN190" s="66" t="n" /></row><row r="191" ht="15" customHeight="1"><c r="A191" s="55" t="n"><v>183</v></c><c r="B191" s="304"><f>B190</f><v /></c><c r="C191" s="304"><f>C190</f><v /></c><c r="D191" s="94"><f>D190</f><v /></c><c r="E191" s="95"><f>E190</f><v /></c><c r="F191" s="96" t="n" /><c r="G191" s="305" t="n" /><c r="H191" s="98"><f>H190</f><v /></c><c r="I191" s="98" t="n" /><c r="J191" s="306"><f>J190</f><v /></c><c r="K191" s="306"><f>K190</f><v /></c><c r="L191" s="306"><f>L190</f><v /></c><c r="M191" s="100" t="n" /><c r="N191" s="100" t="n" /><c r="O191" s="101"><f>O190</f><v /></c><c r="P191" s="307"><f>P190</f><v /></c><c r="Q191" s="10"><f>LEFT(P191,1)</f><v /></c><c r="R191" s="10"><f>RIGHT(P191,6)</f><v /></c><c r="S191" s="10"><f>+(Q191*60+R191)/(60*60)</f><v /></c><c r="T191" s="13"><f>+O191/S191</f><v /></c><c r="U191" s="300"><f>+(((N191-M191-O191)/O191)*100)</f><v /></c><c r="V191" s="308"><f>V190</f><v /></c><c r="W191" s="309"><f>W190</f><v /></c><c r="X191" s="309"><f>X190</f><v /></c><c r="Y191" s="100" t="n" /><c r="Z191" s="100" t="n" /><c r="AA191" s="109"><f>AA190</f><v /></c><c r="AB191" s="307"><f>AB190</f><v /></c><c r="AC191" s="10"><f>LEFT(AB191,2)</f><v /></c><c r="AD191" s="10"><f>RIGHT(AB191,6)</f><v /></c><c r="AE191" s="10"><f>+(AC191*60+AD191)/(60*60)</f><v /></c><c r="AF191" s="13"><f>+AA191/AE191</f><v /></c><c r="AG191" s="303"><f>+(((Z191-Y191-AA191)/AA191)*100)</f><v /></c><c r="AH191" s="308"><f>AH190</f><v /></c><c r="AI191" s="308"><f>AI190</f><v /></c><c r="AJ191" s="308"><f>AJ190</f><v /></c><c r="AK191" s="100"><f>+Z191</f><v /></c><c r="AL191" s="100" t="n" /><c r="AM191" s="112"><f>AM190</f><v /></c><c r="AN191" s="307"><f>AN190</f><v /></c><c r="AO191" s="10"><f>LEFT(AN191,2)</f><v /></c><c r="AP191" s="10"><f>RIGHT(AN191,6)</f><v /></c><c r="AQ191" s="10"><f>+(AO191*60+AP191)/(60*60)</f><v /></c><c r="AR191" s="13"><f>+AM191/AQ191</f><v /></c><c r="AS191" s="303"><f>+(((AL191-AK191-AM191)/AM191)*100)</f><v /></c><c r="AT191" s="64"><f>IF(I191&gt;=1,"NO CONFORME",IF(BK191="SIGDIFERENTES",BC191,BL191))</f><v /></c><c r="AU191" s="21"><f>B191&lt;=C191</f><v /></c><c r="AV191" s="21"><f>N191&lt;Y191</f><v /></c><c r="AW191" s="21"><f>Z191&lt;=AK191</f><v /></c><c r="AX191" s="21"><f>IF(I191&gt;=1,"Qcorrecto",IF(AND(AY191="aceptable",AZ191="aceptable",BA191="aceptable"),"Qcorrecto","Qincorrecto"))</f><v /></c><c r="AY191" s="21"><f>IF(AR191&lt;$AH$6,"error",IF(AR191&gt;$AH$6*1.1,"error","aceptable"))</f><v /></c><c r="AZ191" s="21"><f>IF(AF191&lt;$V$6,"error",IF(AF191&gt;$V$6*1.1,"error","aceptable"))</f><v /></c><c r="BA191" s="21"><f>IF(T191&lt;$J$6*0.9,"error",IF(T191&gt;$J$6,"error","aceptable"))</f><v /></c><c r="BB191" s="65"><f>(IF(ABS(U191)&lt;1.05,"CONFORME",IF(ABS(AG191)&lt;1.05,"CONFORME",IF(ABS(AS191)&lt;2.55,"CONFORME","NO CONFORME"))))</f><v /></c><c r="BC191" s="62"><f>(IF(ABS(U191)&gt;2.05,"NO CONFORME",IF(ABS(AG191)&gt;2.05,"NO CONFORME",IF(ABS(AS191)&gt;5.05,"NO CONFORME","CONFORME"))))</f><v /></c><c r="BD191" s="64"><f>SIGN(U191)</f><v /></c><c r="BE191" s="64"><f>SIGN(AG191)</f><v /></c><c r="BF191" s="64"><f>SIGN(AS191)</f><v /></c><c r="BG191" s="64"><f>CONCATENATE(BD191,BE191,BF191)</f><v /></c><c r="BH191" s="64"><f>IF(BG191="111","SI","SD")</f><v /></c><c r="BI191" s="64"><f>IF(BG191="-1-1-1","SI","SD")</f><v /></c><c r="BJ191" s="64"><f>OR(BH191="SI",BI191="SI")</f><v /></c><c r="BK191" s="64"><f>IF(BJ191=FALSE,"SIGDIFERENTES","SIGIGUALES")</f><v /></c><c r="BL191" s="21"><f>IF(BC191="NO CONFORME","NO CONFORME",IF(BB191="CONFORME","CONFORME","NO CONFORME"))</f><v /></c><c r="BM191" s="66" t="n" /><c r="BN191" s="66" t="n" /></row><row r="192" ht="15.75" customHeight="1" thickBot="1"><c r="A192" s="9" t="n"><v>184</v></c><c r="B192" s="296"><f>B191</f><v /></c><c r="C192" s="296"><f>C191</f><v /></c><c r="D192" s="11"><f>D191</f><v /></c><c r="E192" s="9"><f>E191</f><v /></c><c r="F192" s="12" t="n" /><c r="G192" s="297" t="n" /><c r="H192" s="90"><f>H191</f><v /></c><c r="I192" s="90" t="n" /><c r="J192" s="298"><f>J191</f><v /></c><c r="K192" s="298"><f>K191</f><v /></c><c r="L192" s="298"><f>L191</f><v /></c><c r="M192" s="52" t="n" /><c r="N192" s="52" t="n" /><c r="O192" s="30"><f>O191</f><v /></c><c r="P192" s="299"><f>P191</f><v /></c><c r="Q192" s="10"><f>LEFT(P192,1)</f><v /></c><c r="R192" s="10"><f>RIGHT(P192,6)</f><v /></c><c r="S192" s="10"><f>+(Q192*60+R192)/(60*60)</f><v /></c><c r="T192" s="13"><f>+O192/S192</f><v /></c><c r="U192" s="300"><f>+(((N192-M192-O192)/O192)*100)</f><v /></c><c r="V192" s="301"><f>V191</f><v /></c><c r="W192" s="302"><f>W191</f><v /></c><c r="X192" s="302"><f>X191</f><v /></c><c r="Y192" s="52" t="n" /><c r="Z192" s="52" t="n" /><c r="AA192" s="106"><f>AA191</f><v /></c><c r="AB192" s="299"><f>AB191</f><v /></c><c r="AC192" s="10"><f>LEFT(AB192,2)</f><v /></c><c r="AD192" s="10"><f>RIGHT(AB192,6)</f><v /></c><c r="AE192" s="10"><f>+(AC192*60+AD192)/(60*60)</f><v /></c><c r="AF192" s="13"><f>+AA192/AE192</f><v /></c><c r="AG192" s="303"><f>+(((Z192-Y192-AA192)/AA192)*100)</f><v /></c><c r="AH192" s="301"><f>AH191</f><v /></c><c r="AI192" s="301"><f>AI191</f><v /></c><c r="AJ192" s="301"><f>AJ191</f><v /></c><c r="AK192" s="52"><f>+Z192</f><v /></c><c r="AL192" s="52" t="n" /><c r="AM192" s="111"><f>AM191</f><v /></c><c r="AN192" s="299"><f>AN191</f><v /></c><c r="AO192" s="10"><f>LEFT(AN192,2)</f><v /></c><c r="AP192" s="10"><f>RIGHT(AN192,6)</f><v /></c><c r="AQ192" s="10"><f>+(AO192*60+AP192)/(60*60)</f><v /></c><c r="AR192" s="13"><f>+AM192/AQ192</f><v /></c><c r="AS192" s="303"><f>+(((AL192-AK192-AM192)/AM192)*100)</f><v /></c><c r="AT192" s="64"><f>IF(I192&gt;=1,"NO CONFORME",IF(BK192="SIGDIFERENTES",BC192,BL192))</f><v /></c><c r="AU192" s="21"><f>B192&lt;=C192</f><v /></c><c r="AV192" s="21"><f>N192&lt;Y192</f><v /></c><c r="AW192" s="21"><f>Z192&lt;=AK192</f><v /></c><c r="AX192" s="21"><f>IF(I192&gt;=1,"Qcorrecto",IF(AND(AY192="aceptable",AZ192="aceptable",BA192="aceptable"),"Qcorrecto","Qincorrecto"))</f><v /></c><c r="AY192" s="21"><f>IF(AR192&lt;$AH$6,"error",IF(AR192&gt;$AH$6*1.1,"error","aceptable"))</f><v /></c><c r="AZ192" s="21"><f>IF(AF192&lt;$V$6,"error",IF(AF192&gt;$V$6*1.1,"error","aceptable"))</f><v /></c><c r="BA192" s="21"><f>IF(T192&lt;$J$6*0.9,"error",IF(T192&gt;$J$6,"error","aceptable"))</f><v /></c><c r="BB192" s="65"><f>(IF(ABS(U192)&lt;1.05,"CONFORME",IF(ABS(AG192)&lt;1.05,"CONFORME",IF(ABS(AS192)&lt;2.55,"CONFORME","NO CONFORME"))))</f><v /></c><c r="BC192" s="62"><f>(IF(ABS(U192)&gt;2.05,"NO CONFORME",IF(ABS(AG192)&gt;2.05,"NO CONFORME",IF(ABS(AS192)&gt;5.05,"NO CONFORME","CONFORME"))))</f><v /></c><c r="BD192" s="64"><f>SIGN(U192)</f><v /></c><c r="BE192" s="64"><f>SIGN(AG192)</f><v /></c><c r="BF192" s="64"><f>SIGN(AS192)</f><v /></c><c r="BG192" s="64"><f>CONCATENATE(BD192,BE192,BF192)</f><v /></c><c r="BH192" s="64"><f>IF(BG192="111","SI","SD")</f><v /></c><c r="BI192" s="64"><f>IF(BG192="-1-1-1","SI","SD")</f><v /></c><c r="BJ192" s="64"><f>OR(BH192="SI",BI192="SI")</f><v /></c><c r="BK192" s="64"><f>IF(BJ192=FALSE,"SIGDIFERENTES","SIGIGUALES")</f><v /></c><c r="BL192" s="21"><f>IF(BC192="NO CONFORME","NO CONFORME",IF(BB192="CONFORME","CONFORME","NO CONFORME"))</f><v /></c><c r="BM192" s="66" t="n" /><c r="BN192" s="66" t="n" /></row><row r="193" ht="15" customHeight="1"><c r="A193" s="55" t="n"><v>185</v></c><c r="B193" s="304"><f>B192</f><v /></c><c r="C193" s="304"><f>C192</f><v /></c><c r="D193" s="94"><f>D192</f><v /></c><c r="E193" s="95"><f>E192</f><v /></c><c r="F193" s="96" t="n" /><c r="G193" s="305" t="n" /><c r="H193" s="98"><f>H192</f><v /></c><c r="I193" s="98" t="n" /><c r="J193" s="306"><f>J192</f><v /></c><c r="K193" s="306"><f>K192</f><v /></c><c r="L193" s="306"><f>L192</f><v /></c><c r="M193" s="100" t="n" /><c r="N193" s="100" t="n" /><c r="O193" s="101"><f>O192</f><v /></c><c r="P193" s="307"><f>P192</f><v /></c><c r="Q193" s="10"><f>LEFT(P193,1)</f><v /></c><c r="R193" s="10"><f>RIGHT(P193,6)</f><v /></c><c r="S193" s="10"><f>+(Q193*60+R193)/(60*60)</f><v /></c><c r="T193" s="13"><f>+O193/S193</f><v /></c><c r="U193" s="300"><f>+(((N193-M193-O193)/O193)*100)</f><v /></c><c r="V193" s="308"><f>V192</f><v /></c><c r="W193" s="309"><f>W192</f><v /></c><c r="X193" s="309"><f>X192</f><v /></c><c r="Y193" s="100" t="n" /><c r="Z193" s="100" t="n" /><c r="AA193" s="109"><f>AA192</f><v /></c><c r="AB193" s="307"><f>AB192</f><v /></c><c r="AC193" s="10"><f>LEFT(AB193,2)</f><v /></c><c r="AD193" s="10"><f>RIGHT(AB193,6)</f><v /></c><c r="AE193" s="10"><f>+(AC193*60+AD193)/(60*60)</f><v /></c><c r="AF193" s="13"><f>+AA193/AE193</f><v /></c><c r="AG193" s="303"><f>+(((Z193-Y193-AA193)/AA193)*100)</f><v /></c><c r="AH193" s="308"><f>AH192</f><v /></c><c r="AI193" s="308"><f>AI192</f><v /></c><c r="AJ193" s="308"><f>AJ192</f><v /></c><c r="AK193" s="100"><f>+Z193</f><v /></c><c r="AL193" s="100" t="n" /><c r="AM193" s="112"><f>AM192</f><v /></c><c r="AN193" s="307"><f>AN192</f><v /></c><c r="AO193" s="10"><f>LEFT(AN193,2)</f><v /></c><c r="AP193" s="10"><f>RIGHT(AN193,6)</f><v /></c><c r="AQ193" s="10"><f>+(AO193*60+AP193)/(60*60)</f><v /></c><c r="AR193" s="13"><f>+AM193/AQ193</f><v /></c><c r="AS193" s="303"><f>+(((AL193-AK193-AM193)/AM193)*100)</f><v /></c><c r="AT193" s="64"><f>IF(I193&gt;=1,"NO CONFORME",IF(BK193="SIGDIFERENTES",BC193,BL193))</f><v /></c><c r="AU193" s="21"><f>B193&lt;=C193</f><v /></c><c r="AV193" s="21"><f>N193&lt;Y193</f><v /></c><c r="AW193" s="21"><f>Z193&lt;=AK193</f><v /></c><c r="AX193" s="21"><f>IF(I193&gt;=1,"Qcorrecto",IF(AND(AY193="aceptable",AZ193="aceptable",BA193="aceptable"),"Qcorrecto","Qincorrecto"))</f><v /></c><c r="AY193" s="21"><f>IF(AR193&lt;$AH$6,"error",IF(AR193&gt;$AH$6*1.1,"error","aceptable"))</f><v /></c><c r="AZ193" s="21"><f>IF(AF193&lt;$V$6,"error",IF(AF193&gt;$V$6*1.1,"error","aceptable"))</f><v /></c><c r="BA193" s="21"><f>IF(T193&lt;$J$6*0.9,"error",IF(T193&gt;$J$6,"error","aceptable"))</f><v /></c><c r="BB193" s="65"><f>(IF(ABS(U193)&lt;1.05,"CONFORME",IF(ABS(AG193)&lt;1.05,"CONFORME",IF(ABS(AS193)&lt;2.55,"CONFORME","NO CONFORME"))))</f><v /></c><c r="BC193" s="62"><f>(IF(ABS(U193)&gt;2.05,"NO CONFORME",IF(ABS(AG193)&gt;2.05,"NO CONFORME",IF(ABS(AS193)&gt;5.05,"NO CONFORME","CONFORME"))))</f><v /></c><c r="BD193" s="64"><f>SIGN(U193)</f><v /></c><c r="BE193" s="64"><f>SIGN(AG193)</f><v /></c><c r="BF193" s="64"><f>SIGN(AS193)</f><v /></c><c r="BG193" s="64"><f>CONCATENATE(BD193,BE193,BF193)</f><v /></c><c r="BH193" s="64"><f>IF(BG193="111","SI","SD")</f><v /></c><c r="BI193" s="64"><f>IF(BG193="-1-1-1","SI","SD")</f><v /></c><c r="BJ193" s="64"><f>OR(BH193="SI",BI193="SI")</f><v /></c><c r="BK193" s="64"><f>IF(BJ193=FALSE,"SIGDIFERENTES","SIGIGUALES")</f><v /></c><c r="BL193" s="21"><f>IF(BC193="NO CONFORME","NO CONFORME",IF(BB193="CONFORME","CONFORME","NO CONFORME"))</f><v /></c><c r="BM193" s="66" t="n" /><c r="BN193" s="66" t="n" /></row><row r="194" ht="15.75" customHeight="1" thickBot="1"><c r="A194" s="9" t="n"><v>186</v></c><c r="B194" s="296"><f>B193</f><v /></c><c r="C194" s="296"><f>C193</f><v /></c><c r="D194" s="11"><f>D193</f><v /></c><c r="E194" s="9"><f>E193</f><v /></c><c r="F194" s="12" t="n" /><c r="G194" s="297" t="n" /><c r="H194" s="90"><f>H193</f><v /></c><c r="I194" s="90" t="n" /><c r="J194" s="298"><f>J193</f><v /></c><c r="K194" s="298"><f>K193</f><v /></c><c r="L194" s="298"><f>L193</f><v /></c><c r="M194" s="52" t="n" /><c r="N194" s="52" t="n" /><c r="O194" s="30"><f>O193</f><v /></c><c r="P194" s="299"><f>P193</f><v /></c><c r="Q194" s="10"><f>LEFT(P194,1)</f><v /></c><c r="R194" s="10"><f>RIGHT(P194,6)</f><v /></c><c r="S194" s="10"><f>+(Q194*60+R194)/(60*60)</f><v /></c><c r="T194" s="13"><f>+O194/S194</f><v /></c><c r="U194" s="300"><f>+(((N194-M194-O194)/O194)*100)</f><v /></c><c r="V194" s="301"><f>V193</f><v /></c><c r="W194" s="302"><f>W193</f><v /></c><c r="X194" s="302"><f>X193</f><v /></c><c r="Y194" s="52" t="n" /><c r="Z194" s="52" t="n" /><c r="AA194" s="106"><f>AA193</f><v /></c><c r="AB194" s="299"><f>AB193</f><v /></c><c r="AC194" s="10"><f>LEFT(AB194,2)</f><v /></c><c r="AD194" s="10"><f>RIGHT(AB194,6)</f><v /></c><c r="AE194" s="10"><f>+(AC194*60+AD194)/(60*60)</f><v /></c><c r="AF194" s="13"><f>+AA194/AE194</f><v /></c><c r="AG194" s="303"><f>+(((Z194-Y194-AA194)/AA194)*100)</f><v /></c><c r="AH194" s="301"><f>AH193</f><v /></c><c r="AI194" s="301"><f>AI193</f><v /></c><c r="AJ194" s="301"><f>AJ193</f><v /></c><c r="AK194" s="52"><f>+Z194</f><v /></c><c r="AL194" s="52" t="n" /><c r="AM194" s="111"><f>AM193</f><v /></c><c r="AN194" s="299"><f>AN193</f><v /></c><c r="AO194" s="10"><f>LEFT(AN194,2)</f><v /></c><c r="AP194" s="10"><f>RIGHT(AN194,6)</f><v /></c><c r="AQ194" s="10"><f>+(AO194*60+AP194)/(60*60)</f><v /></c><c r="AR194" s="13"><f>+AM194/AQ194</f><v /></c><c r="AS194" s="303"><f>+(((AL194-AK194-AM194)/AM194)*100)</f><v /></c><c r="AT194" s="64"><f>IF(I194&gt;=1,"NO CONFORME",IF(BK194="SIGDIFERENTES",BC194,BL194))</f><v /></c><c r="AU194" s="21"><f>B194&lt;=C194</f><v /></c><c r="AV194" s="21"><f>N194&lt;Y194</f><v /></c><c r="AW194" s="21"><f>Z194&lt;=AK194</f><v /></c><c r="AX194" s="21"><f>IF(I194&gt;=1,"Qcorrecto",IF(AND(AY194="aceptable",AZ194="aceptable",BA194="aceptable"),"Qcorrecto","Qincorrecto"))</f><v /></c><c r="AY194" s="21"><f>IF(AR194&lt;$AH$6,"error",IF(AR194&gt;$AH$6*1.1,"error","aceptable"))</f><v /></c><c r="AZ194" s="21"><f>IF(AF194&lt;$V$6,"error",IF(AF194&gt;$V$6*1.1,"error","aceptable"))</f><v /></c><c r="BA194" s="21"><f>IF(T194&lt;$J$6*0.9,"error",IF(T194&gt;$J$6,"error","aceptable"))</f><v /></c><c r="BB194" s="65"><f>(IF(ABS(U194)&lt;1.05,"CONFORME",IF(ABS(AG194)&lt;1.05,"CONFORME",IF(ABS(AS194)&lt;2.55,"CONFORME","NO CONFORME"))))</f><v /></c><c r="BC194" s="62"><f>(IF(ABS(U194)&gt;2.05,"NO CONFORME",IF(ABS(AG194)&gt;2.05,"NO CONFORME",IF(ABS(AS194)&gt;5.05,"NO CONFORME","CONFORME"))))</f><v /></c><c r="BD194" s="64"><f>SIGN(U194)</f><v /></c><c r="BE194" s="64"><f>SIGN(AG194)</f><v /></c><c r="BF194" s="64"><f>SIGN(AS194)</f><v /></c><c r="BG194" s="64"><f>CONCATENATE(BD194,BE194,BF194)</f><v /></c><c r="BH194" s="64"><f>IF(BG194="111","SI","SD")</f><v /></c><c r="BI194" s="64"><f>IF(BG194="-1-1-1","SI","SD")</f><v /></c><c r="BJ194" s="64"><f>OR(BH194="SI",BI194="SI")</f><v /></c><c r="BK194" s="64"><f>IF(BJ194=FALSE,"SIGDIFERENTES","SIGIGUALES")</f><v /></c><c r="BL194" s="21"><f>IF(BC194="NO CONFORME","NO CONFORME",IF(BB194="CONFORME","CONFORME","NO CONFORME"))</f><v /></c><c r="BM194" s="66" t="n" /><c r="BN194" s="66" t="n" /></row><row r="195" ht="15" customHeight="1"><c r="A195" s="55" t="n"><v>187</v></c><c r="B195" s="304"><f>B194</f><v /></c><c r="C195" s="304"><f>C194</f><v /></c><c r="D195" s="94"><f>D194</f><v /></c><c r="E195" s="95"><f>E194</f><v /></c><c r="F195" s="96" t="n" /><c r="G195" s="305" t="n" /><c r="H195" s="98"><f>H194</f><v /></c><c r="I195" s="98" t="n" /><c r="J195" s="306"><f>J194</f><v /></c><c r="K195" s="306"><f>K194</f><v /></c><c r="L195" s="306"><f>L194</f><v /></c><c r="M195" s="100" t="n" /><c r="N195" s="100" t="n" /><c r="O195" s="101"><f>O194</f><v /></c><c r="P195" s="307"><f>P194</f><v /></c><c r="Q195" s="10"><f>LEFT(P195,1)</f><v /></c><c r="R195" s="10"><f>RIGHT(P195,6)</f><v /></c><c r="S195" s="10"><f>+(Q195*60+R195)/(60*60)</f><v /></c><c r="T195" s="13"><f>+O195/S195</f><v /></c><c r="U195" s="300"><f>+(((N195-M195-O195)/O195)*100)</f><v /></c><c r="V195" s="308"><f>V194</f><v /></c><c r="W195" s="309"><f>W194</f><v /></c><c r="X195" s="309"><f>X194</f><v /></c><c r="Y195" s="100" t="n" /><c r="Z195" s="100" t="n" /><c r="AA195" s="109"><f>AA194</f><v /></c><c r="AB195" s="307"><f>AB194</f><v /></c><c r="AC195" s="10"><f>LEFT(AB195,2)</f><v /></c><c r="AD195" s="10"><f>RIGHT(AB195,6)</f><v /></c><c r="AE195" s="10"><f>+(AC195*60+AD195)/(60*60)</f><v /></c><c r="AF195" s="13"><f>+AA195/AE195</f><v /></c><c r="AG195" s="303"><f>+(((Z195-Y195-AA195)/AA195)*100)</f><v /></c><c r="AH195" s="308"><f>AH194</f><v /></c><c r="AI195" s="308"><f>AI194</f><v /></c><c r="AJ195" s="308"><f>AJ194</f><v /></c><c r="AK195" s="100"><f>+Z195</f><v /></c><c r="AL195" s="100" t="n" /><c r="AM195" s="112"><f>AM194</f><v /></c><c r="AN195" s="307"><f>AN194</f><v /></c><c r="AO195" s="10"><f>LEFT(AN195,2)</f><v /></c><c r="AP195" s="10"><f>RIGHT(AN195,6)</f><v /></c><c r="AQ195" s="10"><f>+(AO195*60+AP195)/(60*60)</f><v /></c><c r="AR195" s="13"><f>+AM195/AQ195</f><v /></c><c r="AS195" s="303"><f>+(((AL195-AK195-AM195)/AM195)*100)</f><v /></c><c r="AT195" s="64"><f>IF(I195&gt;=1,"NO CONFORME",IF(BK195="SIGDIFERENTES",BC195,BL195))</f><v /></c><c r="AU195" s="21"><f>B195&lt;=C195</f><v /></c><c r="AV195" s="21"><f>N195&lt;Y195</f><v /></c><c r="AW195" s="21"><f>Z195&lt;=AK195</f><v /></c><c r="AX195" s="21"><f>IF(I195&gt;=1,"Qcorrecto",IF(AND(AY195="aceptable",AZ195="aceptable",BA195="aceptable"),"Qcorrecto","Qincorrecto"))</f><v /></c><c r="AY195" s="21"><f>IF(AR195&lt;$AH$6,"error",IF(AR195&gt;$AH$6*1.1,"error","aceptable"))</f><v /></c><c r="AZ195" s="21"><f>IF(AF195&lt;$V$6,"error",IF(AF195&gt;$V$6*1.1,"error","aceptable"))</f><v /></c><c r="BA195" s="21"><f>IF(T195&lt;$J$6*0.9,"error",IF(T195&gt;$J$6,"error","aceptable"))</f><v /></c><c r="BB195" s="65"><f>(IF(ABS(U195)&lt;1.05,"CONFORME",IF(ABS(AG195)&lt;1.05,"CONFORME",IF(ABS(AS195)&lt;2.55,"CONFORME","NO CONFORME"))))</f><v /></c><c r="BC195" s="62"><f>(IF(ABS(U195)&gt;2.05,"NO CONFORME",IF(ABS(AG195)&gt;2.05,"NO CONFORME",IF(ABS(AS195)&gt;5.05,"NO CONFORME","CONFORME"))))</f><v /></c><c r="BD195" s="64"><f>SIGN(U195)</f><v /></c><c r="BE195" s="64"><f>SIGN(AG195)</f><v /></c><c r="BF195" s="64"><f>SIGN(AS195)</f><v /></c><c r="BG195" s="64"><f>CONCATENATE(BD195,BE195,BF195)</f><v /></c><c r="BH195" s="64"><f>IF(BG195="111","SI","SD")</f><v /></c><c r="BI195" s="64"><f>IF(BG195="-1-1-1","SI","SD")</f><v /></c><c r="BJ195" s="64"><f>OR(BH195="SI",BI195="SI")</f><v /></c><c r="BK195" s="64"><f>IF(BJ195=FALSE,"SIGDIFERENTES","SIGIGUALES")</f><v /></c><c r="BL195" s="21"><f>IF(BC195="NO CONFORME","NO CONFORME",IF(BB195="CONFORME","CONFORME","NO CONFORME"))</f><v /></c><c r="BM195" s="66" t="n" /><c r="BN195" s="66" t="n" /></row><row r="196" ht="15.75" customHeight="1" thickBot="1"><c r="A196" s="9" t="n"><v>188</v></c><c r="B196" s="296"><f>B195</f><v /></c><c r="C196" s="296"><f>C195</f><v /></c><c r="D196" s="11"><f>D195</f><v /></c><c r="E196" s="9"><f>E195</f><v /></c><c r="F196" s="12" t="n" /><c r="G196" s="297" t="n" /><c r="H196" s="90"><f>H195</f><v /></c><c r="I196" s="90" t="n" /><c r="J196" s="298"><f>J195</f><v /></c><c r="K196" s="298"><f>K195</f><v /></c><c r="L196" s="298"><f>L195</f><v /></c><c r="M196" s="52" t="n" /><c r="N196" s="52" t="n" /><c r="O196" s="30"><f>O195</f><v /></c><c r="P196" s="299"><f>P195</f><v /></c><c r="Q196" s="10"><f>LEFT(P196,1)</f><v /></c><c r="R196" s="10"><f>RIGHT(P196,6)</f><v /></c><c r="S196" s="10"><f>+(Q196*60+R196)/(60*60)</f><v /></c><c r="T196" s="13"><f>+O196/S196</f><v /></c><c r="U196" s="300"><f>+(((N196-M196-O196)/O196)*100)</f><v /></c><c r="V196" s="301"><f>V195</f><v /></c><c r="W196" s="302"><f>W195</f><v /></c><c r="X196" s="302"><f>X195</f><v /></c><c r="Y196" s="52" t="n" /><c r="Z196" s="52" t="n" /><c r="AA196" s="106"><f>AA195</f><v /></c><c r="AB196" s="299"><f>AB195</f><v /></c><c r="AC196" s="10"><f>LEFT(AB196,2)</f><v /></c><c r="AD196" s="10"><f>RIGHT(AB196,6)</f><v /></c><c r="AE196" s="10"><f>+(AC196*60+AD196)/(60*60)</f><v /></c><c r="AF196" s="13"><f>+AA196/AE196</f><v /></c><c r="AG196" s="303"><f>+(((Z196-Y196-AA196)/AA196)*100)</f><v /></c><c r="AH196" s="301"><f>AH195</f><v /></c><c r="AI196" s="301"><f>AI195</f><v /></c><c r="AJ196" s="301"><f>AJ195</f><v /></c><c r="AK196" s="52"><f>+Z196</f><v /></c><c r="AL196" s="52" t="n" /><c r="AM196" s="111"><f>AM195</f><v /></c><c r="AN196" s="299"><f>AN195</f><v /></c><c r="AO196" s="10"><f>LEFT(AN196,2)</f><v /></c><c r="AP196" s="10"><f>RIGHT(AN196,6)</f><v /></c><c r="AQ196" s="10"><f>+(AO196*60+AP196)/(60*60)</f><v /></c><c r="AR196" s="13"><f>+AM196/AQ196</f><v /></c><c r="AS196" s="303"><f>+(((AL196-AK196-AM196)/AM196)*100)</f><v /></c><c r="AT196" s="64"><f>IF(I196&gt;=1,"NO CONFORME",IF(BK196="SIGDIFERENTES",BC196,BL196))</f><v /></c><c r="AU196" s="21"><f>B196&lt;=C196</f><v /></c><c r="AV196" s="21"><f>N196&lt;Y196</f><v /></c><c r="AW196" s="21"><f>Z196&lt;=AK196</f><v /></c><c r="AX196" s="21"><f>IF(I196&gt;=1,"Qcorrecto",IF(AND(AY196="aceptable",AZ196="aceptable",BA196="aceptable"),"Qcorrecto","Qincorrecto"))</f><v /></c><c r="AY196" s="21"><f>IF(AR196&lt;$AH$6,"error",IF(AR196&gt;$AH$6*1.1,"error","aceptable"))</f><v /></c><c r="AZ196" s="21"><f>IF(AF196&lt;$V$6,"error",IF(AF196&gt;$V$6*1.1,"error","aceptable"))</f><v /></c><c r="BA196" s="21"><f>IF(T196&lt;$J$6*0.9,"error",IF(T196&gt;$J$6,"error","aceptable"))</f><v /></c><c r="BB196" s="65"><f>(IF(ABS(U196)&lt;1.05,"CONFORME",IF(ABS(AG196)&lt;1.05,"CONFORME",IF(ABS(AS196)&lt;2.55,"CONFORME","NO CONFORME"))))</f><v /></c><c r="BC196" s="62"><f>(IF(ABS(U196)&gt;2.05,"NO CONFORME",IF(ABS(AG196)&gt;2.05,"NO CONFORME",IF(ABS(AS196)&gt;5.05,"NO CONFORME","CONFORME"))))</f><v /></c><c r="BD196" s="64"><f>SIGN(U196)</f><v /></c><c r="BE196" s="64"><f>SIGN(AG196)</f><v /></c><c r="BF196" s="64"><f>SIGN(AS196)</f><v /></c><c r="BG196" s="64"><f>CONCATENATE(BD196,BE196,BF196)</f><v /></c><c r="BH196" s="64"><f>IF(BG196="111","SI","SD")</f><v /></c><c r="BI196" s="64"><f>IF(BG196="-1-1-1","SI","SD")</f><v /></c><c r="BJ196" s="64"><f>OR(BH196="SI",BI196="SI")</f><v /></c><c r="BK196" s="64"><f>IF(BJ196=FALSE,"SIGDIFERENTES","SIGIGUALES")</f><v /></c><c r="BL196" s="21"><f>IF(BC196="NO CONFORME","NO CONFORME",IF(BB196="CONFORME","CONFORME","NO CONFORME"))</f><v /></c><c r="BM196" s="66" t="n" /><c r="BN196" s="66" t="n" /></row><row r="197" ht="15" customHeight="1"><c r="A197" s="55" t="n"><v>189</v></c><c r="B197" s="304"><f>B196</f><v /></c><c r="C197" s="304"><f>C196</f><v /></c><c r="D197" s="94"><f>D196</f><v /></c><c r="E197" s="95"><f>E196</f><v /></c><c r="F197" s="96" t="n" /><c r="G197" s="305" t="n" /><c r="H197" s="98"><f>H196</f><v /></c><c r="I197" s="98" t="n" /><c r="J197" s="306"><f>J196</f><v /></c><c r="K197" s="306"><f>K196</f><v /></c><c r="L197" s="306"><f>L196</f><v /></c><c r="M197" s="100" t="n" /><c r="N197" s="100" t="n" /><c r="O197" s="101"><f>O196</f><v /></c><c r="P197" s="307"><f>P196</f><v /></c><c r="Q197" s="10"><f>LEFT(P197,1)</f><v /></c><c r="R197" s="10"><f>RIGHT(P197,6)</f><v /></c><c r="S197" s="10"><f>+(Q197*60+R197)/(60*60)</f><v /></c><c r="T197" s="13"><f>+O197/S197</f><v /></c><c r="U197" s="300"><f>+(((N197-M197-O197)/O197)*100)</f><v /></c><c r="V197" s="308"><f>V196</f><v /></c><c r="W197" s="309"><f>W196</f><v /></c><c r="X197" s="309"><f>X196</f><v /></c><c r="Y197" s="100" t="n" /><c r="Z197" s="100" t="n" /><c r="AA197" s="109"><f>AA196</f><v /></c><c r="AB197" s="307"><f>AB196</f><v /></c><c r="AC197" s="10"><f>LEFT(AB197,2)</f><v /></c><c r="AD197" s="10"><f>RIGHT(AB197,6)</f><v /></c><c r="AE197" s="10"><f>+(AC197*60+AD197)/(60*60)</f><v /></c><c r="AF197" s="13"><f>+AA197/AE197</f><v /></c><c r="AG197" s="303"><f>+(((Z197-Y197-AA197)/AA197)*100)</f><v /></c><c r="AH197" s="308"><f>AH196</f><v /></c><c r="AI197" s="308"><f>AI196</f><v /></c><c r="AJ197" s="308"><f>AJ196</f><v /></c><c r="AK197" s="100"><f>+Z197</f><v /></c><c r="AL197" s="100" t="n" /><c r="AM197" s="112"><f>AM196</f><v /></c><c r="AN197" s="307"><f>AN196</f><v /></c><c r="AO197" s="10"><f>LEFT(AN197,2)</f><v /></c><c r="AP197" s="10"><f>RIGHT(AN197,6)</f><v /></c><c r="AQ197" s="10"><f>+(AO197*60+AP197)/(60*60)</f><v /></c><c r="AR197" s="13"><f>+AM197/AQ197</f><v /></c><c r="AS197" s="303"><f>+(((AL197-AK197-AM197)/AM197)*100)</f><v /></c><c r="AT197" s="64"><f>IF(I197&gt;=1,"NO CONFORME",IF(BK197="SIGDIFERENTES",BC197,BL197))</f><v /></c><c r="AU197" s="21"><f>B197&lt;=C197</f><v /></c><c r="AV197" s="21"><f>N197&lt;Y197</f><v /></c><c r="AW197" s="21"><f>Z197&lt;=AK197</f><v /></c><c r="AX197" s="21"><f>IF(I197&gt;=1,"Qcorrecto",IF(AND(AY197="aceptable",AZ197="aceptable",BA197="aceptable"),"Qcorrecto","Qincorrecto"))</f><v /></c><c r="AY197" s="21"><f>IF(AR197&lt;$AH$6,"error",IF(AR197&gt;$AH$6*1.1,"error","aceptable"))</f><v /></c><c r="AZ197" s="21"><f>IF(AF197&lt;$V$6,"error",IF(AF197&gt;$V$6*1.1,"error","aceptable"))</f><v /></c><c r="BA197" s="21"><f>IF(T197&lt;$J$6*0.9,"error",IF(T197&gt;$J$6,"error","aceptable"))</f><v /></c><c r="BB197" s="65"><f>(IF(ABS(U197)&lt;1.05,"CONFORME",IF(ABS(AG197)&lt;1.05,"CONFORME",IF(ABS(AS197)&lt;2.55,"CONFORME","NO CONFORME"))))</f><v /></c><c r="BC197" s="62"><f>(IF(ABS(U197)&gt;2.05,"NO CONFORME",IF(ABS(AG197)&gt;2.05,"NO CONFORME",IF(ABS(AS197)&gt;5.05,"NO CONFORME","CONFORME"))))</f><v /></c><c r="BD197" s="64"><f>SIGN(U197)</f><v /></c><c r="BE197" s="64"><f>SIGN(AG197)</f><v /></c><c r="BF197" s="64"><f>SIGN(AS197)</f><v /></c><c r="BG197" s="64"><f>CONCATENATE(BD197,BE197,BF197)</f><v /></c><c r="BH197" s="64"><f>IF(BG197="111","SI","SD")</f><v /></c><c r="BI197" s="64"><f>IF(BG197="-1-1-1","SI","SD")</f><v /></c><c r="BJ197" s="64"><f>OR(BH197="SI",BI197="SI")</f><v /></c><c r="BK197" s="64"><f>IF(BJ197=FALSE,"SIGDIFERENTES","SIGIGUALES")</f><v /></c><c r="BL197" s="21"><f>IF(BC197="NO CONFORME","NO CONFORME",IF(BB197="CONFORME","CONFORME","NO CONFORME"))</f><v /></c><c r="BM197" s="66" t="n" /><c r="BN197" s="66" t="n" /></row><row r="198" ht="15" customHeight="1"><c r="A198" s="9" t="n"><v>190</v></c><c r="B198" s="296"><f>B197</f><v /></c><c r="C198" s="296"><f>C197</f><v /></c><c r="D198" s="11"><f>D197</f><v /></c><c r="E198" s="9"><f>E197</f><v /></c><c r="F198" s="12" t="n" /><c r="G198" s="297" t="n" /><c r="H198" s="90"><f>H197</f><v /></c><c r="I198" s="90" t="n" /><c r="J198" s="298"><f>J197</f><v /></c><c r="K198" s="298"><f>K197</f><v /></c><c r="L198" s="298"><f>L197</f><v /></c><c r="M198" s="52" t="n" /><c r="N198" s="52" t="n" /><c r="O198" s="30"><f>O197</f><v /></c><c r="P198" s="299"><f>P197</f><v /></c><c r="Q198" s="10"><f>LEFT(P198,1)</f><v /></c><c r="R198" s="10"><f>RIGHT(P198,6)</f><v /></c><c r="S198" s="10"><f>+(Q198*60+R198)/(60*60)</f><v /></c><c r="T198" s="13"><f>+O198/S198</f><v /></c><c r="U198" s="300"><f>+(((N198-M198-O198)/O198)*100)</f><v /></c><c r="V198" s="301"><f>V197</f><v /></c><c r="W198" s="302"><f>W197</f><v /></c><c r="X198" s="302"><f>X197</f><v /></c><c r="Y198" s="52" t="n" /><c r="Z198" s="52" t="n" /><c r="AA198" s="106"><f>AA197</f><v /></c><c r="AB198" s="299"><f>AB197</f><v /></c><c r="AC198" s="10"><f>LEFT(AB198,2)</f><v /></c><c r="AD198" s="10"><f>RIGHT(AB198,6)</f><v /></c><c r="AE198" s="10"><f>+(AC198*60+AD198)/(60*60)</f><v /></c><c r="AF198" s="13"><f>+AA198/AE198</f><v /></c><c r="AG198" s="303"><f>+(((Z198-Y198-AA198)/AA198)*100)</f><v /></c><c r="AH198" s="301"><f>AH197</f><v /></c><c r="AI198" s="301"><f>AI197</f><v /></c><c r="AJ198" s="301"><f>AJ197</f><v /></c><c r="AK198" s="52"><f>+Z198</f><v /></c><c r="AL198" s="52" t="n" /><c r="AM198" s="111"><f>AM197</f><v /></c><c r="AN198" s="299"><f>AN197</f><v /></c><c r="AO198" s="10"><f>LEFT(AN198,2)</f><v /></c><c r="AP198" s="10"><f>RIGHT(AN198,6)</f><v /></c><c r="AQ198" s="10"><f>+(AO198*60+AP198)/(60*60)</f><v /></c><c r="AR198" s="13"><f>+AM198/AQ198</f><v /></c><c r="AS198" s="303"><f>+(((AL198-AK198-AM198)/AM198)*100)</f><v /></c><c r="AT198" s="64"><f>IF(I198&gt;=1,"NO CONFORME",IF(BK198="SIGDIFERENTES",BC198,BL198))</f><v /></c><c r="AU198" s="21"><f>B198&lt;=C198</f><v /></c><c r="AV198" s="21"><f>N198&lt;Y198</f><v /></c><c r="AW198" s="21"><f>Z198&lt;=AK198</f><v /></c><c r="AX198" s="21"><f>IF(I198&gt;=1,"Qcorrecto",IF(AND(AY198="aceptable",AZ198="aceptable",BA198="aceptable"),"Qcorrecto","Qincorrecto"))</f><v /></c><c r="AY198" s="21"><f>IF(AR198&lt;$AH$6,"error",IF(AR198&gt;$AH$6*1.1,"error","aceptable"))</f><v /></c><c r="AZ198" s="21"><f>IF(AF198&lt;$V$6,"error",IF(AF198&gt;$V$6*1.1,"error","aceptable"))</f><v /></c><c r="BA198" s="21"><f>IF(T198&lt;$J$6*0.9,"error",IF(T198&gt;$J$6,"error","aceptable"))</f><v /></c><c r="BB198" s="65"><f>(IF(ABS(U198)&lt;1.05,"CONFORME",IF(ABS(AG198)&lt;1.05,"CONFORME",IF(ABS(AS198)&lt;2.55,"CONFORME","NO CONFORME"))))</f><v /></c><c r="BC198" s="62"><f>(IF(ABS(U198)&gt;2.05,"NO CONFORME",IF(ABS(AG198)&gt;2.05,"NO CONFORME",IF(ABS(AS198)&gt;5.05,"NO CONFORME","CONFORME"))))</f><v /></c><c r="BD198" s="64"><f>SIGN(U198)</f><v /></c><c r="BE198" s="64"><f>SIGN(AG198)</f><v /></c><c r="BF198" s="64"><f>SIGN(AS198)</f><v /></c><c r="BG198" s="64"><f>CONCATENATE(BD198,BE198,BF198)</f><v /></c><c r="BH198" s="64"><f>IF(BG198="111","SI","SD")</f><v /></c><c r="BI198" s="64"><f>IF(BG198="-1-1-1","SI","SD")</f><v /></c><c r="BJ198" s="64"><f>OR(BH198="SI",BI198="SI")</f><v /></c><c r="BK198" s="64"><f>IF(BJ198=FALSE,"SIGDIFERENTES","SIGIGUALES")</f><v /></c><c r="BL198" s="21"><f>IF(BC198="NO CONFORME","NO CONFORME",IF(BB198="CONFORME","CONFORME","NO CONFORME"))</f><v /></c><c r="BM198" s="66" t="n" /><c r="BN198" s="66" t="n" /></row><row r="199" ht="15.75" customHeight="1" thickBot="1"><c r="A199" s="9" t="n"><v>191</v></c><c r="B199" s="296"><f>B198</f><v /></c><c r="C199" s="296"><f>C198</f><v /></c><c r="D199" s="11"><f>D198</f><v /></c><c r="E199" s="9"><f>E198</f><v /></c><c r="F199" s="12" t="n" /><c r="G199" s="297" t="n" /><c r="H199" s="90"><f>H198</f><v /></c><c r="I199" s="90" t="n" /><c r="J199" s="298"><f>J198</f><v /></c><c r="K199" s="298"><f>K198</f><v /></c><c r="L199" s="298"><f>L198</f><v /></c><c r="M199" s="52" t="n" /><c r="N199" s="52" t="n" /><c r="O199" s="30"><f>O198</f><v /></c><c r="P199" s="299"><f>P198</f><v /></c><c r="Q199" s="10"><f>LEFT(P199,1)</f><v /></c><c r="R199" s="10"><f>RIGHT(P199,6)</f><v /></c><c r="S199" s="10"><f>+(Q199*60+R199)/(60*60)</f><v /></c><c r="T199" s="13"><f>+O199/S199</f><v /></c><c r="U199" s="300"><f>+(((N199-M199-O199)/O199)*100)</f><v /></c><c r="V199" s="301"><f>V198</f><v /></c><c r="W199" s="302"><f>W198</f><v /></c><c r="X199" s="302"><f>X198</f><v /></c><c r="Y199" s="52" t="n" /><c r="Z199" s="52" t="n" /><c r="AA199" s="106"><f>AA198</f><v /></c><c r="AB199" s="299"><f>AB198</f><v /></c><c r="AC199" s="10"><f>LEFT(AB199,2)</f><v /></c><c r="AD199" s="10"><f>RIGHT(AB199,6)</f><v /></c><c r="AE199" s="10"><f>+(AC199*60+AD199)/(60*60)</f><v /></c><c r="AF199" s="13"><f>+AA199/AE199</f><v /></c><c r="AG199" s="303"><f>+(((Z199-Y199-AA199)/AA199)*100)</f><v /></c><c r="AH199" s="301"><f>AH198</f><v /></c><c r="AI199" s="301"><f>AI198</f><v /></c><c r="AJ199" s="301"><f>AJ198</f><v /></c><c r="AK199" s="52"><f>+Z199</f><v /></c><c r="AL199" s="52" t="n" /><c r="AM199" s="111"><f>AM198</f><v /></c><c r="AN199" s="299"><f>AN198</f><v /></c><c r="AO199" s="10"><f>LEFT(AN199,2)</f><v /></c><c r="AP199" s="10"><f>RIGHT(AN199,6)</f><v /></c><c r="AQ199" s="10"><f>+(AO199*60+AP199)/(60*60)</f><v /></c><c r="AR199" s="13"><f>+AM199/AQ199</f><v /></c><c r="AS199" s="303"><f>+(((AL199-AK199-AM199)/AM199)*100)</f><v /></c><c r="AT199" s="64"><f>IF(I199&gt;=1,"NO CONFORME",IF(BK199="SIGDIFERENTES",BC199,BL199))</f><v /></c><c r="AU199" s="21"><f>B199&lt;=C199</f><v /></c><c r="AV199" s="21"><f>N199&lt;Y199</f><v /></c><c r="AW199" s="21"><f>Z199&lt;=AK199</f><v /></c><c r="AX199" s="21"><f>IF(I199&gt;=1,"Qcorrecto",IF(AND(AY199="aceptable",AZ199="aceptable",BA199="aceptable"),"Qcorrecto","Qincorrecto"))</f><v /></c><c r="AY199" s="21"><f>IF(AR199&lt;$AH$6,"error",IF(AR199&gt;$AH$6*1.1,"error","aceptable"))</f><v /></c><c r="AZ199" s="21"><f>IF(AF199&lt;$V$6,"error",IF(AF199&gt;$V$6*1.1,"error","aceptable"))</f><v /></c><c r="BA199" s="21"><f>IF(T199&lt;$J$6*0.9,"error",IF(T199&gt;$J$6,"error","aceptable"))</f><v /></c><c r="BB199" s="65"><f>(IF(ABS(U199)&lt;1.05,"CONFORME",IF(ABS(AG199)&lt;1.05,"CONFORME",IF(ABS(AS199)&lt;2.55,"CONFORME","NO CONFORME"))))</f><v /></c><c r="BC199" s="62"><f>(IF(ABS(U199)&gt;2.05,"NO CONFORME",IF(ABS(AG199)&gt;2.05,"NO CONFORME",IF(ABS(AS199)&gt;5.05,"NO CONFORME","CONFORME"))))</f><v /></c><c r="BD199" s="64"><f>SIGN(U199)</f><v /></c><c r="BE199" s="64"><f>SIGN(AG199)</f><v /></c><c r="BF199" s="64"><f>SIGN(AS199)</f><v /></c><c r="BG199" s="64"><f>CONCATENATE(BD199,BE199,BF199)</f><v /></c><c r="BH199" s="64"><f>IF(BG199="111","SI","SD")</f><v /></c><c r="BI199" s="64"><f>IF(BG199="-1-1-1","SI","SD")</f><v /></c><c r="BJ199" s="64"><f>OR(BH199="SI",BI199="SI")</f><v /></c><c r="BK199" s="64"><f>IF(BJ199=FALSE,"SIGDIFERENTES","SIGIGUALES")</f><v /></c><c r="BL199" s="21"><f>IF(BC199="NO CONFORME","NO CONFORME",IF(BB199="CONFORME","CONFORME","NO CONFORME"))</f><v /></c><c r="BM199" s="66" t="n" /><c r="BN199" s="66" t="n" /></row><row r="200" ht="15" customHeight="1"><c r="A200" s="55" t="n"><v>192</v></c><c r="B200" s="304"><f>B199</f><v /></c><c r="C200" s="304"><f>C199</f><v /></c><c r="D200" s="94"><f>D199</f><v /></c><c r="E200" s="95"><f>E199</f><v /></c><c r="F200" s="96" t="n" /><c r="G200" s="305" t="n" /><c r="H200" s="98"><f>H199</f><v /></c><c r="I200" s="98" t="n" /><c r="J200" s="306"><f>J199</f><v /></c><c r="K200" s="306"><f>K199</f><v /></c><c r="L200" s="306"><f>L199</f><v /></c><c r="M200" s="100" t="n" /><c r="N200" s="100" t="n" /><c r="O200" s="101"><f>O199</f><v /></c><c r="P200" s="307"><f>P199</f><v /></c><c r="Q200" s="10"><f>LEFT(P200,1)</f><v /></c><c r="R200" s="10"><f>RIGHT(P200,6)</f><v /></c><c r="S200" s="10"><f>+(Q200*60+R200)/(60*60)</f><v /></c><c r="T200" s="13"><f>+O200/S200</f><v /></c><c r="U200" s="300"><f>+(((N200-M200-O200)/O200)*100)</f><v /></c><c r="V200" s="308"><f>V199</f><v /></c><c r="W200" s="309"><f>W199</f><v /></c><c r="X200" s="309"><f>X199</f><v /></c><c r="Y200" s="100" t="n" /><c r="Z200" s="100" t="n" /><c r="AA200" s="109"><f>AA199</f><v /></c><c r="AB200" s="307"><f>AB199</f><v /></c><c r="AC200" s="10"><f>LEFT(AB200,2)</f><v /></c><c r="AD200" s="10"><f>RIGHT(AB200,6)</f><v /></c><c r="AE200" s="10"><f>+(AC200*60+AD200)/(60*60)</f><v /></c><c r="AF200" s="13"><f>+AA200/AE200</f><v /></c><c r="AG200" s="303"><f>+(((Z200-Y200-AA200)/AA200)*100)</f><v /></c><c r="AH200" s="308"><f>AH199</f><v /></c><c r="AI200" s="308"><f>AI199</f><v /></c><c r="AJ200" s="308"><f>AJ199</f><v /></c><c r="AK200" s="100"><f>+Z200</f><v /></c><c r="AL200" s="100" t="n" /><c r="AM200" s="112"><f>AM199</f><v /></c><c r="AN200" s="307"><f>AN199</f><v /></c><c r="AO200" s="10"><f>LEFT(AN200,2)</f><v /></c><c r="AP200" s="10"><f>RIGHT(AN200,6)</f><v /></c><c r="AQ200" s="10"><f>+(AO200*60+AP200)/(60*60)</f><v /></c><c r="AR200" s="13"><f>+AM200/AQ200</f><v /></c><c r="AS200" s="303"><f>+(((AL200-AK200-AM200)/AM200)*100)</f><v /></c><c r="AT200" s="64"><f>IF(I200&gt;=1,"NO CONFORME",IF(BK200="SIGDIFERENTES",BC200,BL200))</f><v /></c><c r="AU200" s="21"><f>B200&lt;=C200</f><v /></c><c r="AV200" s="21"><f>N200&lt;Y200</f><v /></c><c r="AW200" s="21"><f>Z200&lt;=AK200</f><v /></c><c r="AX200" s="21"><f>IF(I200&gt;=1,"Qcorrecto",IF(AND(AY200="aceptable",AZ200="aceptable",BA200="aceptable"),"Qcorrecto","Qincorrecto"))</f><v /></c><c r="AY200" s="21"><f>IF(AR200&lt;$AH$6,"error",IF(AR200&gt;$AH$6*1.1,"error","aceptable"))</f><v /></c><c r="AZ200" s="21"><f>IF(AF200&lt;$V$6,"error",IF(AF200&gt;$V$6*1.1,"error","aceptable"))</f><v /></c><c r="BA200" s="21"><f>IF(T200&lt;$J$6*0.9,"error",IF(T200&gt;$J$6,"error","aceptable"))</f><v /></c><c r="BB200" s="65"><f>(IF(ABS(U200)&lt;1.05,"CONFORME",IF(ABS(AG200)&lt;1.05,"CONFORME",IF(ABS(AS200)&lt;2.55,"CONFORME","NO CONFORME"))))</f><v /></c><c r="BC200" s="62"><f>(IF(ABS(U200)&gt;2.05,"NO CONFORME",IF(ABS(AG200)&gt;2.05,"NO CONFORME",IF(ABS(AS200)&gt;5.05,"NO CONFORME","CONFORME"))))</f><v /></c><c r="BD200" s="64"><f>SIGN(U200)</f><v /></c><c r="BE200" s="64"><f>SIGN(AG200)</f><v /></c><c r="BF200" s="64"><f>SIGN(AS200)</f><v /></c><c r="BG200" s="64"><f>CONCATENATE(BD200,BE200,BF200)</f><v /></c><c r="BH200" s="64"><f>IF(BG200="111","SI","SD")</f><v /></c><c r="BI200" s="64"><f>IF(BG200="-1-1-1","SI","SD")</f><v /></c><c r="BJ200" s="64"><f>OR(BH200="SI",BI200="SI")</f><v /></c><c r="BK200" s="64"><f>IF(BJ200=FALSE,"SIGDIFERENTES","SIGIGUALES")</f><v /></c><c r="BL200" s="21"><f>IF(BC200="NO CONFORME","NO CONFORME",IF(BB200="CONFORME","CONFORME","NO CONFORME"))</f><v /></c><c r="BM200" s="66" t="n" /><c r="BN200" s="66" t="n" /></row><row r="201" ht="15.75" customHeight="1" thickBot="1"><c r="A201" s="9" t="n"><v>193</v></c><c r="B201" s="296"><f>B200</f><v /></c><c r="C201" s="296"><f>C200</f><v /></c><c r="D201" s="11"><f>D200</f><v /></c><c r="E201" s="9"><f>E200</f><v /></c><c r="F201" s="12" t="n" /><c r="G201" s="297" t="n" /><c r="H201" s="90"><f>H200</f><v /></c><c r="I201" s="90" t="n" /><c r="J201" s="298"><f>J200</f><v /></c><c r="K201" s="298"><f>K200</f><v /></c><c r="L201" s="298"><f>L200</f><v /></c><c r="M201" s="52" t="n" /><c r="N201" s="52" t="n" /><c r="O201" s="30"><f>O200</f><v /></c><c r="P201" s="299"><f>P200</f><v /></c><c r="Q201" s="10"><f>LEFT(P201,1)</f><v /></c><c r="R201" s="10"><f>RIGHT(P201,6)</f><v /></c><c r="S201" s="10"><f>+(Q201*60+R201)/(60*60)</f><v /></c><c r="T201" s="13"><f>+O201/S201</f><v /></c><c r="U201" s="300"><f>+(((N201-M201-O201)/O201)*100)</f><v /></c><c r="V201" s="301"><f>V200</f><v /></c><c r="W201" s="302"><f>W200</f><v /></c><c r="X201" s="302"><f>X200</f><v /></c><c r="Y201" s="52" t="n" /><c r="Z201" s="52" t="n" /><c r="AA201" s="106"><f>AA200</f><v /></c><c r="AB201" s="299"><f>AB200</f><v /></c><c r="AC201" s="10"><f>LEFT(AB201,2)</f><v /></c><c r="AD201" s="10"><f>RIGHT(AB201,6)</f><v /></c><c r="AE201" s="10"><f>+(AC201*60+AD201)/(60*60)</f><v /></c><c r="AF201" s="13"><f>+AA201/AE201</f><v /></c><c r="AG201" s="303"><f>+(((Z201-Y201-AA201)/AA201)*100)</f><v /></c><c r="AH201" s="301"><f>AH200</f><v /></c><c r="AI201" s="301"><f>AI200</f><v /></c><c r="AJ201" s="301"><f>AJ200</f><v /></c><c r="AK201" s="52"><f>+Z201</f><v /></c><c r="AL201" s="52" t="n" /><c r="AM201" s="111"><f>AM200</f><v /></c><c r="AN201" s="299"><f>AN200</f><v /></c><c r="AO201" s="10"><f>LEFT(AN201,2)</f><v /></c><c r="AP201" s="10"><f>RIGHT(AN201,6)</f><v /></c><c r="AQ201" s="10"><f>+(AO201*60+AP201)/(60*60)</f><v /></c><c r="AR201" s="13"><f>+AM201/AQ201</f><v /></c><c r="AS201" s="303"><f>+(((AL201-AK201-AM201)/AM201)*100)</f><v /></c><c r="AT201" s="64"><f>IF(I201&gt;=1,"NO CONFORME",IF(BK201="SIGDIFERENTES",BC201,BL201))</f><v /></c><c r="AU201" s="21"><f>B201&lt;=C201</f><v /></c><c r="AV201" s="21"><f>N201&lt;Y201</f><v /></c><c r="AW201" s="21"><f>Z201&lt;=AK201</f><v /></c><c r="AX201" s="21"><f>IF(I201&gt;=1,"Qcorrecto",IF(AND(AY201="aceptable",AZ201="aceptable",BA201="aceptable"),"Qcorrecto","Qincorrecto"))</f><v /></c><c r="AY201" s="21"><f>IF(AR201&lt;$AH$6,"error",IF(AR201&gt;$AH$6*1.1,"error","aceptable"))</f><v /></c><c r="AZ201" s="21"><f>IF(AF201&lt;$V$6,"error",IF(AF201&gt;$V$6*1.1,"error","aceptable"))</f><v /></c><c r="BA201" s="21"><f>IF(T201&lt;$J$6*0.9,"error",IF(T201&gt;$J$6,"error","aceptable"))</f><v /></c><c r="BB201" s="65"><f>(IF(ABS(U201)&lt;1.05,"CONFORME",IF(ABS(AG201)&lt;1.05,"CONFORME",IF(ABS(AS201)&lt;2.55,"CONFORME","NO CONFORME"))))</f><v /></c><c r="BC201" s="62"><f>(IF(ABS(U201)&gt;2.05,"NO CONFORME",IF(ABS(AG201)&gt;2.05,"NO CONFORME",IF(ABS(AS201)&gt;5.05,"NO CONFORME","CONFORME"))))</f><v /></c><c r="BD201" s="64"><f>SIGN(U201)</f><v /></c><c r="BE201" s="64"><f>SIGN(AG201)</f><v /></c><c r="BF201" s="64"><f>SIGN(AS201)</f><v /></c><c r="BG201" s="64"><f>CONCATENATE(BD201,BE201,BF201)</f><v /></c><c r="BH201" s="64"><f>IF(BG201="111","SI","SD")</f><v /></c><c r="BI201" s="64"><f>IF(BG201="-1-1-1","SI","SD")</f><v /></c><c r="BJ201" s="64"><f>OR(BH201="SI",BI201="SI")</f><v /></c><c r="BK201" s="64"><f>IF(BJ201=FALSE,"SIGDIFERENTES","SIGIGUALES")</f><v /></c><c r="BL201" s="21"><f>IF(BC201="NO CONFORME","NO CONFORME",IF(BB201="CONFORME","CONFORME","NO CONFORME"))</f><v /></c><c r="BM201" s="66" t="n" /><c r="BN201" s="66" t="n" /></row><row r="202" ht="15" customHeight="1"><c r="A202" s="55" t="n"><v>194</v></c><c r="B202" s="304"><f>B201</f><v /></c><c r="C202" s="304"><f>C201</f><v /></c><c r="D202" s="94"><f>D201</f><v /></c><c r="E202" s="95"><f>E201</f><v /></c><c r="F202" s="96" t="n" /><c r="G202" s="305" t="n" /><c r="H202" s="98"><f>H201</f><v /></c><c r="I202" s="98" t="n" /><c r="J202" s="306"><f>J201</f><v /></c><c r="K202" s="306"><f>K201</f><v /></c><c r="L202" s="306"><f>L201</f><v /></c><c r="M202" s="100" t="n" /><c r="N202" s="100" t="n" /><c r="O202" s="101"><f>O201</f><v /></c><c r="P202" s="307"><f>P201</f><v /></c><c r="Q202" s="10"><f>LEFT(P202,1)</f><v /></c><c r="R202" s="10"><f>RIGHT(P202,6)</f><v /></c><c r="S202" s="10"><f>+(Q202*60+R202)/(60*60)</f><v /></c><c r="T202" s="13"><f>+O202/S202</f><v /></c><c r="U202" s="300"><f>+(((N202-M202-O202)/O202)*100)</f><v /></c><c r="V202" s="308"><f>V201</f><v /></c><c r="W202" s="309"><f>W201</f><v /></c><c r="X202" s="309"><f>X201</f><v /></c><c r="Y202" s="100" t="n" /><c r="Z202" s="100" t="n" /><c r="AA202" s="109"><f>AA201</f><v /></c><c r="AB202" s="307"><f>AB201</f><v /></c><c r="AC202" s="10"><f>LEFT(AB202,2)</f><v /></c><c r="AD202" s="10"><f>RIGHT(AB202,6)</f><v /></c><c r="AE202" s="10"><f>+(AC202*60+AD202)/(60*60)</f><v /></c><c r="AF202" s="13"><f>+AA202/AE202</f><v /></c><c r="AG202" s="303"><f>+(((Z202-Y202-AA202)/AA202)*100)</f><v /></c><c r="AH202" s="308"><f>AH201</f><v /></c><c r="AI202" s="308"><f>AI201</f><v /></c><c r="AJ202" s="308"><f>AJ201</f><v /></c><c r="AK202" s="100"><f>+Z202</f><v /></c><c r="AL202" s="100" t="n" /><c r="AM202" s="112"><f>AM201</f><v /></c><c r="AN202" s="307"><f>AN201</f><v /></c><c r="AO202" s="10"><f>LEFT(AN202,2)</f><v /></c><c r="AP202" s="10"><f>RIGHT(AN202,6)</f><v /></c><c r="AQ202" s="10"><f>+(AO202*60+AP202)/(60*60)</f><v /></c><c r="AR202" s="13"><f>+AM202/AQ202</f><v /></c><c r="AS202" s="303"><f>+(((AL202-AK202-AM202)/AM202)*100)</f><v /></c><c r="AT202" s="64"><f>IF(I202&gt;=1,"NO CONFORME",IF(BK202="SIGDIFERENTES",BC202,BL202))</f><v /></c><c r="AU202" s="21"><f>B202&lt;=C202</f><v /></c><c r="AV202" s="21"><f>N202&lt;Y202</f><v /></c><c r="AW202" s="21"><f>Z202&lt;=AK202</f><v /></c><c r="AX202" s="21"><f>IF(I202&gt;=1,"Qcorrecto",IF(AND(AY202="aceptable",AZ202="aceptable",BA202="aceptable"),"Qcorrecto","Qincorrecto"))</f><v /></c><c r="AY202" s="21"><f>IF(AR202&lt;$AH$6,"error",IF(AR202&gt;$AH$6*1.1,"error","aceptable"))</f><v /></c><c r="AZ202" s="21"><f>IF(AF202&lt;$V$6,"error",IF(AF202&gt;$V$6*1.1,"error","aceptable"))</f><v /></c><c r="BA202" s="21"><f>IF(T202&lt;$J$6*0.9,"error",IF(T202&gt;$J$6,"error","aceptable"))</f><v /></c><c r="BB202" s="65"><f>(IF(ABS(U202)&lt;1.05,"CONFORME",IF(ABS(AG202)&lt;1.05,"CONFORME",IF(ABS(AS202)&lt;2.55,"CONFORME","NO CONFORME"))))</f><v /></c><c r="BC202" s="62"><f>(IF(ABS(U202)&gt;2.05,"NO CONFORME",IF(ABS(AG202)&gt;2.05,"NO CONFORME",IF(ABS(AS202)&gt;5.05,"NO CONFORME","CONFORME"))))</f><v /></c><c r="BD202" s="64"><f>SIGN(U202)</f><v /></c><c r="BE202" s="64"><f>SIGN(AG202)</f><v /></c><c r="BF202" s="64"><f>SIGN(AS202)</f><v /></c><c r="BG202" s="64"><f>CONCATENATE(BD202,BE202,BF202)</f><v /></c><c r="BH202" s="64"><f>IF(BG202="111","SI","SD")</f><v /></c><c r="BI202" s="64"><f>IF(BG202="-1-1-1","SI","SD")</f><v /></c><c r="BJ202" s="64"><f>OR(BH202="SI",BI202="SI")</f><v /></c><c r="BK202" s="64"><f>IF(BJ202=FALSE,"SIGDIFERENTES","SIGIGUALES")</f><v /></c><c r="BL202" s="21"><f>IF(BC202="NO CONFORME","NO CONFORME",IF(BB202="CONFORME","CONFORME","NO CONFORME"))</f><v /></c><c r="BM202" s="66" t="n" /><c r="BN202" s="66" t="n" /></row><row r="203" ht="15" customHeight="1"><c r="A203" s="9" t="n"><v>195</v></c><c r="B203" s="296"><f>B202</f><v /></c><c r="C203" s="296"><f>C202</f><v /></c><c r="D203" s="11"><f>D202</f><v /></c><c r="E203" s="9"><f>E202</f><v /></c><c r="F203" s="12" t="n" /><c r="G203" s="297" t="n" /><c r="H203" s="90"><f>H202</f><v /></c><c r="I203" s="90" t="n" /><c r="J203" s="298"><f>J202</f><v /></c><c r="K203" s="298"><f>K202</f><v /></c><c r="L203" s="298"><f>L202</f><v /></c><c r="M203" s="52" t="n" /><c r="N203" s="52" t="n" /><c r="O203" s="30"><f>O202</f><v /></c><c r="P203" s="299"><f>P202</f><v /></c><c r="Q203" s="10"><f>LEFT(P203,1)</f><v /></c><c r="R203" s="10"><f>RIGHT(P203,6)</f><v /></c><c r="S203" s="10"><f>+(Q203*60+R203)/(60*60)</f><v /></c><c r="T203" s="13"><f>+O203/S203</f><v /></c><c r="U203" s="300"><f>+(((N203-M203-O203)/O203)*100)</f><v /></c><c r="V203" s="301"><f>V202</f><v /></c><c r="W203" s="302"><f>W202</f><v /></c><c r="X203" s="302"><f>X202</f><v /></c><c r="Y203" s="52" t="n" /><c r="Z203" s="52" t="n" /><c r="AA203" s="106"><f>AA202</f><v /></c><c r="AB203" s="299"><f>AB202</f><v /></c><c r="AC203" s="10"><f>LEFT(AB203,2)</f><v /></c><c r="AD203" s="10"><f>RIGHT(AB203,6)</f><v /></c><c r="AE203" s="10"><f>+(AC203*60+AD203)/(60*60)</f><v /></c><c r="AF203" s="13"><f>+AA203/AE203</f><v /></c><c r="AG203" s="303"><f>+(((Z203-Y203-AA203)/AA203)*100)</f><v /></c><c r="AH203" s="301"><f>AH202</f><v /></c><c r="AI203" s="301"><f>AI202</f><v /></c><c r="AJ203" s="301"><f>AJ202</f><v /></c><c r="AK203" s="52"><f>+Z203</f><v /></c><c r="AL203" s="52" t="n" /><c r="AM203" s="111"><f>AM202</f><v /></c><c r="AN203" s="299"><f>AN202</f><v /></c><c r="AO203" s="10"><f>LEFT(AN203,2)</f><v /></c><c r="AP203" s="10"><f>RIGHT(AN203,6)</f><v /></c><c r="AQ203" s="10"><f>+(AO203*60+AP203)/(60*60)</f><v /></c><c r="AR203" s="13"><f>+AM203/AQ203</f><v /></c><c r="AS203" s="303"><f>+(((AL203-AK203-AM203)/AM203)*100)</f><v /></c><c r="AT203" s="64"><f>IF(I203&gt;=1,"NO CONFORME",IF(BK203="SIGDIFERENTES",BC203,BL203))</f><v /></c><c r="AU203" s="21"><f>B203&lt;=C203</f><v /></c><c r="AV203" s="21"><f>N203&lt;Y203</f><v /></c><c r="AW203" s="21"><f>Z203&lt;=AK203</f><v /></c><c r="AX203" s="21"><f>IF(I203&gt;=1,"Qcorrecto",IF(AND(AY203="aceptable",AZ203="aceptable",BA203="aceptable"),"Qcorrecto","Qincorrecto"))</f><v /></c><c r="AY203" s="21"><f>IF(AR203&lt;$AH$6,"error",IF(AR203&gt;$AH$6*1.1,"error","aceptable"))</f><v /></c><c r="AZ203" s="21"><f>IF(AF203&lt;$V$6,"error",IF(AF203&gt;$V$6*1.1,"error","aceptable"))</f><v /></c><c r="BA203" s="21"><f>IF(T203&lt;$J$6*0.9,"error",IF(T203&gt;$J$6,"error","aceptable"))</f><v /></c><c r="BB203" s="65"><f>(IF(ABS(U203)&lt;1.05,"CONFORME",IF(ABS(AG203)&lt;1.05,"CONFORME",IF(ABS(AS203)&lt;2.55,"CONFORME","NO CONFORME"))))</f><v /></c><c r="BC203" s="62"><f>(IF(ABS(U203)&gt;2.05,"NO CONFORME",IF(ABS(AG203)&gt;2.05,"NO CONFORME",IF(ABS(AS203)&gt;5.05,"NO CONFORME","CONFORME"))))</f><v /></c><c r="BD203" s="64"><f>SIGN(U203)</f><v /></c><c r="BE203" s="64"><f>SIGN(AG203)</f><v /></c><c r="BF203" s="64"><f>SIGN(AS203)</f><v /></c><c r="BG203" s="64"><f>CONCATENATE(BD203,BE203,BF203)</f><v /></c><c r="BH203" s="64"><f>IF(BG203="111","SI","SD")</f><v /></c><c r="BI203" s="64"><f>IF(BG203="-1-1-1","SI","SD")</f><v /></c><c r="BJ203" s="64"><f>OR(BH203="SI",BI203="SI")</f><v /></c><c r="BK203" s="64"><f>IF(BJ203=FALSE,"SIGDIFERENTES","SIGIGUALES")</f><v /></c><c r="BL203" s="21"><f>IF(BC203="NO CONFORME","NO CONFORME",IF(BB203="CONFORME","CONFORME","NO CONFORME"))</f><v /></c><c r="BM203" s="66" t="n" /><c r="BN203" s="66" t="n" /></row><row r="204" ht="15.75" customHeight="1" thickBot="1"><c r="A204" s="9" t="n"><v>196</v></c><c r="B204" s="296"><f>B203</f><v /></c><c r="C204" s="296"><f>C203</f><v /></c><c r="D204" s="11"><f>D203</f><v /></c><c r="E204" s="9"><f>E203</f><v /></c><c r="F204" s="12" t="n" /><c r="G204" s="297" t="n" /><c r="H204" s="90"><f>H203</f><v /></c><c r="I204" s="90" t="n" /><c r="J204" s="298"><f>J203</f><v /></c><c r="K204" s="298"><f>K203</f><v /></c><c r="L204" s="298"><f>L203</f><v /></c><c r="M204" s="52" t="n" /><c r="N204" s="52" t="n" /><c r="O204" s="30"><f>O203</f><v /></c><c r="P204" s="299"><f>P203</f><v /></c><c r="Q204" s="10"><f>LEFT(P204,1)</f><v /></c><c r="R204" s="10"><f>RIGHT(P204,6)</f><v /></c><c r="S204" s="10"><f>+(Q204*60+R204)/(60*60)</f><v /></c><c r="T204" s="13"><f>+O204/S204</f><v /></c><c r="U204" s="300"><f>+(((N204-M204-O204)/O204)*100)</f><v /></c><c r="V204" s="301"><f>V203</f><v /></c><c r="W204" s="302"><f>W203</f><v /></c><c r="X204" s="302"><f>X203</f><v /></c><c r="Y204" s="52" t="n" /><c r="Z204" s="52" t="n" /><c r="AA204" s="106"><f>AA203</f><v /></c><c r="AB204" s="299"><f>AB203</f><v /></c><c r="AC204" s="10"><f>LEFT(AB204,2)</f><v /></c><c r="AD204" s="10"><f>RIGHT(AB204,6)</f><v /></c><c r="AE204" s="10"><f>+(AC204*60+AD204)/(60*60)</f><v /></c><c r="AF204" s="13"><f>+AA204/AE204</f><v /></c><c r="AG204" s="303"><f>+(((Z204-Y204-AA204)/AA204)*100)</f><v /></c><c r="AH204" s="301"><f>AH203</f><v /></c><c r="AI204" s="301"><f>AI203</f><v /></c><c r="AJ204" s="301"><f>AJ203</f><v /></c><c r="AK204" s="52"><f>+Z204</f><v /></c><c r="AL204" s="52" t="n" /><c r="AM204" s="111"><f>AM203</f><v /></c><c r="AN204" s="299"><f>AN203</f><v /></c><c r="AO204" s="10"><f>LEFT(AN204,2)</f><v /></c><c r="AP204" s="10"><f>RIGHT(AN204,6)</f><v /></c><c r="AQ204" s="10"><f>+(AO204*60+AP204)/(60*60)</f><v /></c><c r="AR204" s="13"><f>+AM204/AQ204</f><v /></c><c r="AS204" s="303"><f>+(((AL204-AK204-AM204)/AM204)*100)</f><v /></c><c r="AT204" s="64"><f>IF(I204&gt;=1,"NO CONFORME",IF(BK204="SIGDIFERENTES",BC204,BL204))</f><v /></c><c r="AU204" s="21"><f>B204&lt;=C204</f><v /></c><c r="AV204" s="21"><f>N204&lt;Y204</f><v /></c><c r="AW204" s="21"><f>Z204&lt;=AK204</f><v /></c><c r="AX204" s="21"><f>IF(I204&gt;=1,"Qcorrecto",IF(AND(AY204="aceptable",AZ204="aceptable",BA204="aceptable"),"Qcorrecto","Qincorrecto"))</f><v /></c><c r="AY204" s="21"><f>IF(AR204&lt;$AH$6,"error",IF(AR204&gt;$AH$6*1.1,"error","aceptable"))</f><v /></c><c r="AZ204" s="21"><f>IF(AF204&lt;$V$6,"error",IF(AF204&gt;$V$6*1.1,"error","aceptable"))</f><v /></c><c r="BA204" s="21"><f>IF(T204&lt;$J$6*0.9,"error",IF(T204&gt;$J$6,"error","aceptable"))</f><v /></c><c r="BB204" s="65"><f>(IF(ABS(U204)&lt;1.05,"CONFORME",IF(ABS(AG204)&lt;1.05,"CONFORME",IF(ABS(AS204)&lt;2.55,"CONFORME","NO CONFORME"))))</f><v /></c><c r="BC204" s="62"><f>(IF(ABS(U204)&gt;2.05,"NO CONFORME",IF(ABS(AG204)&gt;2.05,"NO CONFORME",IF(ABS(AS204)&gt;5.05,"NO CONFORME","CONFORME"))))</f><v /></c><c r="BD204" s="64"><f>SIGN(U204)</f><v /></c><c r="BE204" s="64"><f>SIGN(AG204)</f><v /></c><c r="BF204" s="64"><f>SIGN(AS204)</f><v /></c><c r="BG204" s="64"><f>CONCATENATE(BD204,BE204,BF204)</f><v /></c><c r="BH204" s="64"><f>IF(BG204="111","SI","SD")</f><v /></c><c r="BI204" s="64"><f>IF(BG204="-1-1-1","SI","SD")</f><v /></c><c r="BJ204" s="64"><f>OR(BH204="SI",BI204="SI")</f><v /></c><c r="BK204" s="64"><f>IF(BJ204=FALSE,"SIGDIFERENTES","SIGIGUALES")</f><v /></c><c r="BL204" s="21"><f>IF(BC204="NO CONFORME","NO CONFORME",IF(BB204="CONFORME","CONFORME","NO CONFORME"))</f><v /></c><c r="BM204" s="66" t="n" /><c r="BN204" s="66" t="n" /></row><row r="205" ht="15" customHeight="1"><c r="A205" s="55" t="n"><v>197</v></c><c r="B205" s="304"><f>B204</f><v /></c><c r="C205" s="304"><f>C204</f><v /></c><c r="D205" s="94"><f>D204</f><v /></c><c r="E205" s="95"><f>E204</f><v /></c><c r="F205" s="96" t="n" /><c r="G205" s="305" t="n" /><c r="H205" s="98"><f>H204</f><v /></c><c r="I205" s="98" t="n" /><c r="J205" s="306"><f>J204</f><v /></c><c r="K205" s="306"><f>K204</f><v /></c><c r="L205" s="306"><f>L204</f><v /></c><c r="M205" s="100" t="n" /><c r="N205" s="100" t="n" /><c r="O205" s="101"><f>O204</f><v /></c><c r="P205" s="307"><f>P204</f><v /></c><c r="Q205" s="10"><f>LEFT(P205,1)</f><v /></c><c r="R205" s="10"><f>RIGHT(P205,6)</f><v /></c><c r="S205" s="10"><f>+(Q205*60+R205)/(60*60)</f><v /></c><c r="T205" s="13"><f>+O205/S205</f><v /></c><c r="U205" s="300"><f>+(((N205-M205-O205)/O205)*100)</f><v /></c><c r="V205" s="308"><f>V204</f><v /></c><c r="W205" s="309"><f>W204</f><v /></c><c r="X205" s="309"><f>X204</f><v /></c><c r="Y205" s="100" t="n" /><c r="Z205" s="100" t="n" /><c r="AA205" s="109"><f>AA204</f><v /></c><c r="AB205" s="307"><f>AB204</f><v /></c><c r="AC205" s="10"><f>LEFT(AB205,2)</f><v /></c><c r="AD205" s="10"><f>RIGHT(AB205,6)</f><v /></c><c r="AE205" s="10"><f>+(AC205*60+AD205)/(60*60)</f><v /></c><c r="AF205" s="13"><f>+AA205/AE205</f><v /></c><c r="AG205" s="303"><f>+(((Z205-Y205-AA205)/AA205)*100)</f><v /></c><c r="AH205" s="308"><f>AH204</f><v /></c><c r="AI205" s="308"><f>AI204</f><v /></c><c r="AJ205" s="308"><f>AJ204</f><v /></c><c r="AK205" s="100"><f>+Z205</f><v /></c><c r="AL205" s="100" t="n" /><c r="AM205" s="112"><f>AM204</f><v /></c><c r="AN205" s="307"><f>AN204</f><v /></c><c r="AO205" s="10"><f>LEFT(AN205,2)</f><v /></c><c r="AP205" s="10"><f>RIGHT(AN205,6)</f><v /></c><c r="AQ205" s="10"><f>+(AO205*60+AP205)/(60*60)</f><v /></c><c r="AR205" s="13"><f>+AM205/AQ205</f><v /></c><c r="AS205" s="303"><f>+(((AL205-AK205-AM205)/AM205)*100)</f><v /></c><c r="AT205" s="64"><f>IF(I205&gt;=1,"NO CONFORME",IF(BK205="SIGDIFERENTES",BC205,BL205))</f><v /></c><c r="AU205" s="21"><f>B205&lt;=C205</f><v /></c><c r="AV205" s="21"><f>N205&lt;Y205</f><v /></c><c r="AW205" s="21"><f>Z205&lt;=AK205</f><v /></c><c r="AX205" s="21"><f>IF(I205&gt;=1,"Qcorrecto",IF(AND(AY205="aceptable",AZ205="aceptable",BA205="aceptable"),"Qcorrecto","Qincorrecto"))</f><v /></c><c r="AY205" s="21"><f>IF(AR205&lt;$AH$6,"error",IF(AR205&gt;$AH$6*1.1,"error","aceptable"))</f><v /></c><c r="AZ205" s="21"><f>IF(AF205&lt;$V$6,"error",IF(AF205&gt;$V$6*1.1,"error","aceptable"))</f><v /></c><c r="BA205" s="21"><f>IF(T205&lt;$J$6*0.9,"error",IF(T205&gt;$J$6,"error","aceptable"))</f><v /></c><c r="BB205" s="65"><f>(IF(ABS(U205)&lt;1.05,"CONFORME",IF(ABS(AG205)&lt;1.05,"CONFORME",IF(ABS(AS205)&lt;2.55,"CONFORME","NO CONFORME"))))</f><v /></c><c r="BC205" s="62"><f>(IF(ABS(U205)&gt;2.05,"NO CONFORME",IF(ABS(AG205)&gt;2.05,"NO CONFORME",IF(ABS(AS205)&gt;5.05,"NO CONFORME","CONFORME"))))</f><v /></c><c r="BD205" s="64"><f>SIGN(U205)</f><v /></c><c r="BE205" s="64"><f>SIGN(AG205)</f><v /></c><c r="BF205" s="64"><f>SIGN(AS205)</f><v /></c><c r="BG205" s="64"><f>CONCATENATE(BD205,BE205,BF205)</f><v /></c><c r="BH205" s="64"><f>IF(BG205="111","SI","SD")</f><v /></c><c r="BI205" s="64"><f>IF(BG205="-1-1-1","SI","SD")</f><v /></c><c r="BJ205" s="64"><f>OR(BH205="SI",BI205="SI")</f><v /></c><c r="BK205" s="64"><f>IF(BJ205=FALSE,"SIGDIFERENTES","SIGIGUALES")</f><v /></c><c r="BL205" s="21"><f>IF(BC205="NO CONFORME","NO CONFORME",IF(BB205="CONFORME","CONFORME","NO CONFORME"))</f><v /></c><c r="BM205" s="66" t="n" /><c r="BN205" s="66" t="n" /></row><row r="206" ht="15.75" customHeight="1" thickBot="1"><c r="A206" s="9" t="n"><v>198</v></c><c r="B206" s="296"><f>B205</f><v /></c><c r="C206" s="296"><f>C205</f><v /></c><c r="D206" s="11"><f>D205</f><v /></c><c r="E206" s="9"><f>E205</f><v /></c><c r="F206" s="12" t="n" /><c r="G206" s="297" t="n" /><c r="H206" s="90"><f>H205</f><v /></c><c r="I206" s="90" t="n" /><c r="J206" s="298"><f>J205</f><v /></c><c r="K206" s="298"><f>K205</f><v /></c><c r="L206" s="298"><f>L205</f><v /></c><c r="M206" s="52" t="n" /><c r="N206" s="52" t="n" /><c r="O206" s="30"><f>O205</f><v /></c><c r="P206" s="299"><f>P205</f><v /></c><c r="Q206" s="10"><f>LEFT(P206,1)</f><v /></c><c r="R206" s="10"><f>RIGHT(P206,6)</f><v /></c><c r="S206" s="10"><f>+(Q206*60+R206)/(60*60)</f><v /></c><c r="T206" s="13"><f>+O206/S206</f><v /></c><c r="U206" s="300"><f>+(((N206-M206-O206)/O206)*100)</f><v /></c><c r="V206" s="301"><f>V205</f><v /></c><c r="W206" s="302"><f>W205</f><v /></c><c r="X206" s="302"><f>X205</f><v /></c><c r="Y206" s="52" t="n" /><c r="Z206" s="52" t="n" /><c r="AA206" s="106"><f>AA205</f><v /></c><c r="AB206" s="299"><f>AB205</f><v /></c><c r="AC206" s="10"><f>LEFT(AB206,2)</f><v /></c><c r="AD206" s="10"><f>RIGHT(AB206,6)</f><v /></c><c r="AE206" s="10"><f>+(AC206*60+AD206)/(60*60)</f><v /></c><c r="AF206" s="13"><f>+AA206/AE206</f><v /></c><c r="AG206" s="303"><f>+(((Z206-Y206-AA206)/AA206)*100)</f><v /></c><c r="AH206" s="301"><f>AH205</f><v /></c><c r="AI206" s="301"><f>AI205</f><v /></c><c r="AJ206" s="301"><f>AJ205</f><v /></c><c r="AK206" s="52"><f>+Z206</f><v /></c><c r="AL206" s="52" t="n" /><c r="AM206" s="111"><f>AM205</f><v /></c><c r="AN206" s="299"><f>AN205</f><v /></c><c r="AO206" s="10"><f>LEFT(AN206,2)</f><v /></c><c r="AP206" s="10"><f>RIGHT(AN206,6)</f><v /></c><c r="AQ206" s="10"><f>+(AO206*60+AP206)/(60*60)</f><v /></c><c r="AR206" s="13"><f>+AM206/AQ206</f><v /></c><c r="AS206" s="303"><f>+(((AL206-AK206-AM206)/AM206)*100)</f><v /></c><c r="AT206" s="64"><f>IF(I206&gt;=1,"NO CONFORME",IF(BK206="SIGDIFERENTES",BC206,BL206))</f><v /></c><c r="AU206" s="21"><f>B206&lt;=C206</f><v /></c><c r="AV206" s="21"><f>N206&lt;Y206</f><v /></c><c r="AW206" s="21"><f>Z206&lt;=AK206</f><v /></c><c r="AX206" s="21"><f>IF(I206&gt;=1,"Qcorrecto",IF(AND(AY206="aceptable",AZ206="aceptable",BA206="aceptable"),"Qcorrecto","Qincorrecto"))</f><v /></c><c r="AY206" s="21"><f>IF(AR206&lt;$AH$6,"error",IF(AR206&gt;$AH$6*1.1,"error","aceptable"))</f><v /></c><c r="AZ206" s="21"><f>IF(AF206&lt;$V$6,"error",IF(AF206&gt;$V$6*1.1,"error","aceptable"))</f><v /></c><c r="BA206" s="21"><f>IF(T206&lt;$J$6*0.9,"error",IF(T206&gt;$J$6,"error","aceptable"))</f><v /></c><c r="BB206" s="65"><f>(IF(ABS(U206)&lt;1.05,"CONFORME",IF(ABS(AG206)&lt;1.05,"CONFORME",IF(ABS(AS206)&lt;2.55,"CONFORME","NO CONFORME"))))</f><v /></c><c r="BC206" s="62"><f>(IF(ABS(U206)&gt;2.05,"NO CONFORME",IF(ABS(AG206)&gt;2.05,"NO CONFORME",IF(ABS(AS206)&gt;5.05,"NO CONFORME","CONFORME"))))</f><v /></c><c r="BD206" s="64"><f>SIGN(U206)</f><v /></c><c r="BE206" s="64"><f>SIGN(AG206)</f><v /></c><c r="BF206" s="64"><f>SIGN(AS206)</f><v /></c><c r="BG206" s="64"><f>CONCATENATE(BD206,BE206,BF206)</f><v /></c><c r="BH206" s="64"><f>IF(BG206="111","SI","SD")</f><v /></c><c r="BI206" s="64"><f>IF(BG206="-1-1-1","SI","SD")</f><v /></c><c r="BJ206" s="64"><f>OR(BH206="SI",BI206="SI")</f><v /></c><c r="BK206" s="64"><f>IF(BJ206=FALSE,"SIGDIFERENTES","SIGIGUALES")</f><v /></c><c r="BL206" s="21"><f>IF(BC206="NO CONFORME","NO CONFORME",IF(BB206="CONFORME","CONFORME","NO CONFORME"))</f><v /></c><c r="BM206" s="66" t="n" /><c r="BN206" s="66" t="n" /></row><row r="207" ht="15" customHeight="1"><c r="A207" s="55" t="n"><v>199</v></c><c r="B207" s="304"><f>B206</f><v /></c><c r="C207" s="304"><f>C206</f><v /></c><c r="D207" s="94"><f>D206</f><v /></c><c r="E207" s="95"><f>E206</f><v /></c><c r="F207" s="96" t="n" /><c r="G207" s="305" t="n" /><c r="H207" s="98"><f>H206</f><v /></c><c r="I207" s="98" t="n" /><c r="J207" s="306"><f>J206</f><v /></c><c r="K207" s="306"><f>K206</f><v /></c><c r="L207" s="306"><f>L206</f><v /></c><c r="M207" s="100" t="n" /><c r="N207" s="100" t="n" /><c r="O207" s="101"><f>O206</f><v /></c><c r="P207" s="307"><f>P206</f><v /></c><c r="Q207" s="10"><f>LEFT(P207,1)</f><v /></c><c r="R207" s="10"><f>RIGHT(P207,6)</f><v /></c><c r="S207" s="10"><f>+(Q207*60+R207)/(60*60)</f><v /></c><c r="T207" s="13"><f>+O207/S207</f><v /></c><c r="U207" s="300"><f>+(((N207-M207-O207)/O207)*100)</f><v /></c><c r="V207" s="308"><f>V206</f><v /></c><c r="W207" s="309"><f>W206</f><v /></c><c r="X207" s="309"><f>X206</f><v /></c><c r="Y207" s="100" t="n" /><c r="Z207" s="100" t="n" /><c r="AA207" s="109"><f>AA206</f><v /></c><c r="AB207" s="307"><f>AB206</f><v /></c><c r="AC207" s="10"><f>LEFT(AB207,2)</f><v /></c><c r="AD207" s="10"><f>RIGHT(AB207,6)</f><v /></c><c r="AE207" s="10"><f>+(AC207*60+AD207)/(60*60)</f><v /></c><c r="AF207" s="13"><f>+AA207/AE207</f><v /></c><c r="AG207" s="303"><f>+(((Z207-Y207-AA207)/AA207)*100)</f><v /></c><c r="AH207" s="308"><f>AH206</f><v /></c><c r="AI207" s="308"><f>AI206</f><v /></c><c r="AJ207" s="308"><f>AJ206</f><v /></c><c r="AK207" s="100"><f>+Z207</f><v /></c><c r="AL207" s="100" t="n" /><c r="AM207" s="112"><f>AM206</f><v /></c><c r="AN207" s="307"><f>AN206</f><v /></c><c r="AO207" s="10"><f>LEFT(AN207,2)</f><v /></c><c r="AP207" s="10"><f>RIGHT(AN207,6)</f><v /></c><c r="AQ207" s="10"><f>+(AO207*60+AP207)/(60*60)</f><v /></c><c r="AR207" s="13"><f>+AM207/AQ207</f><v /></c><c r="AS207" s="303"><f>+(((AL207-AK207-AM207)/AM207)*100)</f><v /></c><c r="AT207" s="64"><f>IF(I207&gt;=1,"NO CONFORME",IF(BK207="SIGDIFERENTES",BC207,BL207))</f><v /></c><c r="AU207" s="21"><f>B207&lt;=C207</f><v /></c><c r="AV207" s="21"><f>N207&lt;Y207</f><v /></c><c r="AW207" s="21"><f>Z207&lt;=AK207</f><v /></c><c r="AX207" s="21"><f>IF(I207&gt;=1,"Qcorrecto",IF(AND(AY207="aceptable",AZ207="aceptable",BA207="aceptable"),"Qcorrecto","Qincorrecto"))</f><v /></c><c r="AY207" s="21"><f>IF(AR207&lt;$AH$6,"error",IF(AR207&gt;$AH$6*1.1,"error","aceptable"))</f><v /></c><c r="AZ207" s="21"><f>IF(AF207&lt;$V$6,"error",IF(AF207&gt;$V$6*1.1,"error","aceptable"))</f><v /></c><c r="BA207" s="21"><f>IF(T207&lt;$J$6*0.9,"error",IF(T207&gt;$J$6,"error","aceptable"))</f><v /></c><c r="BB207" s="65"><f>(IF(ABS(U207)&lt;1.05,"CONFORME",IF(ABS(AG207)&lt;1.05,"CONFORME",IF(ABS(AS207)&lt;2.55,"CONFORME","NO CONFORME"))))</f><v /></c><c r="BC207" s="62"><f>(IF(ABS(U207)&gt;2.05,"NO CONFORME",IF(ABS(AG207)&gt;2.05,"NO CONFORME",IF(ABS(AS207)&gt;5.05,"NO CONFORME","CONFORME"))))</f><v /></c><c r="BD207" s="64"><f>SIGN(U207)</f><v /></c><c r="BE207" s="64"><f>SIGN(AG207)</f><v /></c><c r="BF207" s="64"><f>SIGN(AS207)</f><v /></c><c r="BG207" s="64"><f>CONCATENATE(BD207,BE207,BF207)</f><v /></c><c r="BH207" s="64"><f>IF(BG207="111","SI","SD")</f><v /></c><c r="BI207" s="64"><f>IF(BG207="-1-1-1","SI","SD")</f><v /></c><c r="BJ207" s="64"><f>OR(BH207="SI",BI207="SI")</f><v /></c><c r="BK207" s="64"><f>IF(BJ207=FALSE,"SIGDIFERENTES","SIGIGUALES")</f><v /></c><c r="BL207" s="21"><f>IF(BC207="NO CONFORME","NO CONFORME",IF(BB207="CONFORME","CONFORME","NO CONFORME"))</f><v /></c><c r="BM207" s="66" t="n" /><c r="BN207" s="66" t="n" /></row><row r="208" ht="15" customHeight="1"><c r="A208" s="9" t="n"><v>200</v></c><c r="B208" s="296"><f>B207</f><v /></c><c r="C208" s="296"><f>C207</f><v /></c><c r="D208" s="11"><f>D207</f><v /></c><c r="E208" s="9"><f>E207</f><v /></c><c r="F208" s="12" t="n" /><c r="G208" s="297" t="n" /><c r="H208" s="90"><f>H207</f><v /></c><c r="I208" s="90" t="n" /><c r="J208" s="298"><f>J207</f><v /></c><c r="K208" s="298"><f>K207</f><v /></c><c r="L208" s="298"><f>L207</f><v /></c><c r="M208" s="52" t="n" /><c r="N208" s="52" t="n" /><c r="O208" s="30"><f>O207</f><v /></c><c r="P208" s="299"><f>P207</f><v /></c><c r="Q208" s="10"><f>LEFT(P208,1)</f><v /></c><c r="R208" s="10"><f>RIGHT(P208,6)</f><v /></c><c r="S208" s="10"><f>+(Q208*60+R208)/(60*60)</f><v /></c><c r="T208" s="13"><f>+O208/S208</f><v /></c><c r="U208" s="300"><f>+(((N208-M208-O208)/O208)*100)</f><v /></c><c r="V208" s="301"><f>V207</f><v /></c><c r="W208" s="302"><f>W207</f><v /></c><c r="X208" s="302"><f>X207</f><v /></c><c r="Y208" s="52" t="n" /><c r="Z208" s="52" t="n" /><c r="AA208" s="106"><f>AA207</f><v /></c><c r="AB208" s="299"><f>AB207</f><v /></c><c r="AC208" s="10"><f>LEFT(AB208,2)</f><v /></c><c r="AD208" s="10"><f>RIGHT(AB208,6)</f><v /></c><c r="AE208" s="10"><f>+(AC208*60+AD208)/(60*60)</f><v /></c><c r="AF208" s="13"><f>+AA208/AE208</f><v /></c><c r="AG208" s="303"><f>+(((Z208-Y208-AA208)/AA208)*100)</f><v /></c><c r="AH208" s="301"><f>AH207</f><v /></c><c r="AI208" s="301"><f>AI207</f><v /></c><c r="AJ208" s="301"><f>AJ207</f><v /></c><c r="AK208" s="52"><f>+Z208</f><v /></c><c r="AL208" s="52" t="n" /><c r="AM208" s="111"><f>AM207</f><v /></c><c r="AN208" s="299"><f>AN207</f><v /></c><c r="AO208" s="10"><f>LEFT(AN208,2)</f><v /></c><c r="AP208" s="10"><f>RIGHT(AN208,6)</f><v /></c><c r="AQ208" s="10"><f>+(AO208*60+AP208)/(60*60)</f><v /></c><c r="AR208" s="13"><f>+AM208/AQ208</f><v /></c><c r="AS208" s="303"><f>+(((AL208-AK208-AM208)/AM208)*100)</f><v /></c><c r="AT208" s="64"><f>IF(I208&gt;=1,"NO CONFORME",IF(BK208="SIGDIFERENTES",BC208,BL208))</f><v /></c><c r="AU208" s="21"><f>B208&lt;=C208</f><v /></c><c r="AV208" s="21"><f>N208&lt;Y208</f><v /></c><c r="AW208" s="21"><f>Z208&lt;=AK208</f><v /></c><c r="AX208" s="21"><f>IF(I208&gt;=1,"Qcorrecto",IF(AND(AY208="aceptable",AZ208="aceptable",BA208="aceptable"),"Qcorrecto","Qincorrecto"))</f><v /></c><c r="AY208" s="21"><f>IF(AR208&lt;$AH$6,"error",IF(AR208&gt;$AH$6*1.1,"error","aceptable"))</f><v /></c><c r="AZ208" s="21"><f>IF(AF208&lt;$V$6,"error",IF(AF208&gt;$V$6*1.1,"error","aceptable"))</f><v /></c><c r="BA208" s="21"><f>IF(T208&lt;$J$6*0.9,"error",IF(T208&gt;$J$6,"error","aceptable"))</f><v /></c><c r="BB208" s="65"><f>(IF(ABS(U208)&lt;1.05,"CONFORME",IF(ABS(AG208)&lt;1.05,"CONFORME",IF(ABS(AS208)&lt;2.55,"CONFORME","NO CONFORME"))))</f><v /></c><c r="BC208" s="62"><f>(IF(ABS(U208)&gt;2.05,"NO CONFORME",IF(ABS(AG208)&gt;2.05,"NO CONFORME",IF(ABS(AS208)&gt;5.05,"NO CONFORME","CONFORME"))))</f><v /></c><c r="BD208" s="64"><f>SIGN(U208)</f><v /></c><c r="BE208" s="64"><f>SIGN(AG208)</f><v /></c><c r="BF208" s="64"><f>SIGN(AS208)</f><v /></c><c r="BG208" s="64"><f>CONCATENATE(BD208,BE208,BF208)</f><v /></c><c r="BH208" s="64"><f>IF(BG208="111","SI","SD")</f><v /></c><c r="BI208" s="64"><f>IF(BG208="-1-1-1","SI","SD")</f><v /></c><c r="BJ208" s="64"><f>OR(BH208="SI",BI208="SI")</f><v /></c><c r="BK208" s="64"><f>IF(BJ208=FALSE,"SIGDIFERENTES","SIGIGUALES")</f><v /></c><c r="BL208" s="21"><f>IF(BC208="NO CONFORME","NO CONFORME",IF(BB208="CONFORME","CONFORME","NO CONFORME"))</f><v /></c><c r="BM208" s="66" t="n" /><c r="BN208" s="66" t="n" /></row><row r="209" ht="15.75" customHeight="1" thickBot="1"><c r="A209" s="9" t="n"><v>201</v></c><c r="B209" s="296"><f>B208</f><v /></c><c r="C209" s="296"><f>C208</f><v /></c><c r="D209" s="11"><f>D208</f><v /></c><c r="E209" s="9"><f>E208</f><v /></c><c r="F209" s="12" t="n" /><c r="G209" s="297" t="n" /><c r="H209" s="90"><f>H208</f><v /></c><c r="I209" s="90" t="n" /><c r="J209" s="298"><f>J208</f><v /></c><c r="K209" s="298"><f>K208</f><v /></c><c r="L209" s="298"><f>L208</f><v /></c><c r="M209" s="52" t="n" /><c r="N209" s="52" t="n" /><c r="O209" s="30"><f>O208</f><v /></c><c r="P209" s="299"><f>P208</f><v /></c><c r="Q209" s="10"><f>LEFT(P209,1)</f><v /></c><c r="R209" s="10"><f>RIGHT(P209,6)</f><v /></c><c r="S209" s="10"><f>+(Q209*60+R209)/(60*60)</f><v /></c><c r="T209" s="13"><f>+O209/S209</f><v /></c><c r="U209" s="300"><f>+(((N209-M209-O209)/O209)*100)</f><v /></c><c r="V209" s="301"><f>V208</f><v /></c><c r="W209" s="302"><f>W208</f><v /></c><c r="X209" s="302"><f>X208</f><v /></c><c r="Y209" s="52" t="n" /><c r="Z209" s="52" t="n" /><c r="AA209" s="106"><f>AA208</f><v /></c><c r="AB209" s="299"><f>AB208</f><v /></c><c r="AC209" s="10"><f>LEFT(AB209,2)</f><v /></c><c r="AD209" s="10"><f>RIGHT(AB209,6)</f><v /></c><c r="AE209" s="10"><f>+(AC209*60+AD209)/(60*60)</f><v /></c><c r="AF209" s="13"><f>+AA209/AE209</f><v /></c><c r="AG209" s="303"><f>+(((Z209-Y209-AA209)/AA209)*100)</f><v /></c><c r="AH209" s="301"><f>AH208</f><v /></c><c r="AI209" s="301"><f>AI208</f><v /></c><c r="AJ209" s="301"><f>AJ208</f><v /></c><c r="AK209" s="52"><f>+Z209</f><v /></c><c r="AL209" s="52" t="n" /><c r="AM209" s="111"><f>AM208</f><v /></c><c r="AN209" s="299"><f>AN208</f><v /></c><c r="AO209" s="10"><f>LEFT(AN209,2)</f><v /></c><c r="AP209" s="10"><f>RIGHT(AN209,6)</f><v /></c><c r="AQ209" s="10"><f>+(AO209*60+AP209)/(60*60)</f><v /></c><c r="AR209" s="13"><f>+AM209/AQ209</f><v /></c><c r="AS209" s="303"><f>+(((AL209-AK209-AM209)/AM209)*100)</f><v /></c><c r="AT209" s="64"><f>IF(I209&gt;=1,"NO CONFORME",IF(BK209="SIGDIFERENTES",BC209,BL209))</f><v /></c><c r="AU209" s="21"><f>B209&lt;=C209</f><v /></c><c r="AV209" s="21"><f>N209&lt;Y209</f><v /></c><c r="AW209" s="21"><f>Z209&lt;=AK209</f><v /></c><c r="AX209" s="21"><f>IF(I209&gt;=1,"Qcorrecto",IF(AND(AY209="aceptable",AZ209="aceptable",BA209="aceptable"),"Qcorrecto","Qincorrecto"))</f><v /></c><c r="AY209" s="21"><f>IF(AR209&lt;$AH$6,"error",IF(AR209&gt;$AH$6*1.1,"error","aceptable"))</f><v /></c><c r="AZ209" s="21"><f>IF(AF209&lt;$V$6,"error",IF(AF209&gt;$V$6*1.1,"error","aceptable"))</f><v /></c><c r="BA209" s="21"><f>IF(T209&lt;$J$6*0.9,"error",IF(T209&gt;$J$6,"error","aceptable"))</f><v /></c><c r="BB209" s="65"><f>(IF(ABS(U209)&lt;1.05,"CONFORME",IF(ABS(AG209)&lt;1.05,"CONFORME",IF(ABS(AS209)&lt;2.55,"CONFORME","NO CONFORME"))))</f><v /></c><c r="BC209" s="62"><f>(IF(ABS(U209)&gt;2.05,"NO CONFORME",IF(ABS(AG209)&gt;2.05,"NO CONFORME",IF(ABS(AS209)&gt;5.05,"NO CONFORME","CONFORME"))))</f><v /></c><c r="BD209" s="64"><f>SIGN(U209)</f><v /></c><c r="BE209" s="64"><f>SIGN(AG209)</f><v /></c><c r="BF209" s="64"><f>SIGN(AS209)</f><v /></c><c r="BG209" s="64"><f>CONCATENATE(BD209,BE209,BF209)</f><v /></c><c r="BH209" s="64"><f>IF(BG209="111","SI","SD")</f><v /></c><c r="BI209" s="64"><f>IF(BG209="-1-1-1","SI","SD")</f><v /></c><c r="BJ209" s="64"><f>OR(BH209="SI",BI209="SI")</f><v /></c><c r="BK209" s="64"><f>IF(BJ209=FALSE,"SIGDIFERENTES","SIGIGUALES")</f><v /></c><c r="BL209" s="21"><f>IF(BC209="NO CONFORME","NO CONFORME",IF(BB209="CONFORME","CONFORME","NO CONFORME"))</f><v /></c><c r="BM209" s="66" t="n" /><c r="BN209" s="66" t="n" /></row><row r="210" ht="15" customHeight="1"><c r="A210" s="55" t="n"><v>202</v></c><c r="B210" s="304"><f>B209</f><v /></c><c r="C210" s="304"><f>C209</f><v /></c><c r="D210" s="94"><f>D209</f><v /></c><c r="E210" s="95"><f>E209</f><v /></c><c r="F210" s="96" t="n" /><c r="G210" s="305" t="n" /><c r="H210" s="98"><f>H209</f><v /></c><c r="I210" s="98" t="n" /><c r="J210" s="306"><f>J209</f><v /></c><c r="K210" s="306"><f>K209</f><v /></c><c r="L210" s="306"><f>L209</f><v /></c><c r="M210" s="100" t="n" /><c r="N210" s="100" t="n" /><c r="O210" s="101"><f>O209</f><v /></c><c r="P210" s="307"><f>P209</f><v /></c><c r="Q210" s="10"><f>LEFT(P210,1)</f><v /></c><c r="R210" s="10"><f>RIGHT(P210,6)</f><v /></c><c r="S210" s="10"><f>+(Q210*60+R210)/(60*60)</f><v /></c><c r="T210" s="13"><f>+O210/S210</f><v /></c><c r="U210" s="300"><f>+(((N210-M210-O210)/O210)*100)</f><v /></c><c r="V210" s="308"><f>V209</f><v /></c><c r="W210" s="309"><f>W209</f><v /></c><c r="X210" s="309"><f>X209</f><v /></c><c r="Y210" s="100" t="n" /><c r="Z210" s="100" t="n" /><c r="AA210" s="109"><f>AA209</f><v /></c><c r="AB210" s="307"><f>AB209</f><v /></c><c r="AC210" s="10"><f>LEFT(AB210,2)</f><v /></c><c r="AD210" s="10"><f>RIGHT(AB210,6)</f><v /></c><c r="AE210" s="10"><f>+(AC210*60+AD210)/(60*60)</f><v /></c><c r="AF210" s="13"><f>+AA210/AE210</f><v /></c><c r="AG210" s="303"><f>+(((Z210-Y210-AA210)/AA210)*100)</f><v /></c><c r="AH210" s="308"><f>AH209</f><v /></c><c r="AI210" s="308"><f>AI209</f><v /></c><c r="AJ210" s="308"><f>AJ209</f><v /></c><c r="AK210" s="100"><f>+Z210</f><v /></c><c r="AL210" s="100" t="n" /><c r="AM210" s="112"><f>AM209</f><v /></c><c r="AN210" s="307"><f>AN209</f><v /></c><c r="AO210" s="10"><f>LEFT(AN210,2)</f><v /></c><c r="AP210" s="10"><f>RIGHT(AN210,6)</f><v /></c><c r="AQ210" s="10"><f>+(AO210*60+AP210)/(60*60)</f><v /></c><c r="AR210" s="13"><f>+AM210/AQ210</f><v /></c><c r="AS210" s="303"><f>+(((AL210-AK210-AM210)/AM210)*100)</f><v /></c><c r="AT210" s="64"><f>IF(I210&gt;=1,"NO CONFORME",IF(BK210="SIGDIFERENTES",BC210,BL210))</f><v /></c><c r="AU210" s="21"><f>B210&lt;=C210</f><v /></c><c r="AV210" s="21"><f>N210&lt;Y210</f><v /></c><c r="AW210" s="21"><f>Z210&lt;=AK210</f><v /></c><c r="AX210" s="21"><f>IF(I210&gt;=1,"Qcorrecto",IF(AND(AY210="aceptable",AZ210="aceptable",BA210="aceptable"),"Qcorrecto","Qincorrecto"))</f><v /></c><c r="AY210" s="21"><f>IF(AR210&lt;$AH$6,"error",IF(AR210&gt;$AH$6*1.1,"error","aceptable"))</f><v /></c><c r="AZ210" s="21"><f>IF(AF210&lt;$V$6,"error",IF(AF210&gt;$V$6*1.1,"error","aceptable"))</f><v /></c><c r="BA210" s="21"><f>IF(T210&lt;$J$6*0.9,"error",IF(T210&gt;$J$6,"error","aceptable"))</f><v /></c><c r="BB210" s="65"><f>(IF(ABS(U210)&lt;1.05,"CONFORME",IF(ABS(AG210)&lt;1.05,"CONFORME",IF(ABS(AS210)&lt;2.55,"CONFORME","NO CONFORME"))))</f><v /></c><c r="BC210" s="62"><f>(IF(ABS(U210)&gt;2.05,"NO CONFORME",IF(ABS(AG210)&gt;2.05,"NO CONFORME",IF(ABS(AS210)&gt;5.05,"NO CONFORME","CONFORME"))))</f><v /></c><c r="BD210" s="64"><f>SIGN(U210)</f><v /></c><c r="BE210" s="64"><f>SIGN(AG210)</f><v /></c><c r="BF210" s="64"><f>SIGN(AS210)</f><v /></c><c r="BG210" s="64"><f>CONCATENATE(BD210,BE210,BF210)</f><v /></c><c r="BH210" s="64"><f>IF(BG210="111","SI","SD")</f><v /></c><c r="BI210" s="64"><f>IF(BG210="-1-1-1","SI","SD")</f><v /></c><c r="BJ210" s="64"><f>OR(BH210="SI",BI210="SI")</f><v /></c><c r="BK210" s="64"><f>IF(BJ210=FALSE,"SIGDIFERENTES","SIGIGUALES")</f><v /></c><c r="BL210" s="21"><f>IF(BC210="NO CONFORME","NO CONFORME",IF(BB210="CONFORME","CONFORME","NO CONFORME"))</f><v /></c><c r="BM210" s="66" t="n" /><c r="BN210" s="66" t="n" /></row><row r="211" ht="15.75" customHeight="1" thickBot="1"><c r="A211" s="9" t="n"><v>203</v></c><c r="B211" s="296"><f>B210</f><v /></c><c r="C211" s="296"><f>C210</f><v /></c><c r="D211" s="11"><f>D210</f><v /></c><c r="E211" s="9"><f>E210</f><v /></c><c r="F211" s="12" t="n" /><c r="G211" s="297" t="n" /><c r="H211" s="90"><f>H210</f><v /></c><c r="I211" s="90" t="n" /><c r="J211" s="298"><f>J210</f><v /></c><c r="K211" s="298"><f>K210</f><v /></c><c r="L211" s="298"><f>L210</f><v /></c><c r="M211" s="52" t="n" /><c r="N211" s="52" t="n" /><c r="O211" s="30"><f>O210</f><v /></c><c r="P211" s="299"><f>P210</f><v /></c><c r="Q211" s="10"><f>LEFT(P211,1)</f><v /></c><c r="R211" s="10"><f>RIGHT(P211,6)</f><v /></c><c r="S211" s="10"><f>+(Q211*60+R211)/(60*60)</f><v /></c><c r="T211" s="13"><f>+O211/S211</f><v /></c><c r="U211" s="300"><f>+(((N211-M211-O211)/O211)*100)</f><v /></c><c r="V211" s="301"><f>V210</f><v /></c><c r="W211" s="302"><f>W210</f><v /></c><c r="X211" s="302"><f>X210</f><v /></c><c r="Y211" s="52" t="n" /><c r="Z211" s="52" t="n" /><c r="AA211" s="106"><f>AA210</f><v /></c><c r="AB211" s="299"><f>AB210</f><v /></c><c r="AC211" s="10"><f>LEFT(AB211,2)</f><v /></c><c r="AD211" s="10"><f>RIGHT(AB211,6)</f><v /></c><c r="AE211" s="10"><f>+(AC211*60+AD211)/(60*60)</f><v /></c><c r="AF211" s="13"><f>+AA211/AE211</f><v /></c><c r="AG211" s="303"><f>+(((Z211-Y211-AA211)/AA211)*100)</f><v /></c><c r="AH211" s="301"><f>AH210</f><v /></c><c r="AI211" s="301"><f>AI210</f><v /></c><c r="AJ211" s="301"><f>AJ210</f><v /></c><c r="AK211" s="52"><f>+Z211</f><v /></c><c r="AL211" s="52" t="n" /><c r="AM211" s="111"><f>AM210</f><v /></c><c r="AN211" s="299"><f>AN210</f><v /></c><c r="AO211" s="10"><f>LEFT(AN211,2)</f><v /></c><c r="AP211" s="10"><f>RIGHT(AN211,6)</f><v /></c><c r="AQ211" s="10"><f>+(AO211*60+AP211)/(60*60)</f><v /></c><c r="AR211" s="13"><f>+AM211/AQ211</f><v /></c><c r="AS211" s="303"><f>+(((AL211-AK211-AM211)/AM211)*100)</f><v /></c><c r="AT211" s="64"><f>IF(I211&gt;=1,"NO CONFORME",IF(BK211="SIGDIFERENTES",BC211,BL211))</f><v /></c><c r="AU211" s="21"><f>B211&lt;=C211</f><v /></c><c r="AV211" s="21"><f>N211&lt;Y211</f><v /></c><c r="AW211" s="21"><f>Z211&lt;=AK211</f><v /></c><c r="AX211" s="21"><f>IF(I211&gt;=1,"Qcorrecto",IF(AND(AY211="aceptable",AZ211="aceptable",BA211="aceptable"),"Qcorrecto","Qincorrecto"))</f><v /></c><c r="AY211" s="21"><f>IF(AR211&lt;$AH$6,"error",IF(AR211&gt;$AH$6*1.1,"error","aceptable"))</f><v /></c><c r="AZ211" s="21"><f>IF(AF211&lt;$V$6,"error",IF(AF211&gt;$V$6*1.1,"error","aceptable"))</f><v /></c><c r="BA211" s="21"><f>IF(T211&lt;$J$6*0.9,"error",IF(T211&gt;$J$6,"error","aceptable"))</f><v /></c><c r="BB211" s="65"><f>(IF(ABS(U211)&lt;1.05,"CONFORME",IF(ABS(AG211)&lt;1.05,"CONFORME",IF(ABS(AS211)&lt;2.55,"CONFORME","NO CONFORME"))))</f><v /></c><c r="BC211" s="62"><f>(IF(ABS(U211)&gt;2.05,"NO CONFORME",IF(ABS(AG211)&gt;2.05,"NO CONFORME",IF(ABS(AS211)&gt;5.05,"NO CONFORME","CONFORME"))))</f><v /></c><c r="BD211" s="64"><f>SIGN(U211)</f><v /></c><c r="BE211" s="64"><f>SIGN(AG211)</f><v /></c><c r="BF211" s="64"><f>SIGN(AS211)</f><v /></c><c r="BG211" s="64"><f>CONCATENATE(BD211,BE211,BF211)</f><v /></c><c r="BH211" s="64"><f>IF(BG211="111","SI","SD")</f><v /></c><c r="BI211" s="64"><f>IF(BG211="-1-1-1","SI","SD")</f><v /></c><c r="BJ211" s="64"><f>OR(BH211="SI",BI211="SI")</f><v /></c><c r="BK211" s="64"><f>IF(BJ211=FALSE,"SIGDIFERENTES","SIGIGUALES")</f><v /></c><c r="BL211" s="21"><f>IF(BC211="NO CONFORME","NO CONFORME",IF(BB211="CONFORME","CONFORME","NO CONFORME"))</f><v /></c><c r="BM211" s="66" t="n" /><c r="BN211" s="66" t="n" /></row><row r="212" ht="15" customHeight="1"><c r="A212" s="55" t="n"><v>204</v></c><c r="B212" s="304"><f>B211</f><v /></c><c r="C212" s="304"><f>C211</f><v /></c><c r="D212" s="94"><f>D211</f><v /></c><c r="E212" s="95"><f>E211</f><v /></c><c r="F212" s="96" t="n" /><c r="G212" s="305" t="n" /><c r="H212" s="98"><f>H211</f><v /></c><c r="I212" s="98" t="n" /><c r="J212" s="306"><f>J211</f><v /></c><c r="K212" s="306"><f>K211</f><v /></c><c r="L212" s="306"><f>L211</f><v /></c><c r="M212" s="100" t="n" /><c r="N212" s="100" t="n" /><c r="O212" s="101"><f>O211</f><v /></c><c r="P212" s="307"><f>P211</f><v /></c><c r="Q212" s="10"><f>LEFT(P212,1)</f><v /></c><c r="R212" s="10"><f>RIGHT(P212,6)</f><v /></c><c r="S212" s="10"><f>+(Q212*60+R212)/(60*60)</f><v /></c><c r="T212" s="13"><f>+O212/S212</f><v /></c><c r="U212" s="300"><f>+(((N212-M212-O212)/O212)*100)</f><v /></c><c r="V212" s="308"><f>V211</f><v /></c><c r="W212" s="309"><f>W211</f><v /></c><c r="X212" s="309"><f>X211</f><v /></c><c r="Y212" s="100" t="n" /><c r="Z212" s="100" t="n" /><c r="AA212" s="109"><f>AA211</f><v /></c><c r="AB212" s="307"><f>AB211</f><v /></c><c r="AC212" s="10"><f>LEFT(AB212,2)</f><v /></c><c r="AD212" s="10"><f>RIGHT(AB212,6)</f><v /></c><c r="AE212" s="10"><f>+(AC212*60+AD212)/(60*60)</f><v /></c><c r="AF212" s="13"><f>+AA212/AE212</f><v /></c><c r="AG212" s="303"><f>+(((Z212-Y212-AA212)/AA212)*100)</f><v /></c><c r="AH212" s="308"><f>AH211</f><v /></c><c r="AI212" s="308"><f>AI211</f><v /></c><c r="AJ212" s="308"><f>AJ211</f><v /></c><c r="AK212" s="100"><f>+Z212</f><v /></c><c r="AL212" s="100" t="n" /><c r="AM212" s="112"><f>AM211</f><v /></c><c r="AN212" s="307"><f>AN211</f><v /></c><c r="AO212" s="10"><f>LEFT(AN212,2)</f><v /></c><c r="AP212" s="10"><f>RIGHT(AN212,6)</f><v /></c><c r="AQ212" s="10"><f>+(AO212*60+AP212)/(60*60)</f><v /></c><c r="AR212" s="13"><f>+AM212/AQ212</f><v /></c><c r="AS212" s="303"><f>+(((AL212-AK212-AM212)/AM212)*100)</f><v /></c><c r="AT212" s="64"><f>IF(I212&gt;=1,"NO CONFORME",IF(BK212="SIGDIFERENTES",BC212,BL212))</f><v /></c><c r="AU212" s="21"><f>B212&lt;=C212</f><v /></c><c r="AV212" s="21"><f>N212&lt;Y212</f><v /></c><c r="AW212" s="21"><f>Z212&lt;=AK212</f><v /></c><c r="AX212" s="21"><f>IF(I212&gt;=1,"Qcorrecto",IF(AND(AY212="aceptable",AZ212="aceptable",BA212="aceptable"),"Qcorrecto","Qincorrecto"))</f><v /></c><c r="AY212" s="21"><f>IF(AR212&lt;$AH$6,"error",IF(AR212&gt;$AH$6*1.1,"error","aceptable"))</f><v /></c><c r="AZ212" s="21"><f>IF(AF212&lt;$V$6,"error",IF(AF212&gt;$V$6*1.1,"error","aceptable"))</f><v /></c><c r="BA212" s="21"><f>IF(T212&lt;$J$6*0.9,"error",IF(T212&gt;$J$6,"error","aceptable"))</f><v /></c><c r="BB212" s="65"><f>(IF(ABS(U212)&lt;1.05,"CONFORME",IF(ABS(AG212)&lt;1.05,"CONFORME",IF(ABS(AS212)&lt;2.55,"CONFORME","NO CONFORME"))))</f><v /></c><c r="BC212" s="62"><f>(IF(ABS(U212)&gt;2.05,"NO CONFORME",IF(ABS(AG212)&gt;2.05,"NO CONFORME",IF(ABS(AS212)&gt;5.05,"NO CONFORME","CONFORME"))))</f><v /></c><c r="BD212" s="64"><f>SIGN(U212)</f><v /></c><c r="BE212" s="64"><f>SIGN(AG212)</f><v /></c><c r="BF212" s="64"><f>SIGN(AS212)</f><v /></c><c r="BG212" s="64"><f>CONCATENATE(BD212,BE212,BF212)</f><v /></c><c r="BH212" s="64"><f>IF(BG212="111","SI","SD")</f><v /></c><c r="BI212" s="64"><f>IF(BG212="-1-1-1","SI","SD")</f><v /></c><c r="BJ212" s="64"><f>OR(BH212="SI",BI212="SI")</f><v /></c><c r="BK212" s="64"><f>IF(BJ212=FALSE,"SIGDIFERENTES","SIGIGUALES")</f><v /></c><c r="BL212" s="21"><f>IF(BC212="NO CONFORME","NO CONFORME",IF(BB212="CONFORME","CONFORME","NO CONFORME"))</f><v /></c><c r="BM212" s="66" t="n" /><c r="BN212" s="66" t="n" /></row><row r="213" ht="15" customHeight="1"><c r="A213" s="9" t="n"><v>205</v></c><c r="B213" s="296"><f>B212</f><v /></c><c r="C213" s="296"><f>C212</f><v /></c><c r="D213" s="11"><f>D212</f><v /></c><c r="E213" s="9"><f>E212</f><v /></c><c r="F213" s="12" t="n" /><c r="G213" s="297" t="n" /><c r="H213" s="90"><f>H212</f><v /></c><c r="I213" s="90" t="n" /><c r="J213" s="298"><f>J212</f><v /></c><c r="K213" s="298"><f>K212</f><v /></c><c r="L213" s="298"><f>L212</f><v /></c><c r="M213" s="52" t="n" /><c r="N213" s="52" t="n" /><c r="O213" s="30"><f>O212</f><v /></c><c r="P213" s="299"><f>P212</f><v /></c><c r="Q213" s="10"><f>LEFT(P213,1)</f><v /></c><c r="R213" s="10"><f>RIGHT(P213,6)</f><v /></c><c r="S213" s="10"><f>+(Q213*60+R213)/(60*60)</f><v /></c><c r="T213" s="13"><f>+O213/S213</f><v /></c><c r="U213" s="300"><f>+(((N213-M213-O213)/O213)*100)</f><v /></c><c r="V213" s="301"><f>V212</f><v /></c><c r="W213" s="302"><f>W212</f><v /></c><c r="X213" s="302"><f>X212</f><v /></c><c r="Y213" s="52" t="n" /><c r="Z213" s="52" t="n" /><c r="AA213" s="106"><f>AA212</f><v /></c><c r="AB213" s="299"><f>AB212</f><v /></c><c r="AC213" s="10"><f>LEFT(AB213,2)</f><v /></c><c r="AD213" s="10"><f>RIGHT(AB213,6)</f><v /></c><c r="AE213" s="10"><f>+(AC213*60+AD213)/(60*60)</f><v /></c><c r="AF213" s="13"><f>+AA213/AE213</f><v /></c><c r="AG213" s="303"><f>+(((Z213-Y213-AA213)/AA213)*100)</f><v /></c><c r="AH213" s="301"><f>AH212</f><v /></c><c r="AI213" s="301"><f>AI212</f><v /></c><c r="AJ213" s="301"><f>AJ212</f><v /></c><c r="AK213" s="52"><f>+Z213</f><v /></c><c r="AL213" s="52" t="n" /><c r="AM213" s="111"><f>AM212</f><v /></c><c r="AN213" s="299"><f>AN212</f><v /></c><c r="AO213" s="10"><f>LEFT(AN213,2)</f><v /></c><c r="AP213" s="10"><f>RIGHT(AN213,6)</f><v /></c><c r="AQ213" s="10"><f>+(AO213*60+AP213)/(60*60)</f><v /></c><c r="AR213" s="13"><f>+AM213/AQ213</f><v /></c><c r="AS213" s="303"><f>+(((AL213-AK213-AM213)/AM213)*100)</f><v /></c><c r="AT213" s="64"><f>IF(I213&gt;=1,"NO CONFORME",IF(BK213="SIGDIFERENTES",BC213,BL213))</f><v /></c><c r="AU213" s="21"><f>B213&lt;=C213</f><v /></c><c r="AV213" s="21"><f>N213&lt;Y213</f><v /></c><c r="AW213" s="21"><f>Z213&lt;=AK213</f><v /></c><c r="AX213" s="21"><f>IF(I213&gt;=1,"Qcorrecto",IF(AND(AY213="aceptable",AZ213="aceptable",BA213="aceptable"),"Qcorrecto","Qincorrecto"))</f><v /></c><c r="AY213" s="21"><f>IF(AR213&lt;$AH$6,"error",IF(AR213&gt;$AH$6*1.1,"error","aceptable"))</f><v /></c><c r="AZ213" s="21"><f>IF(AF213&lt;$V$6,"error",IF(AF213&gt;$V$6*1.1,"error","aceptable"))</f><v /></c><c r="BA213" s="21"><f>IF(T213&lt;$J$6*0.9,"error",IF(T213&gt;$J$6,"error","aceptable"))</f><v /></c><c r="BB213" s="65"><f>(IF(ABS(U213)&lt;1.05,"CONFORME",IF(ABS(AG213)&lt;1.05,"CONFORME",IF(ABS(AS213)&lt;2.55,"CONFORME","NO CONFORME"))))</f><v /></c><c r="BC213" s="62"><f>(IF(ABS(U213)&gt;2.05,"NO CONFORME",IF(ABS(AG213)&gt;2.05,"NO CONFORME",IF(ABS(AS213)&gt;5.05,"NO CONFORME","CONFORME"))))</f><v /></c><c r="BD213" s="64"><f>SIGN(U213)</f><v /></c><c r="BE213" s="64"><f>SIGN(AG213)</f><v /></c><c r="BF213" s="64"><f>SIGN(AS213)</f><v /></c><c r="BG213" s="64"><f>CONCATENATE(BD213,BE213,BF213)</f><v /></c><c r="BH213" s="64"><f>IF(BG213="111","SI","SD")</f><v /></c><c r="BI213" s="64"><f>IF(BG213="-1-1-1","SI","SD")</f><v /></c><c r="BJ213" s="64"><f>OR(BH213="SI",BI213="SI")</f><v /></c><c r="BK213" s="64"><f>IF(BJ213=FALSE,"SIGDIFERENTES","SIGIGUALES")</f><v /></c><c r="BL213" s="21"><f>IF(BC213="NO CONFORME","NO CONFORME",IF(BB213="CONFORME","CONFORME","NO CONFORME"))</f><v /></c><c r="BM213" s="66" t="n" /><c r="BN213" s="66" t="n" /></row><row r="214" ht="15.75" customHeight="1" thickBot="1"><c r="A214" s="9" t="n"><v>206</v></c><c r="B214" s="296"><f>B213</f><v /></c><c r="C214" s="296"><f>C213</f><v /></c><c r="D214" s="11"><f>D213</f><v /></c><c r="E214" s="9"><f>E213</f><v /></c><c r="F214" s="12" t="n" /><c r="G214" s="297" t="n" /><c r="H214" s="90"><f>H213</f><v /></c><c r="I214" s="90" t="n" /><c r="J214" s="298"><f>J213</f><v /></c><c r="K214" s="298"><f>K213</f><v /></c><c r="L214" s="298"><f>L213</f><v /></c><c r="M214" s="52" t="n" /><c r="N214" s="52" t="n" /><c r="O214" s="30"><f>O213</f><v /></c><c r="P214" s="299"><f>P213</f><v /></c><c r="Q214" s="10"><f>LEFT(P214,1)</f><v /></c><c r="R214" s="10"><f>RIGHT(P214,6)</f><v /></c><c r="S214" s="10"><f>+(Q214*60+R214)/(60*60)</f><v /></c><c r="T214" s="13"><f>+O214/S214</f><v /></c><c r="U214" s="300"><f>+(((N214-M214-O214)/O214)*100)</f><v /></c><c r="V214" s="301"><f>V213</f><v /></c><c r="W214" s="302"><f>W213</f><v /></c><c r="X214" s="302"><f>X213</f><v /></c><c r="Y214" s="52" t="n" /><c r="Z214" s="52" t="n" /><c r="AA214" s="106"><f>AA213</f><v /></c><c r="AB214" s="299"><f>AB213</f><v /></c><c r="AC214" s="10"><f>LEFT(AB214,2)</f><v /></c><c r="AD214" s="10"><f>RIGHT(AB214,6)</f><v /></c><c r="AE214" s="10"><f>+(AC214*60+AD214)/(60*60)</f><v /></c><c r="AF214" s="13"><f>+AA214/AE214</f><v /></c><c r="AG214" s="303"><f>+(((Z214-Y214-AA214)/AA214)*100)</f><v /></c><c r="AH214" s="301"><f>AH213</f><v /></c><c r="AI214" s="301"><f>AI213</f><v /></c><c r="AJ214" s="301"><f>AJ213</f><v /></c><c r="AK214" s="52"><f>+Z214</f><v /></c><c r="AL214" s="52" t="n" /><c r="AM214" s="111"><f>AM213</f><v /></c><c r="AN214" s="299"><f>AN213</f><v /></c><c r="AO214" s="10"><f>LEFT(AN214,2)</f><v /></c><c r="AP214" s="10"><f>RIGHT(AN214,6)</f><v /></c><c r="AQ214" s="10"><f>+(AO214*60+AP214)/(60*60)</f><v /></c><c r="AR214" s="13"><f>+AM214/AQ214</f><v /></c><c r="AS214" s="303"><f>+(((AL214-AK214-AM214)/AM214)*100)</f><v /></c><c r="AT214" s="64"><f>IF(I214&gt;=1,"NO CONFORME",IF(BK214="SIGDIFERENTES",BC214,BL214))</f><v /></c><c r="AU214" s="21"><f>B214&lt;=C214</f><v /></c><c r="AV214" s="21"><f>N214&lt;Y214</f><v /></c><c r="AW214" s="21"><f>Z214&lt;=AK214</f><v /></c><c r="AX214" s="21"><f>IF(I214&gt;=1,"Qcorrecto",IF(AND(AY214="aceptable",AZ214="aceptable",BA214="aceptable"),"Qcorrecto","Qincorrecto"))</f><v /></c><c r="AY214" s="21"><f>IF(AR214&lt;$AH$6,"error",IF(AR214&gt;$AH$6*1.1,"error","aceptable"))</f><v /></c><c r="AZ214" s="21"><f>IF(AF214&lt;$V$6,"error",IF(AF214&gt;$V$6*1.1,"error","aceptable"))</f><v /></c><c r="BA214" s="21"><f>IF(T214&lt;$J$6*0.9,"error",IF(T214&gt;$J$6,"error","aceptable"))</f><v /></c><c r="BB214" s="65"><f>(IF(ABS(U214)&lt;1.05,"CONFORME",IF(ABS(AG214)&lt;1.05,"CONFORME",IF(ABS(AS214)&lt;2.55,"CONFORME","NO CONFORME"))))</f><v /></c><c r="BC214" s="62"><f>(IF(ABS(U214)&gt;2.05,"NO CONFORME",IF(ABS(AG214)&gt;2.05,"NO CONFORME",IF(ABS(AS214)&gt;5.05,"NO CONFORME","CONFORME"))))</f><v /></c><c r="BD214" s="64"><f>SIGN(U214)</f><v /></c><c r="BE214" s="64"><f>SIGN(AG214)</f><v /></c><c r="BF214" s="64"><f>SIGN(AS214)</f><v /></c><c r="BG214" s="64"><f>CONCATENATE(BD214,BE214,BF214)</f><v /></c><c r="BH214" s="64"><f>IF(BG214="111","SI","SD")</f><v /></c><c r="BI214" s="64"><f>IF(BG214="-1-1-1","SI","SD")</f><v /></c><c r="BJ214" s="64"><f>OR(BH214="SI",BI214="SI")</f><v /></c><c r="BK214" s="64"><f>IF(BJ214=FALSE,"SIGDIFERENTES","SIGIGUALES")</f><v /></c><c r="BL214" s="21"><f>IF(BC214="NO CONFORME","NO CONFORME",IF(BB214="CONFORME","CONFORME","NO CONFORME"))</f><v /></c><c r="BM214" s="66" t="n" /><c r="BN214" s="66" t="n" /></row><row r="215" ht="15" customHeight="1"><c r="A215" s="55" t="n"><v>207</v></c><c r="B215" s="304"><f>B214</f><v /></c><c r="C215" s="304"><f>C214</f><v /></c><c r="D215" s="94"><f>D214</f><v /></c><c r="E215" s="95"><f>E214</f><v /></c><c r="F215" s="96" t="n" /><c r="G215" s="305" t="n" /><c r="H215" s="98"><f>H214</f><v /></c><c r="I215" s="98" t="n" /><c r="J215" s="306"><f>J214</f><v /></c><c r="K215" s="306"><f>K214</f><v /></c><c r="L215" s="306"><f>L214</f><v /></c><c r="M215" s="100" t="n" /><c r="N215" s="100" t="n" /><c r="O215" s="101"><f>O214</f><v /></c><c r="P215" s="307"><f>P214</f><v /></c><c r="Q215" s="10"><f>LEFT(P215,1)</f><v /></c><c r="R215" s="10"><f>RIGHT(P215,6)</f><v /></c><c r="S215" s="10"><f>+(Q215*60+R215)/(60*60)</f><v /></c><c r="T215" s="13"><f>+O215/S215</f><v /></c><c r="U215" s="300"><f>+(((N215-M215-O215)/O215)*100)</f><v /></c><c r="V215" s="308"><f>V214</f><v /></c><c r="W215" s="309"><f>W214</f><v /></c><c r="X215" s="309"><f>X214</f><v /></c><c r="Y215" s="100" t="n" /><c r="Z215" s="100" t="n" /><c r="AA215" s="109"><f>AA214</f><v /></c><c r="AB215" s="307"><f>AB214</f><v /></c><c r="AC215" s="10"><f>LEFT(AB215,2)</f><v /></c><c r="AD215" s="10"><f>RIGHT(AB215,6)</f><v /></c><c r="AE215" s="10"><f>+(AC215*60+AD215)/(60*60)</f><v /></c><c r="AF215" s="13"><f>+AA215/AE215</f><v /></c><c r="AG215" s="303"><f>+(((Z215-Y215-AA215)/AA215)*100)</f><v /></c><c r="AH215" s="308"><f>AH214</f><v /></c><c r="AI215" s="308"><f>AI214</f><v /></c><c r="AJ215" s="308"><f>AJ214</f><v /></c><c r="AK215" s="100"><f>+Z215</f><v /></c><c r="AL215" s="100" t="n" /><c r="AM215" s="112"><f>AM214</f><v /></c><c r="AN215" s="307"><f>AN214</f><v /></c><c r="AO215" s="10"><f>LEFT(AN215,2)</f><v /></c><c r="AP215" s="10"><f>RIGHT(AN215,6)</f><v /></c><c r="AQ215" s="10"><f>+(AO215*60+AP215)/(60*60)</f><v /></c><c r="AR215" s="13"><f>+AM215/AQ215</f><v /></c><c r="AS215" s="303"><f>+(((AL215-AK215-AM215)/AM215)*100)</f><v /></c><c r="AT215" s="64"><f>IF(I215&gt;=1,"NO CONFORME",IF(BK215="SIGDIFERENTES",BC215,BL215))</f><v /></c><c r="AU215" s="21"><f>B215&lt;=C215</f><v /></c><c r="AV215" s="21"><f>N215&lt;Y215</f><v /></c><c r="AW215" s="21"><f>Z215&lt;=AK215</f><v /></c><c r="AX215" s="21"><f>IF(I215&gt;=1,"Qcorrecto",IF(AND(AY215="aceptable",AZ215="aceptable",BA215="aceptable"),"Qcorrecto","Qincorrecto"))</f><v /></c><c r="AY215" s="21"><f>IF(AR215&lt;$AH$6,"error",IF(AR215&gt;$AH$6*1.1,"error","aceptable"))</f><v /></c><c r="AZ215" s="21"><f>IF(AF215&lt;$V$6,"error",IF(AF215&gt;$V$6*1.1,"error","aceptable"))</f><v /></c><c r="BA215" s="21"><f>IF(T215&lt;$J$6*0.9,"error",IF(T215&gt;$J$6,"error","aceptable"))</f><v /></c><c r="BB215" s="65"><f>(IF(ABS(U215)&lt;1.05,"CONFORME",IF(ABS(AG215)&lt;1.05,"CONFORME",IF(ABS(AS215)&lt;2.55,"CONFORME","NO CONFORME"))))</f><v /></c><c r="BC215" s="62"><f>(IF(ABS(U215)&gt;2.05,"NO CONFORME",IF(ABS(AG215)&gt;2.05,"NO CONFORME",IF(ABS(AS215)&gt;5.05,"NO CONFORME","CONFORME"))))</f><v /></c><c r="BD215" s="64"><f>SIGN(U215)</f><v /></c><c r="BE215" s="64"><f>SIGN(AG215)</f><v /></c><c r="BF215" s="64"><f>SIGN(AS215)</f><v /></c><c r="BG215" s="64"><f>CONCATENATE(BD215,BE215,BF215)</f><v /></c><c r="BH215" s="64"><f>IF(BG215="111","SI","SD")</f><v /></c><c r="BI215" s="64"><f>IF(BG215="-1-1-1","SI","SD")</f><v /></c><c r="BJ215" s="64"><f>OR(BH215="SI",BI215="SI")</f><v /></c><c r="BK215" s="64"><f>IF(BJ215=FALSE,"SIGDIFERENTES","SIGIGUALES")</f><v /></c><c r="BL215" s="21"><f>IF(BC215="NO CONFORME","NO CONFORME",IF(BB215="CONFORME","CONFORME","NO CONFORME"))</f><v /></c><c r="BM215" s="66" t="n" /><c r="BN215" s="66" t="n" /></row><row r="216" ht="15.75" customHeight="1" thickBot="1"><c r="A216" s="9" t="n"><v>208</v></c><c r="B216" s="296"><f>B215</f><v /></c><c r="C216" s="296"><f>C215</f><v /></c><c r="D216" s="11"><f>D215</f><v /></c><c r="E216" s="9"><f>E215</f><v /></c><c r="F216" s="12" t="n" /><c r="G216" s="297" t="n" /><c r="H216" s="90"><f>H215</f><v /></c><c r="I216" s="90" t="n" /><c r="J216" s="298"><f>J215</f><v /></c><c r="K216" s="298"><f>K215</f><v /></c><c r="L216" s="298"><f>L215</f><v /></c><c r="M216" s="52" t="n" /><c r="N216" s="52" t="n" /><c r="O216" s="30"><f>O215</f><v /></c><c r="P216" s="299"><f>P215</f><v /></c><c r="Q216" s="10"><f>LEFT(P216,1)</f><v /></c><c r="R216" s="10"><f>RIGHT(P216,6)</f><v /></c><c r="S216" s="10"><f>+(Q216*60+R216)/(60*60)</f><v /></c><c r="T216" s="13"><f>+O216/S216</f><v /></c><c r="U216" s="300"><f>+(((N216-M216-O216)/O216)*100)</f><v /></c><c r="V216" s="301"><f>V215</f><v /></c><c r="W216" s="302"><f>W215</f><v /></c><c r="X216" s="302"><f>X215</f><v /></c><c r="Y216" s="52" t="n" /><c r="Z216" s="52" t="n" /><c r="AA216" s="106"><f>AA215</f><v /></c><c r="AB216" s="299"><f>AB215</f><v /></c><c r="AC216" s="10"><f>LEFT(AB216,2)</f><v /></c><c r="AD216" s="10"><f>RIGHT(AB216,6)</f><v /></c><c r="AE216" s="10"><f>+(AC216*60+AD216)/(60*60)</f><v /></c><c r="AF216" s="13"><f>+AA216/AE216</f><v /></c><c r="AG216" s="303"><f>+(((Z216-Y216-AA216)/AA216)*100)</f><v /></c><c r="AH216" s="301"><f>AH215</f><v /></c><c r="AI216" s="301"><f>AI215</f><v /></c><c r="AJ216" s="301"><f>AJ215</f><v /></c><c r="AK216" s="52"><f>+Z216</f><v /></c><c r="AL216" s="52" t="n" /><c r="AM216" s="111"><f>AM215</f><v /></c><c r="AN216" s="299"><f>AN215</f><v /></c><c r="AO216" s="10"><f>LEFT(AN216,2)</f><v /></c><c r="AP216" s="10"><f>RIGHT(AN216,6)</f><v /></c><c r="AQ216" s="10"><f>+(AO216*60+AP216)/(60*60)</f><v /></c><c r="AR216" s="13"><f>+AM216/AQ216</f><v /></c><c r="AS216" s="303"><f>+(((AL216-AK216-AM216)/AM216)*100)</f><v /></c><c r="AT216" s="64"><f>IF(I216&gt;=1,"NO CONFORME",IF(BK216="SIGDIFERENTES",BC216,BL216))</f><v /></c><c r="AU216" s="21"><f>B216&lt;=C216</f><v /></c><c r="AV216" s="21"><f>N216&lt;Y216</f><v /></c><c r="AW216" s="21"><f>Z216&lt;=AK216</f><v /></c><c r="AX216" s="21"><f>IF(I216&gt;=1,"Qcorrecto",IF(AND(AY216="aceptable",AZ216="aceptable",BA216="aceptable"),"Qcorrecto","Qincorrecto"))</f><v /></c><c r="AY216" s="21"><f>IF(AR216&lt;$AH$6,"error",IF(AR216&gt;$AH$6*1.1,"error","aceptable"))</f><v /></c><c r="AZ216" s="21"><f>IF(AF216&lt;$V$6,"error",IF(AF216&gt;$V$6*1.1,"error","aceptable"))</f><v /></c><c r="BA216" s="21"><f>IF(T216&lt;$J$6*0.9,"error",IF(T216&gt;$J$6,"error","aceptable"))</f><v /></c><c r="BB216" s="65"><f>(IF(ABS(U216)&lt;1.05,"CONFORME",IF(ABS(AG216)&lt;1.05,"CONFORME",IF(ABS(AS216)&lt;2.55,"CONFORME","NO CONFORME"))))</f><v /></c><c r="BC216" s="62"><f>(IF(ABS(U216)&gt;2.05,"NO CONFORME",IF(ABS(AG216)&gt;2.05,"NO CONFORME",IF(ABS(AS216)&gt;5.05,"NO CONFORME","CONFORME"))))</f><v /></c><c r="BD216" s="64"><f>SIGN(U216)</f><v /></c><c r="BE216" s="64"><f>SIGN(AG216)</f><v /></c><c r="BF216" s="64"><f>SIGN(AS216)</f><v /></c><c r="BG216" s="64"><f>CONCATENATE(BD216,BE216,BF216)</f><v /></c><c r="BH216" s="64"><f>IF(BG216="111","SI","SD")</f><v /></c><c r="BI216" s="64"><f>IF(BG216="-1-1-1","SI","SD")</f><v /></c><c r="BJ216" s="64"><f>OR(BH216="SI",BI216="SI")</f><v /></c><c r="BK216" s="64"><f>IF(BJ216=FALSE,"SIGDIFERENTES","SIGIGUALES")</f><v /></c><c r="BL216" s="21"><f>IF(BC216="NO CONFORME","NO CONFORME",IF(BB216="CONFORME","CONFORME","NO CONFORME"))</f><v /></c><c r="BM216" s="66" t="n" /><c r="BN216" s="66" t="n" /></row><row r="217" ht="15" customHeight="1"><c r="A217" s="55" t="n"><v>209</v></c><c r="B217" s="304"><f>B216</f><v /></c><c r="C217" s="304"><f>C216</f><v /></c><c r="D217" s="94"><f>D216</f><v /></c><c r="E217" s="95"><f>E216</f><v /></c><c r="F217" s="96" t="n" /><c r="G217" s="305" t="n" /><c r="H217" s="98"><f>H216</f><v /></c><c r="I217" s="98" t="n" /><c r="J217" s="306"><f>J216</f><v /></c><c r="K217" s="306"><f>K216</f><v /></c><c r="L217" s="306"><f>L216</f><v /></c><c r="M217" s="100" t="n" /><c r="N217" s="100" t="n" /><c r="O217" s="101"><f>O216</f><v /></c><c r="P217" s="307"><f>P216</f><v /></c><c r="Q217" s="10"><f>LEFT(P217,1)</f><v /></c><c r="R217" s="10"><f>RIGHT(P217,6)</f><v /></c><c r="S217" s="10"><f>+(Q217*60+R217)/(60*60)</f><v /></c><c r="T217" s="13"><f>+O217/S217</f><v /></c><c r="U217" s="300"><f>+(((N217-M217-O217)/O217)*100)</f><v /></c><c r="V217" s="308"><f>V216</f><v /></c><c r="W217" s="309"><f>W216</f><v /></c><c r="X217" s="309"><f>X216</f><v /></c><c r="Y217" s="100" t="n" /><c r="Z217" s="100" t="n" /><c r="AA217" s="109"><f>AA216</f><v /></c><c r="AB217" s="307"><f>AB216</f><v /></c><c r="AC217" s="10"><f>LEFT(AB217,2)</f><v /></c><c r="AD217" s="10"><f>RIGHT(AB217,6)</f><v /></c><c r="AE217" s="10"><f>+(AC217*60+AD217)/(60*60)</f><v /></c><c r="AF217" s="13"><f>+AA217/AE217</f><v /></c><c r="AG217" s="303"><f>+(((Z217-Y217-AA217)/AA217)*100)</f><v /></c><c r="AH217" s="308"><f>AH216</f><v /></c><c r="AI217" s="308"><f>AI216</f><v /></c><c r="AJ217" s="308"><f>AJ216</f><v /></c><c r="AK217" s="100"><f>+Z217</f><v /></c><c r="AL217" s="100" t="n" /><c r="AM217" s="112"><f>AM216</f><v /></c><c r="AN217" s="307"><f>AN216</f><v /></c><c r="AO217" s="10"><f>LEFT(AN217,2)</f><v /></c><c r="AP217" s="10"><f>RIGHT(AN217,6)</f><v /></c><c r="AQ217" s="10"><f>+(AO217*60+AP217)/(60*60)</f><v /></c><c r="AR217" s="13"><f>+AM217/AQ217</f><v /></c><c r="AS217" s="303"><f>+(((AL217-AK217-AM217)/AM217)*100)</f><v /></c><c r="AT217" s="64"><f>IF(I217&gt;=1,"NO CONFORME",IF(BK217="SIGDIFERENTES",BC217,BL217))</f><v /></c><c r="AU217" s="21"><f>B217&lt;=C217</f><v /></c><c r="AV217" s="21"><f>N217&lt;Y217</f><v /></c><c r="AW217" s="21"><f>Z217&lt;=AK217</f><v /></c><c r="AX217" s="21"><f>IF(I217&gt;=1,"Qcorrecto",IF(AND(AY217="aceptable",AZ217="aceptable",BA217="aceptable"),"Qcorrecto","Qincorrecto"))</f><v /></c><c r="AY217" s="21"><f>IF(AR217&lt;$AH$6,"error",IF(AR217&gt;$AH$6*1.1,"error","aceptable"))</f><v /></c><c r="AZ217" s="21"><f>IF(AF217&lt;$V$6,"error",IF(AF217&gt;$V$6*1.1,"error","aceptable"))</f><v /></c><c r="BA217" s="21"><f>IF(T217&lt;$J$6*0.9,"error",IF(T217&gt;$J$6,"error","aceptable"))</f><v /></c><c r="BB217" s="65"><f>(IF(ABS(U217)&lt;1.05,"CONFORME",IF(ABS(AG217)&lt;1.05,"CONFORME",IF(ABS(AS217)&lt;2.55,"CONFORME","NO CONFORME"))))</f><v /></c><c r="BC217" s="62"><f>(IF(ABS(U217)&gt;2.05,"NO CONFORME",IF(ABS(AG217)&gt;2.05,"NO CONFORME",IF(ABS(AS217)&gt;5.05,"NO CONFORME","CONFORME"))))</f><v /></c><c r="BD217" s="64"><f>SIGN(U217)</f><v /></c><c r="BE217" s="64"><f>SIGN(AG217)</f><v /></c><c r="BF217" s="64"><f>SIGN(AS217)</f><v /></c><c r="BG217" s="64"><f>CONCATENATE(BD217,BE217,BF217)</f><v /></c><c r="BH217" s="64"><f>IF(BG217="111","SI","SD")</f><v /></c><c r="BI217" s="64"><f>IF(BG217="-1-1-1","SI","SD")</f><v /></c><c r="BJ217" s="64"><f>OR(BH217="SI",BI217="SI")</f><v /></c><c r="BK217" s="64"><f>IF(BJ217=FALSE,"SIGDIFERENTES","SIGIGUALES")</f><v /></c><c r="BL217" s="21"><f>IF(BC217="NO CONFORME","NO CONFORME",IF(BB217="CONFORME","CONFORME","NO CONFORME"))</f><v /></c><c r="BM217" s="66" t="n" /><c r="BN217" s="66" t="n" /></row><row r="218" ht="15" customHeight="1"><c r="A218" s="9" t="n"><v>210</v></c><c r="B218" s="296"><f>B217</f><v /></c><c r="C218" s="296"><f>C217</f><v /></c><c r="D218" s="11"><f>D217</f><v /></c><c r="E218" s="9"><f>E217</f><v /></c><c r="F218" s="12" t="n" /><c r="G218" s="297" t="n" /><c r="H218" s="90"><f>H217</f><v /></c><c r="I218" s="90" t="n" /><c r="J218" s="298"><f>J217</f><v /></c><c r="K218" s="298"><f>K217</f><v /></c><c r="L218" s="298"><f>L217</f><v /></c><c r="M218" s="52" t="n" /><c r="N218" s="52" t="n" /><c r="O218" s="30"><f>O217</f><v /></c><c r="P218" s="299"><f>P217</f><v /></c><c r="Q218" s="10"><f>LEFT(P218,1)</f><v /></c><c r="R218" s="10"><f>RIGHT(P218,6)</f><v /></c><c r="S218" s="10"><f>+(Q218*60+R218)/(60*60)</f><v /></c><c r="T218" s="13"><f>+O218/S218</f><v /></c><c r="U218" s="300"><f>+(((N218-M218-O218)/O218)*100)</f><v /></c><c r="V218" s="301"><f>V217</f><v /></c><c r="W218" s="302"><f>W217</f><v /></c><c r="X218" s="302"><f>X217</f><v /></c><c r="Y218" s="52" t="n" /><c r="Z218" s="52" t="n" /><c r="AA218" s="106"><f>AA217</f><v /></c><c r="AB218" s="299"><f>AB217</f><v /></c><c r="AC218" s="10"><f>LEFT(AB218,2)</f><v /></c><c r="AD218" s="10"><f>RIGHT(AB218,6)</f><v /></c><c r="AE218" s="10"><f>+(AC218*60+AD218)/(60*60)</f><v /></c><c r="AF218" s="13"><f>+AA218/AE218</f><v /></c><c r="AG218" s="303"><f>+(((Z218-Y218-AA218)/AA218)*100)</f><v /></c><c r="AH218" s="301"><f>AH217</f><v /></c><c r="AI218" s="301"><f>AI217</f><v /></c><c r="AJ218" s="301"><f>AJ217</f><v /></c><c r="AK218" s="52"><f>+Z218</f><v /></c><c r="AL218" s="52" t="n" /><c r="AM218" s="111"><f>AM217</f><v /></c><c r="AN218" s="299"><f>AN217</f><v /></c><c r="AO218" s="10"><f>LEFT(AN218,2)</f><v /></c><c r="AP218" s="10"><f>RIGHT(AN218,6)</f><v /></c><c r="AQ218" s="10"><f>+(AO218*60+AP218)/(60*60)</f><v /></c><c r="AR218" s="13"><f>+AM218/AQ218</f><v /></c><c r="AS218" s="303"><f>+(((AL218-AK218-AM218)/AM218)*100)</f><v /></c><c r="AT218" s="64"><f>IF(I218&gt;=1,"NO CONFORME",IF(BK218="SIGDIFERENTES",BC218,BL218))</f><v /></c><c r="AU218" s="21"><f>B218&lt;=C218</f><v /></c><c r="AV218" s="21"><f>N218&lt;Y218</f><v /></c><c r="AW218" s="21"><f>Z218&lt;=AK218</f><v /></c><c r="AX218" s="21"><f>IF(I218&gt;=1,"Qcorrecto",IF(AND(AY218="aceptable",AZ218="aceptable",BA218="aceptable"),"Qcorrecto","Qincorrecto"))</f><v /></c><c r="AY218" s="21"><f>IF(AR218&lt;$AH$6,"error",IF(AR218&gt;$AH$6*1.1,"error","aceptable"))</f><v /></c><c r="AZ218" s="21"><f>IF(AF218&lt;$V$6,"error",IF(AF218&gt;$V$6*1.1,"error","aceptable"))</f><v /></c><c r="BA218" s="21"><f>IF(T218&lt;$J$6*0.9,"error",IF(T218&gt;$J$6,"error","aceptable"))</f><v /></c><c r="BB218" s="65"><f>(IF(ABS(U218)&lt;1.05,"CONFORME",IF(ABS(AG218)&lt;1.05,"CONFORME",IF(ABS(AS218)&lt;2.55,"CONFORME","NO CONFORME"))))</f><v /></c><c r="BC218" s="62"><f>(IF(ABS(U218)&gt;2.05,"NO CONFORME",IF(ABS(AG218)&gt;2.05,"NO CONFORME",IF(ABS(AS218)&gt;5.05,"NO CONFORME","CONFORME"))))</f><v /></c><c r="BD218" s="64"><f>SIGN(U218)</f><v /></c><c r="BE218" s="64"><f>SIGN(AG218)</f><v /></c><c r="BF218" s="64"><f>SIGN(AS218)</f><v /></c><c r="BG218" s="64"><f>CONCATENATE(BD218,BE218,BF218)</f><v /></c><c r="BH218" s="64"><f>IF(BG218="111","SI","SD")</f><v /></c><c r="BI218" s="64"><f>IF(BG218="-1-1-1","SI","SD")</f><v /></c><c r="BJ218" s="64"><f>OR(BH218="SI",BI218="SI")</f><v /></c><c r="BK218" s="64"><f>IF(BJ218=FALSE,"SIGDIFERENTES","SIGIGUALES")</f><v /></c><c r="BL218" s="21"><f>IF(BC218="NO CONFORME","NO CONFORME",IF(BB218="CONFORME","CONFORME","NO CONFORME"))</f><v /></c><c r="BM218" s="66" t="n" /><c r="BN218" s="66" t="n" /></row><row r="219" ht="15.75" customHeight="1" thickBot="1"><c r="A219" s="9" t="n"><v>211</v></c><c r="B219" s="296"><f>B218</f><v /></c><c r="C219" s="296"><f>C218</f><v /></c><c r="D219" s="11"><f>D218</f><v /></c><c r="E219" s="9"><f>E218</f><v /></c><c r="F219" s="12" t="n" /><c r="G219" s="297" t="n" /><c r="H219" s="90"><f>H218</f><v /></c><c r="I219" s="90" t="n" /><c r="J219" s="298"><f>J218</f><v /></c><c r="K219" s="298"><f>K218</f><v /></c><c r="L219" s="298"><f>L218</f><v /></c><c r="M219" s="52" t="n" /><c r="N219" s="52" t="n" /><c r="O219" s="30"><f>O218</f><v /></c><c r="P219" s="299"><f>P218</f><v /></c><c r="Q219" s="10"><f>LEFT(P219,1)</f><v /></c><c r="R219" s="10"><f>RIGHT(P219,6)</f><v /></c><c r="S219" s="10"><f>+(Q219*60+R219)/(60*60)</f><v /></c><c r="T219" s="13"><f>+O219/S219</f><v /></c><c r="U219" s="300"><f>+(((N219-M219-O219)/O219)*100)</f><v /></c><c r="V219" s="301"><f>V218</f><v /></c><c r="W219" s="302"><f>W218</f><v /></c><c r="X219" s="302"><f>X218</f><v /></c><c r="Y219" s="52" t="n" /><c r="Z219" s="52" t="n" /><c r="AA219" s="106"><f>AA218</f><v /></c><c r="AB219" s="299"><f>AB218</f><v /></c><c r="AC219" s="10"><f>LEFT(AB219,2)</f><v /></c><c r="AD219" s="10"><f>RIGHT(AB219,6)</f><v /></c><c r="AE219" s="10"><f>+(AC219*60+AD219)/(60*60)</f><v /></c><c r="AF219" s="13"><f>+AA219/AE219</f><v /></c><c r="AG219" s="303"><f>+(((Z219-Y219-AA219)/AA219)*100)</f><v /></c><c r="AH219" s="301"><f>AH218</f><v /></c><c r="AI219" s="301"><f>AI218</f><v /></c><c r="AJ219" s="301"><f>AJ218</f><v /></c><c r="AK219" s="52"><f>+Z219</f><v /></c><c r="AL219" s="52" t="n" /><c r="AM219" s="111"><f>AM218</f><v /></c><c r="AN219" s="299"><f>AN218</f><v /></c><c r="AO219" s="10"><f>LEFT(AN219,2)</f><v /></c><c r="AP219" s="10"><f>RIGHT(AN219,6)</f><v /></c><c r="AQ219" s="10"><f>+(AO219*60+AP219)/(60*60)</f><v /></c><c r="AR219" s="13"><f>+AM219/AQ219</f><v /></c><c r="AS219" s="303"><f>+(((AL219-AK219-AM219)/AM219)*100)</f><v /></c><c r="AT219" s="64"><f>IF(I219&gt;=1,"NO CONFORME",IF(BK219="SIGDIFERENTES",BC219,BL219))</f><v /></c><c r="AU219" s="21"><f>B219&lt;=C219</f><v /></c><c r="AV219" s="21"><f>N219&lt;Y219</f><v /></c><c r="AW219" s="21"><f>Z219&lt;=AK219</f><v /></c><c r="AX219" s="21"><f>IF(I219&gt;=1,"Qcorrecto",IF(AND(AY219="aceptable",AZ219="aceptable",BA219="aceptable"),"Qcorrecto","Qincorrecto"))</f><v /></c><c r="AY219" s="21"><f>IF(AR219&lt;$AH$6,"error",IF(AR219&gt;$AH$6*1.1,"error","aceptable"))</f><v /></c><c r="AZ219" s="21"><f>IF(AF219&lt;$V$6,"error",IF(AF219&gt;$V$6*1.1,"error","aceptable"))</f><v /></c><c r="BA219" s="21"><f>IF(T219&lt;$J$6*0.9,"error",IF(T219&gt;$J$6,"error","aceptable"))</f><v /></c><c r="BB219" s="65"><f>(IF(ABS(U219)&lt;1.05,"CONFORME",IF(ABS(AG219)&lt;1.05,"CONFORME",IF(ABS(AS219)&lt;2.55,"CONFORME","NO CONFORME"))))</f><v /></c><c r="BC219" s="62"><f>(IF(ABS(U219)&gt;2.05,"NO CONFORME",IF(ABS(AG219)&gt;2.05,"NO CONFORME",IF(ABS(AS219)&gt;5.05,"NO CONFORME","CONFORME"))))</f><v /></c><c r="BD219" s="64"><f>SIGN(U219)</f><v /></c><c r="BE219" s="64"><f>SIGN(AG219)</f><v /></c><c r="BF219" s="64"><f>SIGN(AS219)</f><v /></c><c r="BG219" s="64"><f>CONCATENATE(BD219,BE219,BF219)</f><v /></c><c r="BH219" s="64"><f>IF(BG219="111","SI","SD")</f><v /></c><c r="BI219" s="64"><f>IF(BG219="-1-1-1","SI","SD")</f><v /></c><c r="BJ219" s="64"><f>OR(BH219="SI",BI219="SI")</f><v /></c><c r="BK219" s="64"><f>IF(BJ219=FALSE,"SIGDIFERENTES","SIGIGUALES")</f><v /></c><c r="BL219" s="21"><f>IF(BC219="NO CONFORME","NO CONFORME",IF(BB219="CONFORME","CONFORME","NO CONFORME"))</f><v /></c><c r="BM219" s="66" t="n" /><c r="BN219" s="66" t="n" /></row><row r="220" ht="15" customHeight="1"><c r="A220" s="55" t="n"><v>212</v></c><c r="B220" s="304"><f>B219</f><v /></c><c r="C220" s="304"><f>C219</f><v /></c><c r="D220" s="94"><f>D219</f><v /></c><c r="E220" s="95"><f>E219</f><v /></c><c r="F220" s="96" t="n" /><c r="G220" s="305" t="n" /><c r="H220" s="98"><f>H219</f><v /></c><c r="I220" s="98" t="n" /><c r="J220" s="306"><f>J219</f><v /></c><c r="K220" s="306"><f>K219</f><v /></c><c r="L220" s="306"><f>L219</f><v /></c><c r="M220" s="100" t="n" /><c r="N220" s="100" t="n" /><c r="O220" s="101"><f>O219</f><v /></c><c r="P220" s="307"><f>P219</f><v /></c><c r="Q220" s="10"><f>LEFT(P220,1)</f><v /></c><c r="R220" s="10"><f>RIGHT(P220,6)</f><v /></c><c r="S220" s="10"><f>+(Q220*60+R220)/(60*60)</f><v /></c><c r="T220" s="13"><f>+O220/S220</f><v /></c><c r="U220" s="300"><f>+(((N220-M220-O220)/O220)*100)</f><v /></c><c r="V220" s="308"><f>V219</f><v /></c><c r="W220" s="309"><f>W219</f><v /></c><c r="X220" s="309"><f>X219</f><v /></c><c r="Y220" s="100" t="n" /><c r="Z220" s="100" t="n" /><c r="AA220" s="109"><f>AA219</f><v /></c><c r="AB220" s="307"><f>AB219</f><v /></c><c r="AC220" s="10"><f>LEFT(AB220,2)</f><v /></c><c r="AD220" s="10"><f>RIGHT(AB220,6)</f><v /></c><c r="AE220" s="10"><f>+(AC220*60+AD220)/(60*60)</f><v /></c><c r="AF220" s="13"><f>+AA220/AE220</f><v /></c><c r="AG220" s="303"><f>+(((Z220-Y220-AA220)/AA220)*100)</f><v /></c><c r="AH220" s="308"><f>AH219</f><v /></c><c r="AI220" s="308"><f>AI219</f><v /></c><c r="AJ220" s="308"><f>AJ219</f><v /></c><c r="AK220" s="100"><f>+Z220</f><v /></c><c r="AL220" s="100" t="n" /><c r="AM220" s="112"><f>AM219</f><v /></c><c r="AN220" s="307"><f>AN219</f><v /></c><c r="AO220" s="10"><f>LEFT(AN220,2)</f><v /></c><c r="AP220" s="10"><f>RIGHT(AN220,6)</f><v /></c><c r="AQ220" s="10"><f>+(AO220*60+AP220)/(60*60)</f><v /></c><c r="AR220" s="13"><f>+AM220/AQ220</f><v /></c><c r="AS220" s="303"><f>+(((AL220-AK220-AM220)/AM220)*100)</f><v /></c><c r="AT220" s="64"><f>IF(I220&gt;=1,"NO CONFORME",IF(BK220="SIGDIFERENTES",BC220,BL220))</f><v /></c><c r="AU220" s="21"><f>B220&lt;=C220</f><v /></c><c r="AV220" s="21"><f>N220&lt;Y220</f><v /></c><c r="AW220" s="21"><f>Z220&lt;=AK220</f><v /></c><c r="AX220" s="21"><f>IF(I220&gt;=1,"Qcorrecto",IF(AND(AY220="aceptable",AZ220="aceptable",BA220="aceptable"),"Qcorrecto","Qincorrecto"))</f><v /></c><c r="AY220" s="21"><f>IF(AR220&lt;$AH$6,"error",IF(AR220&gt;$AH$6*1.1,"error","aceptable"))</f><v /></c><c r="AZ220" s="21"><f>IF(AF220&lt;$V$6,"error",IF(AF220&gt;$V$6*1.1,"error","aceptable"))</f><v /></c><c r="BA220" s="21"><f>IF(T220&lt;$J$6*0.9,"error",IF(T220&gt;$J$6,"error","aceptable"))</f><v /></c><c r="BB220" s="65"><f>(IF(ABS(U220)&lt;1.05,"CONFORME",IF(ABS(AG220)&lt;1.05,"CONFORME",IF(ABS(AS220)&lt;2.55,"CONFORME","NO CONFORME"))))</f><v /></c><c r="BC220" s="62"><f>(IF(ABS(U220)&gt;2.05,"NO CONFORME",IF(ABS(AG220)&gt;2.05,"NO CONFORME",IF(ABS(AS220)&gt;5.05,"NO CONFORME","CONFORME"))))</f><v /></c><c r="BD220" s="64"><f>SIGN(U220)</f><v /></c><c r="BE220" s="64"><f>SIGN(AG220)</f><v /></c><c r="BF220" s="64"><f>SIGN(AS220)</f><v /></c><c r="BG220" s="64"><f>CONCATENATE(BD220,BE220,BF220)</f><v /></c><c r="BH220" s="64"><f>IF(BG220="111","SI","SD")</f><v /></c><c r="BI220" s="64"><f>IF(BG220="-1-1-1","SI","SD")</f><v /></c><c r="BJ220" s="64"><f>OR(BH220="SI",BI220="SI")</f><v /></c><c r="BK220" s="64"><f>IF(BJ220=FALSE,"SIGDIFERENTES","SIGIGUALES")</f><v /></c><c r="BL220" s="21"><f>IF(BC220="NO CONFORME","NO CONFORME",IF(BB220="CONFORME","CONFORME","NO CONFORME"))</f><v /></c><c r="BM220" s="66" t="n" /><c r="BN220" s="66" t="n" /></row><row r="221" ht="15.75" customHeight="1" thickBot="1"><c r="A221" s="9" t="n"><v>213</v></c><c r="B221" s="296"><f>B220</f><v /></c><c r="C221" s="296"><f>C220</f><v /></c><c r="D221" s="11"><f>D220</f><v /></c><c r="E221" s="9"><f>E220</f><v /></c><c r="F221" s="12" t="n" /><c r="G221" s="297" t="n" /><c r="H221" s="90"><f>H220</f><v /></c><c r="I221" s="90" t="n" /><c r="J221" s="298"><f>J220</f><v /></c><c r="K221" s="298"><f>K220</f><v /></c><c r="L221" s="298"><f>L220</f><v /></c><c r="M221" s="52" t="n" /><c r="N221" s="52" t="n" /><c r="O221" s="30"><f>O220</f><v /></c><c r="P221" s="299"><f>P220</f><v /></c><c r="Q221" s="10"><f>LEFT(P221,1)</f><v /></c><c r="R221" s="10"><f>RIGHT(P221,6)</f><v /></c><c r="S221" s="10"><f>+(Q221*60+R221)/(60*60)</f><v /></c><c r="T221" s="13"><f>+O221/S221</f><v /></c><c r="U221" s="300"><f>+(((N221-M221-O221)/O221)*100)</f><v /></c><c r="V221" s="301"><f>V220</f><v /></c><c r="W221" s="302"><f>W220</f><v /></c><c r="X221" s="302"><f>X220</f><v /></c><c r="Y221" s="52" t="n" /><c r="Z221" s="52" t="n" /><c r="AA221" s="106"><f>AA220</f><v /></c><c r="AB221" s="299"><f>AB220</f><v /></c><c r="AC221" s="10"><f>LEFT(AB221,2)</f><v /></c><c r="AD221" s="10"><f>RIGHT(AB221,6)</f><v /></c><c r="AE221" s="10"><f>+(AC221*60+AD221)/(60*60)</f><v /></c><c r="AF221" s="13"><f>+AA221/AE221</f><v /></c><c r="AG221" s="303"><f>+(((Z221-Y221-AA221)/AA221)*100)</f><v /></c><c r="AH221" s="301"><f>AH220</f><v /></c><c r="AI221" s="301"><f>AI220</f><v /></c><c r="AJ221" s="301"><f>AJ220</f><v /></c><c r="AK221" s="52"><f>+Z221</f><v /></c><c r="AL221" s="52" t="n" /><c r="AM221" s="111"><f>AM220</f><v /></c><c r="AN221" s="299"><f>AN220</f><v /></c><c r="AO221" s="10"><f>LEFT(AN221,2)</f><v /></c><c r="AP221" s="10"><f>RIGHT(AN221,6)</f><v /></c><c r="AQ221" s="10"><f>+(AO221*60+AP221)/(60*60)</f><v /></c><c r="AR221" s="13"><f>+AM221/AQ221</f><v /></c><c r="AS221" s="303"><f>+(((AL221-AK221-AM221)/AM221)*100)</f><v /></c><c r="AT221" s="64"><f>IF(I221&gt;=1,"NO CONFORME",IF(BK221="SIGDIFERENTES",BC221,BL221))</f><v /></c><c r="AU221" s="21"><f>B221&lt;=C221</f><v /></c><c r="AV221" s="21"><f>N221&lt;Y221</f><v /></c><c r="AW221" s="21"><f>Z221&lt;=AK221</f><v /></c><c r="AX221" s="21"><f>IF(I221&gt;=1,"Qcorrecto",IF(AND(AY221="aceptable",AZ221="aceptable",BA221="aceptable"),"Qcorrecto","Qincorrecto"))</f><v /></c><c r="AY221" s="21"><f>IF(AR221&lt;$AH$6,"error",IF(AR221&gt;$AH$6*1.1,"error","aceptable"))</f><v /></c><c r="AZ221" s="21"><f>IF(AF221&lt;$V$6,"error",IF(AF221&gt;$V$6*1.1,"error","aceptable"))</f><v /></c><c r="BA221" s="21"><f>IF(T221&lt;$J$6*0.9,"error",IF(T221&gt;$J$6,"error","aceptable"))</f><v /></c><c r="BB221" s="65"><f>(IF(ABS(U221)&lt;1.05,"CONFORME",IF(ABS(AG221)&lt;1.05,"CONFORME",IF(ABS(AS221)&lt;2.55,"CONFORME","NO CONFORME"))))</f><v /></c><c r="BC221" s="62"><f>(IF(ABS(U221)&gt;2.05,"NO CONFORME",IF(ABS(AG221)&gt;2.05,"NO CONFORME",IF(ABS(AS221)&gt;5.05,"NO CONFORME","CONFORME"))))</f><v /></c><c r="BD221" s="64"><f>SIGN(U221)</f><v /></c><c r="BE221" s="64"><f>SIGN(AG221)</f><v /></c><c r="BF221" s="64"><f>SIGN(AS221)</f><v /></c><c r="BG221" s="64"><f>CONCATENATE(BD221,BE221,BF221)</f><v /></c><c r="BH221" s="64"><f>IF(BG221="111","SI","SD")</f><v /></c><c r="BI221" s="64"><f>IF(BG221="-1-1-1","SI","SD")</f><v /></c><c r="BJ221" s="64"><f>OR(BH221="SI",BI221="SI")</f><v /></c><c r="BK221" s="64"><f>IF(BJ221=FALSE,"SIGDIFERENTES","SIGIGUALES")</f><v /></c><c r="BL221" s="21"><f>IF(BC221="NO CONFORME","NO CONFORME",IF(BB221="CONFORME","CONFORME","NO CONFORME"))</f><v /></c><c r="BM221" s="66" t="n" /><c r="BN221" s="66" t="n" /></row><row r="222" ht="15" customHeight="1"><c r="A222" s="55" t="n"><v>214</v></c><c r="B222" s="304"><f>B221</f><v /></c><c r="C222" s="304"><f>C221</f><v /></c><c r="D222" s="94"><f>D221</f><v /></c><c r="E222" s="95"><f>E221</f><v /></c><c r="F222" s="96" t="n" /><c r="G222" s="305" t="n" /><c r="H222" s="98"><f>H221</f><v /></c><c r="I222" s="98" t="n" /><c r="J222" s="306"><f>J221</f><v /></c><c r="K222" s="306"><f>K221</f><v /></c><c r="L222" s="306"><f>L221</f><v /></c><c r="M222" s="100" t="n" /><c r="N222" s="100" t="n" /><c r="O222" s="101"><f>O221</f><v /></c><c r="P222" s="307"><f>P221</f><v /></c><c r="Q222" s="10"><f>LEFT(P222,1)</f><v /></c><c r="R222" s="10"><f>RIGHT(P222,6)</f><v /></c><c r="S222" s="10"><f>+(Q222*60+R222)/(60*60)</f><v /></c><c r="T222" s="13"><f>+O222/S222</f><v /></c><c r="U222" s="300"><f>+(((N222-M222-O222)/O222)*100)</f><v /></c><c r="V222" s="308"><f>V221</f><v /></c><c r="W222" s="309"><f>W221</f><v /></c><c r="X222" s="309"><f>X221</f><v /></c><c r="Y222" s="100" t="n" /><c r="Z222" s="100" t="n" /><c r="AA222" s="109"><f>AA221</f><v /></c><c r="AB222" s="307"><f>AB221</f><v /></c><c r="AC222" s="10"><f>LEFT(AB222,2)</f><v /></c><c r="AD222" s="10"><f>RIGHT(AB222,6)</f><v /></c><c r="AE222" s="10"><f>+(AC222*60+AD222)/(60*60)</f><v /></c><c r="AF222" s="13"><f>+AA222/AE222</f><v /></c><c r="AG222" s="303"><f>+(((Z222-Y222-AA222)/AA222)*100)</f><v /></c><c r="AH222" s="308"><f>AH221</f><v /></c><c r="AI222" s="308"><f>AI221</f><v /></c><c r="AJ222" s="308"><f>AJ221</f><v /></c><c r="AK222" s="100"><f>+Z222</f><v /></c><c r="AL222" s="100" t="n" /><c r="AM222" s="112"><f>AM221</f><v /></c><c r="AN222" s="307"><f>AN221</f><v /></c><c r="AO222" s="10"><f>LEFT(AN222,2)</f><v /></c><c r="AP222" s="10"><f>RIGHT(AN222,6)</f><v /></c><c r="AQ222" s="10"><f>+(AO222*60+AP222)/(60*60)</f><v /></c><c r="AR222" s="13"><f>+AM222/AQ222</f><v /></c><c r="AS222" s="303"><f>+(((AL222-AK222-AM222)/AM222)*100)</f><v /></c><c r="AT222" s="64"><f>IF(I222&gt;=1,"NO CONFORME",IF(BK222="SIGDIFERENTES",BC222,BL222))</f><v /></c><c r="AU222" s="21"><f>B222&lt;=C222</f><v /></c><c r="AV222" s="21"><f>N222&lt;Y222</f><v /></c><c r="AW222" s="21"><f>Z222&lt;=AK222</f><v /></c><c r="AX222" s="21"><f>IF(I222&gt;=1,"Qcorrecto",IF(AND(AY222="aceptable",AZ222="aceptable",BA222="aceptable"),"Qcorrecto","Qincorrecto"))</f><v /></c><c r="AY222" s="21"><f>IF(AR222&lt;$AH$6,"error",IF(AR222&gt;$AH$6*1.1,"error","aceptable"))</f><v /></c><c r="AZ222" s="21"><f>IF(AF222&lt;$V$6,"error",IF(AF222&gt;$V$6*1.1,"error","aceptable"))</f><v /></c><c r="BA222" s="21"><f>IF(T222&lt;$J$6*0.9,"error",IF(T222&gt;$J$6,"error","aceptable"))</f><v /></c><c r="BB222" s="65"><f>(IF(ABS(U222)&lt;1.05,"CONFORME",IF(ABS(AG222)&lt;1.05,"CONFORME",IF(ABS(AS222)&lt;2.55,"CONFORME","NO CONFORME"))))</f><v /></c><c r="BC222" s="62"><f>(IF(ABS(U222)&gt;2.05,"NO CONFORME",IF(ABS(AG222)&gt;2.05,"NO CONFORME",IF(ABS(AS222)&gt;5.05,"NO CONFORME","CONFORME"))))</f><v /></c><c r="BD222" s="64"><f>SIGN(U222)</f><v /></c><c r="BE222" s="64"><f>SIGN(AG222)</f><v /></c><c r="BF222" s="64"><f>SIGN(AS222)</f><v /></c><c r="BG222" s="64"><f>CONCATENATE(BD222,BE222,BF222)</f><v /></c><c r="BH222" s="64"><f>IF(BG222="111","SI","SD")</f><v /></c><c r="BI222" s="64"><f>IF(BG222="-1-1-1","SI","SD")</f><v /></c><c r="BJ222" s="64"><f>OR(BH222="SI",BI222="SI")</f><v /></c><c r="BK222" s="64"><f>IF(BJ222=FALSE,"SIGDIFERENTES","SIGIGUALES")</f><v /></c><c r="BL222" s="21"><f>IF(BC222="NO CONFORME","NO CONFORME",IF(BB222="CONFORME","CONFORME","NO CONFORME"))</f><v /></c><c r="BM222" s="66" t="n" /><c r="BN222" s="66" t="n" /></row><row r="223" ht="15" customHeight="1"><c r="A223" s="9" t="n"><v>215</v></c><c r="B223" s="296"><f>B222</f><v /></c><c r="C223" s="296"><f>C222</f><v /></c><c r="D223" s="11"><f>D222</f><v /></c><c r="E223" s="9"><f>E222</f><v /></c><c r="F223" s="12" t="n" /><c r="G223" s="297" t="n" /><c r="H223" s="90"><f>H222</f><v /></c><c r="I223" s="90" t="n" /><c r="J223" s="298"><f>J222</f><v /></c><c r="K223" s="298"><f>K222</f><v /></c><c r="L223" s="298"><f>L222</f><v /></c><c r="M223" s="52" t="n" /><c r="N223" s="52" t="n" /><c r="O223" s="30"><f>O222</f><v /></c><c r="P223" s="299"><f>P222</f><v /></c><c r="Q223" s="10"><f>LEFT(P223,1)</f><v /></c><c r="R223" s="10"><f>RIGHT(P223,6)</f><v /></c><c r="S223" s="10"><f>+(Q223*60+R223)/(60*60)</f><v /></c><c r="T223" s="13"><f>+O223/S223</f><v /></c><c r="U223" s="300"><f>+(((N223-M223-O223)/O223)*100)</f><v /></c><c r="V223" s="301"><f>V222</f><v /></c><c r="W223" s="302"><f>W222</f><v /></c><c r="X223" s="302"><f>X222</f><v /></c><c r="Y223" s="52" t="n" /><c r="Z223" s="52" t="n" /><c r="AA223" s="106"><f>AA222</f><v /></c><c r="AB223" s="299"><f>AB222</f><v /></c><c r="AC223" s="10"><f>LEFT(AB223,2)</f><v /></c><c r="AD223" s="10"><f>RIGHT(AB223,6)</f><v /></c><c r="AE223" s="10"><f>+(AC223*60+AD223)/(60*60)</f><v /></c><c r="AF223" s="13"><f>+AA223/AE223</f><v /></c><c r="AG223" s="303"><f>+(((Z223-Y223-AA223)/AA223)*100)</f><v /></c><c r="AH223" s="301"><f>AH222</f><v /></c><c r="AI223" s="301"><f>AI222</f><v /></c><c r="AJ223" s="301"><f>AJ222</f><v /></c><c r="AK223" s="52"><f>+Z223</f><v /></c><c r="AL223" s="52" t="n" /><c r="AM223" s="111"><f>AM222</f><v /></c><c r="AN223" s="299"><f>AN222</f><v /></c><c r="AO223" s="10"><f>LEFT(AN223,2)</f><v /></c><c r="AP223" s="10"><f>RIGHT(AN223,6)</f><v /></c><c r="AQ223" s="10"><f>+(AO223*60+AP223)/(60*60)</f><v /></c><c r="AR223" s="13"><f>+AM223/AQ223</f><v /></c><c r="AS223" s="303"><f>+(((AL223-AK223-AM223)/AM223)*100)</f><v /></c><c r="AT223" s="64"><f>IF(I223&gt;=1,"NO CONFORME",IF(BK223="SIGDIFERENTES",BC223,BL223))</f><v /></c><c r="AU223" s="21"><f>B223&lt;=C223</f><v /></c><c r="AV223" s="21"><f>N223&lt;Y223</f><v /></c><c r="AW223" s="21"><f>Z223&lt;=AK223</f><v /></c><c r="AX223" s="21"><f>IF(I223&gt;=1,"Qcorrecto",IF(AND(AY223="aceptable",AZ223="aceptable",BA223="aceptable"),"Qcorrecto","Qincorrecto"))</f><v /></c><c r="AY223" s="21"><f>IF(AR223&lt;$AH$6,"error",IF(AR223&gt;$AH$6*1.1,"error","aceptable"))</f><v /></c><c r="AZ223" s="21"><f>IF(AF223&lt;$V$6,"error",IF(AF223&gt;$V$6*1.1,"error","aceptable"))</f><v /></c><c r="BA223" s="21"><f>IF(T223&lt;$J$6*0.9,"error",IF(T223&gt;$J$6,"error","aceptable"))</f><v /></c><c r="BB223" s="65"><f>(IF(ABS(U223)&lt;1.05,"CONFORME",IF(ABS(AG223)&lt;1.05,"CONFORME",IF(ABS(AS223)&lt;2.55,"CONFORME","NO CONFORME"))))</f><v /></c><c r="BC223" s="62"><f>(IF(ABS(U223)&gt;2.05,"NO CONFORME",IF(ABS(AG223)&gt;2.05,"NO CONFORME",IF(ABS(AS223)&gt;5.05,"NO CONFORME","CONFORME"))))</f><v /></c><c r="BD223" s="64"><f>SIGN(U223)</f><v /></c><c r="BE223" s="64"><f>SIGN(AG223)</f><v /></c><c r="BF223" s="64"><f>SIGN(AS223)</f><v /></c><c r="BG223" s="64"><f>CONCATENATE(BD223,BE223,BF223)</f><v /></c><c r="BH223" s="64"><f>IF(BG223="111","SI","SD")</f><v /></c><c r="BI223" s="64"><f>IF(BG223="-1-1-1","SI","SD")</f><v /></c><c r="BJ223" s="64"><f>OR(BH223="SI",BI223="SI")</f><v /></c><c r="BK223" s="64"><f>IF(BJ223=FALSE,"SIGDIFERENTES","SIGIGUALES")</f><v /></c><c r="BL223" s="21"><f>IF(BC223="NO CONFORME","NO CONFORME",IF(BB223="CONFORME","CONFORME","NO CONFORME"))</f><v /></c><c r="BM223" s="66" t="n" /><c r="BN223" s="66" t="n" /></row><row r="224" ht="15.75" customHeight="1" thickBot="1"><c r="A224" s="9" t="n"><v>216</v></c><c r="B224" s="296"><f>B223</f><v /></c><c r="C224" s="296"><f>C223</f><v /></c><c r="D224" s="11"><f>D223</f><v /></c><c r="E224" s="9"><f>E223</f><v /></c><c r="F224" s="12" t="n" /><c r="G224" s="297" t="n" /><c r="H224" s="90"><f>H223</f><v /></c><c r="I224" s="90" t="n" /><c r="J224" s="298"><f>J223</f><v /></c><c r="K224" s="298"><f>K223</f><v /></c><c r="L224" s="298"><f>L223</f><v /></c><c r="M224" s="52" t="n" /><c r="N224" s="52" t="n" /><c r="O224" s="30"><f>O223</f><v /></c><c r="P224" s="299"><f>P223</f><v /></c><c r="Q224" s="10"><f>LEFT(P224,1)</f><v /></c><c r="R224" s="10"><f>RIGHT(P224,6)</f><v /></c><c r="S224" s="10"><f>+(Q224*60+R224)/(60*60)</f><v /></c><c r="T224" s="13"><f>+O224/S224</f><v /></c><c r="U224" s="300"><f>+(((N224-M224-O224)/O224)*100)</f><v /></c><c r="V224" s="301"><f>V223</f><v /></c><c r="W224" s="302"><f>W223</f><v /></c><c r="X224" s="302"><f>X223</f><v /></c><c r="Y224" s="52" t="n" /><c r="Z224" s="52" t="n" /><c r="AA224" s="106"><f>AA223</f><v /></c><c r="AB224" s="299"><f>AB223</f><v /></c><c r="AC224" s="10"><f>LEFT(AB224,2)</f><v /></c><c r="AD224" s="10"><f>RIGHT(AB224,6)</f><v /></c><c r="AE224" s="10"><f>+(AC224*60+AD224)/(60*60)</f><v /></c><c r="AF224" s="13"><f>+AA224/AE224</f><v /></c><c r="AG224" s="303"><f>+(((Z224-Y224-AA224)/AA224)*100)</f><v /></c><c r="AH224" s="301"><f>AH223</f><v /></c><c r="AI224" s="301"><f>AI223</f><v /></c><c r="AJ224" s="301"><f>AJ223</f><v /></c><c r="AK224" s="52"><f>+Z224</f><v /></c><c r="AL224" s="52" t="n" /><c r="AM224" s="111"><f>AM223</f><v /></c><c r="AN224" s="299"><f>AN223</f><v /></c><c r="AO224" s="10"><f>LEFT(AN224,2)</f><v /></c><c r="AP224" s="10"><f>RIGHT(AN224,6)</f><v /></c><c r="AQ224" s="10"><f>+(AO224*60+AP224)/(60*60)</f><v /></c><c r="AR224" s="13"><f>+AM224/AQ224</f><v /></c><c r="AS224" s="303"><f>+(((AL224-AK224-AM224)/AM224)*100)</f><v /></c><c r="AT224" s="64"><f>IF(I224&gt;=1,"NO CONFORME",IF(BK224="SIGDIFERENTES",BC224,BL224))</f><v /></c><c r="AU224" s="21"><f>B224&lt;=C224</f><v /></c><c r="AV224" s="21"><f>N224&lt;Y224</f><v /></c><c r="AW224" s="21"><f>Z224&lt;=AK224</f><v /></c><c r="AX224" s="21"><f>IF(I224&gt;=1,"Qcorrecto",IF(AND(AY224="aceptable",AZ224="aceptable",BA224="aceptable"),"Qcorrecto","Qincorrecto"))</f><v /></c><c r="AY224" s="21"><f>IF(AR224&lt;$AH$6,"error",IF(AR224&gt;$AH$6*1.1,"error","aceptable"))</f><v /></c><c r="AZ224" s="21"><f>IF(AF224&lt;$V$6,"error",IF(AF224&gt;$V$6*1.1,"error","aceptable"))</f><v /></c><c r="BA224" s="21"><f>IF(T224&lt;$J$6*0.9,"error",IF(T224&gt;$J$6,"error","aceptable"))</f><v /></c><c r="BB224" s="65"><f>(IF(ABS(U224)&lt;1.05,"CONFORME",IF(ABS(AG224)&lt;1.05,"CONFORME",IF(ABS(AS224)&lt;2.55,"CONFORME","NO CONFORME"))))</f><v /></c><c r="BC224" s="62"><f>(IF(ABS(U224)&gt;2.05,"NO CONFORME",IF(ABS(AG224)&gt;2.05,"NO CONFORME",IF(ABS(AS224)&gt;5.05,"NO CONFORME","CONFORME"))))</f><v /></c><c r="BD224" s="64"><f>SIGN(U224)</f><v /></c><c r="BE224" s="64"><f>SIGN(AG224)</f><v /></c><c r="BF224" s="64"><f>SIGN(AS224)</f><v /></c><c r="BG224" s="64"><f>CONCATENATE(BD224,BE224,BF224)</f><v /></c><c r="BH224" s="64"><f>IF(BG224="111","SI","SD")</f><v /></c><c r="BI224" s="64"><f>IF(BG224="-1-1-1","SI","SD")</f><v /></c><c r="BJ224" s="64"><f>OR(BH224="SI",BI224="SI")</f><v /></c><c r="BK224" s="64"><f>IF(BJ224=FALSE,"SIGDIFERENTES","SIGIGUALES")</f><v /></c><c r="BL224" s="21"><f>IF(BC224="NO CONFORME","NO CONFORME",IF(BB224="CONFORME","CONFORME","NO CONFORME"))</f><v /></c><c r="BM224" s="66" t="n" /><c r="BN224" s="66" t="n" /></row><row r="225" ht="15" customHeight="1"><c r="A225" s="55" t="n"><v>217</v></c><c r="B225" s="304"><f>B224</f><v /></c><c r="C225" s="304"><f>C224</f><v /></c><c r="D225" s="94"><f>D224</f><v /></c><c r="E225" s="95"><f>E224</f><v /></c><c r="F225" s="96" t="n" /><c r="G225" s="305" t="n" /><c r="H225" s="98"><f>H224</f><v /></c><c r="I225" s="98" t="n" /><c r="J225" s="306"><f>J224</f><v /></c><c r="K225" s="306"><f>K224</f><v /></c><c r="L225" s="306"><f>L224</f><v /></c><c r="M225" s="100" t="n" /><c r="N225" s="100" t="n" /><c r="O225" s="101"><f>O224</f><v /></c><c r="P225" s="307"><f>P224</f><v /></c><c r="Q225" s="10"><f>LEFT(P225,1)</f><v /></c><c r="R225" s="10"><f>RIGHT(P225,6)</f><v /></c><c r="S225" s="10"><f>+(Q225*60+R225)/(60*60)</f><v /></c><c r="T225" s="13"><f>+O225/S225</f><v /></c><c r="U225" s="300"><f>+(((N225-M225-O225)/O225)*100)</f><v /></c><c r="V225" s="308"><f>V224</f><v /></c><c r="W225" s="309"><f>W224</f><v /></c><c r="X225" s="309"><f>X224</f><v /></c><c r="Y225" s="100" t="n" /><c r="Z225" s="100" t="n" /><c r="AA225" s="109"><f>AA224</f><v /></c><c r="AB225" s="307"><f>AB224</f><v /></c><c r="AC225" s="10"><f>LEFT(AB225,2)</f><v /></c><c r="AD225" s="10"><f>RIGHT(AB225,6)</f><v /></c><c r="AE225" s="10"><f>+(AC225*60+AD225)/(60*60)</f><v /></c><c r="AF225" s="13"><f>+AA225/AE225</f><v /></c><c r="AG225" s="303"><f>+(((Z225-Y225-AA225)/AA225)*100)</f><v /></c><c r="AH225" s="308"><f>AH224</f><v /></c><c r="AI225" s="308"><f>AI224</f><v /></c><c r="AJ225" s="308"><f>AJ224</f><v /></c><c r="AK225" s="100"><f>+Z225</f><v /></c><c r="AL225" s="100" t="n" /><c r="AM225" s="112"><f>AM224</f><v /></c><c r="AN225" s="307"><f>AN224</f><v /></c><c r="AO225" s="10"><f>LEFT(AN225,2)</f><v /></c><c r="AP225" s="10"><f>RIGHT(AN225,6)</f><v /></c><c r="AQ225" s="10"><f>+(AO225*60+AP225)/(60*60)</f><v /></c><c r="AR225" s="13"><f>+AM225/AQ225</f><v /></c><c r="AS225" s="303"><f>+(((AL225-AK225-AM225)/AM225)*100)</f><v /></c><c r="AT225" s="64"><f>IF(I225&gt;=1,"NO CONFORME",IF(BK225="SIGDIFERENTES",BC225,BL225))</f><v /></c><c r="AU225" s="21"><f>B225&lt;=C225</f><v /></c><c r="AV225" s="21"><f>N225&lt;Y225</f><v /></c><c r="AW225" s="21"><f>Z225&lt;=AK225</f><v /></c><c r="AX225" s="21"><f>IF(I225&gt;=1,"Qcorrecto",IF(AND(AY225="aceptable",AZ225="aceptable",BA225="aceptable"),"Qcorrecto","Qincorrecto"))</f><v /></c><c r="AY225" s="21"><f>IF(AR225&lt;$AH$6,"error",IF(AR225&gt;$AH$6*1.1,"error","aceptable"))</f><v /></c><c r="AZ225" s="21"><f>IF(AF225&lt;$V$6,"error",IF(AF225&gt;$V$6*1.1,"error","aceptable"))</f><v /></c><c r="BA225" s="21"><f>IF(T225&lt;$J$6*0.9,"error",IF(T225&gt;$J$6,"error","aceptable"))</f><v /></c><c r="BB225" s="65"><f>(IF(ABS(U225)&lt;1.05,"CONFORME",IF(ABS(AG225)&lt;1.05,"CONFORME",IF(ABS(AS225)&lt;2.55,"CONFORME","NO CONFORME"))))</f><v /></c><c r="BC225" s="62"><f>(IF(ABS(U225)&gt;2.05,"NO CONFORME",IF(ABS(AG225)&gt;2.05,"NO CONFORME",IF(ABS(AS225)&gt;5.05,"NO CONFORME","CONFORME"))))</f><v /></c><c r="BD225" s="64"><f>SIGN(U225)</f><v /></c><c r="BE225" s="64"><f>SIGN(AG225)</f><v /></c><c r="BF225" s="64"><f>SIGN(AS225)</f><v /></c><c r="BG225" s="64"><f>CONCATENATE(BD225,BE225,BF225)</f><v /></c><c r="BH225" s="64"><f>IF(BG225="111","SI","SD")</f><v /></c><c r="BI225" s="64"><f>IF(BG225="-1-1-1","SI","SD")</f><v /></c><c r="BJ225" s="64"><f>OR(BH225="SI",BI225="SI")</f><v /></c><c r="BK225" s="64"><f>IF(BJ225=FALSE,"SIGDIFERENTES","SIGIGUALES")</f><v /></c><c r="BL225" s="21"><f>IF(BC225="NO CONFORME","NO CONFORME",IF(BB225="CONFORME","CONFORME","NO CONFORME"))</f><v /></c><c r="BM225" s="66" t="n" /><c r="BN225" s="66" t="n" /></row><row r="226" ht="15.75" customHeight="1" thickBot="1"><c r="A226" s="9" t="n"><v>218</v></c><c r="B226" s="296"><f>B225</f><v /></c><c r="C226" s="296"><f>C225</f><v /></c><c r="D226" s="11"><f>D225</f><v /></c><c r="E226" s="9"><f>E225</f><v /></c><c r="F226" s="12" t="n" /><c r="G226" s="297" t="n" /><c r="H226" s="90"><f>H225</f><v /></c><c r="I226" s="90" t="n" /><c r="J226" s="298"><f>J225</f><v /></c><c r="K226" s="298"><f>K225</f><v /></c><c r="L226" s="298"><f>L225</f><v /></c><c r="M226" s="52" t="n" /><c r="N226" s="52" t="n" /><c r="O226" s="30"><f>O225</f><v /></c><c r="P226" s="299"><f>P225</f><v /></c><c r="Q226" s="10"><f>LEFT(P226,1)</f><v /></c><c r="R226" s="10"><f>RIGHT(P226,6)</f><v /></c><c r="S226" s="10"><f>+(Q226*60+R226)/(60*60)</f><v /></c><c r="T226" s="13"><f>+O226/S226</f><v /></c><c r="U226" s="300"><f>+(((N226-M226-O226)/O226)*100)</f><v /></c><c r="V226" s="301"><f>V225</f><v /></c><c r="W226" s="302"><f>W225</f><v /></c><c r="X226" s="302"><f>X225</f><v /></c><c r="Y226" s="52" t="n" /><c r="Z226" s="52" t="n" /><c r="AA226" s="106"><f>AA225</f><v /></c><c r="AB226" s="299"><f>AB225</f><v /></c><c r="AC226" s="10"><f>LEFT(AB226,2)</f><v /></c><c r="AD226" s="10"><f>RIGHT(AB226,6)</f><v /></c><c r="AE226" s="10"><f>+(AC226*60+AD226)/(60*60)</f><v /></c><c r="AF226" s="13"><f>+AA226/AE226</f><v /></c><c r="AG226" s="303"><f>+(((Z226-Y226-AA226)/AA226)*100)</f><v /></c><c r="AH226" s="301"><f>AH225</f><v /></c><c r="AI226" s="301"><f>AI225</f><v /></c><c r="AJ226" s="301"><f>AJ225</f><v /></c><c r="AK226" s="52"><f>+Z226</f><v /></c><c r="AL226" s="52" t="n" /><c r="AM226" s="111"><f>AM225</f><v /></c><c r="AN226" s="299"><f>AN225</f><v /></c><c r="AO226" s="10"><f>LEFT(AN226,2)</f><v /></c><c r="AP226" s="10"><f>RIGHT(AN226,6)</f><v /></c><c r="AQ226" s="10"><f>+(AO226*60+AP226)/(60*60)</f><v /></c><c r="AR226" s="13"><f>+AM226/AQ226</f><v /></c><c r="AS226" s="303"><f>+(((AL226-AK226-AM226)/AM226)*100)</f><v /></c><c r="AT226" s="64"><f>IF(I226&gt;=1,"NO CONFORME",IF(BK226="SIGDIFERENTES",BC226,BL226))</f><v /></c><c r="AU226" s="21"><f>B226&lt;=C226</f><v /></c><c r="AV226" s="21"><f>N226&lt;Y226</f><v /></c><c r="AW226" s="21"><f>Z226&lt;=AK226</f><v /></c><c r="AX226" s="21"><f>IF(I226&gt;=1,"Qcorrecto",IF(AND(AY226="aceptable",AZ226="aceptable",BA226="aceptable"),"Qcorrecto","Qincorrecto"))</f><v /></c><c r="AY226" s="21"><f>IF(AR226&lt;$AH$6,"error",IF(AR226&gt;$AH$6*1.1,"error","aceptable"))</f><v /></c><c r="AZ226" s="21"><f>IF(AF226&lt;$V$6,"error",IF(AF226&gt;$V$6*1.1,"error","aceptable"))</f><v /></c><c r="BA226" s="21"><f>IF(T226&lt;$J$6*0.9,"error",IF(T226&gt;$J$6,"error","aceptable"))</f><v /></c><c r="BB226" s="65"><f>(IF(ABS(U226)&lt;1.05,"CONFORME",IF(ABS(AG226)&lt;1.05,"CONFORME",IF(ABS(AS226)&lt;2.55,"CONFORME","NO CONFORME"))))</f><v /></c><c r="BC226" s="62"><f>(IF(ABS(U226)&gt;2.05,"NO CONFORME",IF(ABS(AG226)&gt;2.05,"NO CONFORME",IF(ABS(AS226)&gt;5.05,"NO CONFORME","CONFORME"))))</f><v /></c><c r="BD226" s="64"><f>SIGN(U226)</f><v /></c><c r="BE226" s="64"><f>SIGN(AG226)</f><v /></c><c r="BF226" s="64"><f>SIGN(AS226)</f><v /></c><c r="BG226" s="64"><f>CONCATENATE(BD226,BE226,BF226)</f><v /></c><c r="BH226" s="64"><f>IF(BG226="111","SI","SD")</f><v /></c><c r="BI226" s="64"><f>IF(BG226="-1-1-1","SI","SD")</f><v /></c><c r="BJ226" s="64"><f>OR(BH226="SI",BI226="SI")</f><v /></c><c r="BK226" s="64"><f>IF(BJ226=FALSE,"SIGDIFERENTES","SIGIGUALES")</f><v /></c><c r="BL226" s="21"><f>IF(BC226="NO CONFORME","NO CONFORME",IF(BB226="CONFORME","CONFORME","NO CONFORME"))</f><v /></c><c r="BM226" s="66" t="n" /><c r="BN226" s="66" t="n" /></row><row r="227" ht="15" customHeight="1"><c r="A227" s="55" t="n"><v>219</v></c><c r="B227" s="304"><f>B226</f><v /></c><c r="C227" s="304"><f>C226</f><v /></c><c r="D227" s="94"><f>D226</f><v /></c><c r="E227" s="95"><f>E226</f><v /></c><c r="F227" s="96" t="n" /><c r="G227" s="305" t="n" /><c r="H227" s="98"><f>H226</f><v /></c><c r="I227" s="98" t="n" /><c r="J227" s="306"><f>J226</f><v /></c><c r="K227" s="306"><f>K226</f><v /></c><c r="L227" s="306"><f>L226</f><v /></c><c r="M227" s="100" t="n" /><c r="N227" s="100" t="n" /><c r="O227" s="101"><f>O226</f><v /></c><c r="P227" s="307"><f>P226</f><v /></c><c r="Q227" s="10"><f>LEFT(P227,1)</f><v /></c><c r="R227" s="10"><f>RIGHT(P227,6)</f><v /></c><c r="S227" s="10"><f>+(Q227*60+R227)/(60*60)</f><v /></c><c r="T227" s="13"><f>+O227/S227</f><v /></c><c r="U227" s="300"><f>+(((N227-M227-O227)/O227)*100)</f><v /></c><c r="V227" s="308"><f>V226</f><v /></c><c r="W227" s="309"><f>W226</f><v /></c><c r="X227" s="309"><f>X226</f><v /></c><c r="Y227" s="100" t="n" /><c r="Z227" s="100" t="n" /><c r="AA227" s="109"><f>AA226</f><v /></c><c r="AB227" s="307"><f>AB226</f><v /></c><c r="AC227" s="10"><f>LEFT(AB227,2)</f><v /></c><c r="AD227" s="10"><f>RIGHT(AB227,6)</f><v /></c><c r="AE227" s="10"><f>+(AC227*60+AD227)/(60*60)</f><v /></c><c r="AF227" s="13"><f>+AA227/AE227</f><v /></c><c r="AG227" s="303"><f>+(((Z227-Y227-AA227)/AA227)*100)</f><v /></c><c r="AH227" s="308"><f>AH226</f><v /></c><c r="AI227" s="308"><f>AI226</f><v /></c><c r="AJ227" s="308"><f>AJ226</f><v /></c><c r="AK227" s="100"><f>+Z227</f><v /></c><c r="AL227" s="100" t="n" /><c r="AM227" s="112"><f>AM226</f><v /></c><c r="AN227" s="307"><f>AN226</f><v /></c><c r="AO227" s="10"><f>LEFT(AN227,2)</f><v /></c><c r="AP227" s="10"><f>RIGHT(AN227,6)</f><v /></c><c r="AQ227" s="10"><f>+(AO227*60+AP227)/(60*60)</f><v /></c><c r="AR227" s="13"><f>+AM227/AQ227</f><v /></c><c r="AS227" s="303"><f>+(((AL227-AK227-AM227)/AM227)*100)</f><v /></c><c r="AT227" s="64"><f>IF(I227&gt;=1,"NO CONFORME",IF(BK227="SIGDIFERENTES",BC227,BL227))</f><v /></c><c r="AU227" s="21"><f>B227&lt;=C227</f><v /></c><c r="AV227" s="21"><f>N227&lt;Y227</f><v /></c><c r="AW227" s="21"><f>Z227&lt;=AK227</f><v /></c><c r="AX227" s="21"><f>IF(I227&gt;=1,"Qcorrecto",IF(AND(AY227="aceptable",AZ227="aceptable",BA227="aceptable"),"Qcorrecto","Qincorrecto"))</f><v /></c><c r="AY227" s="21"><f>IF(AR227&lt;$AH$6,"error",IF(AR227&gt;$AH$6*1.1,"error","aceptable"))</f><v /></c><c r="AZ227" s="21"><f>IF(AF227&lt;$V$6,"error",IF(AF227&gt;$V$6*1.1,"error","aceptable"))</f><v /></c><c r="BA227" s="21"><f>IF(T227&lt;$J$6*0.9,"error",IF(T227&gt;$J$6,"error","aceptable"))</f><v /></c><c r="BB227" s="65"><f>(IF(ABS(U227)&lt;1.05,"CONFORME",IF(ABS(AG227)&lt;1.05,"CONFORME",IF(ABS(AS227)&lt;2.55,"CONFORME","NO CONFORME"))))</f><v /></c><c r="BC227" s="62"><f>(IF(ABS(U227)&gt;2.05,"NO CONFORME",IF(ABS(AG227)&gt;2.05,"NO CONFORME",IF(ABS(AS227)&gt;5.05,"NO CONFORME","CONFORME"))))</f><v /></c><c r="BD227" s="64"><f>SIGN(U227)</f><v /></c><c r="BE227" s="64"><f>SIGN(AG227)</f><v /></c><c r="BF227" s="64"><f>SIGN(AS227)</f><v /></c><c r="BG227" s="64"><f>CONCATENATE(BD227,BE227,BF227)</f><v /></c><c r="BH227" s="64"><f>IF(BG227="111","SI","SD")</f><v /></c><c r="BI227" s="64"><f>IF(BG227="-1-1-1","SI","SD")</f><v /></c><c r="BJ227" s="64"><f>OR(BH227="SI",BI227="SI")</f><v /></c><c r="BK227" s="64"><f>IF(BJ227=FALSE,"SIGDIFERENTES","SIGIGUALES")</f><v /></c><c r="BL227" s="21"><f>IF(BC227="NO CONFORME","NO CONFORME",IF(BB227="CONFORME","CONFORME","NO CONFORME"))</f><v /></c><c r="BM227" s="66" t="n" /><c r="BN227" s="66" t="n" /></row><row r="228" ht="15" customHeight="1"><c r="A228" s="9" t="n"><v>220</v></c><c r="B228" s="296"><f>B227</f><v /></c><c r="C228" s="296"><f>C227</f><v /></c><c r="D228" s="11"><f>D227</f><v /></c><c r="E228" s="9"><f>E227</f><v /></c><c r="F228" s="12" t="n" /><c r="G228" s="297" t="n" /><c r="H228" s="90"><f>H227</f><v /></c><c r="I228" s="90" t="n" /><c r="J228" s="298"><f>J227</f><v /></c><c r="K228" s="298"><f>K227</f><v /></c><c r="L228" s="298"><f>L227</f><v /></c><c r="M228" s="52" t="n" /><c r="N228" s="52" t="n" /><c r="O228" s="30"><f>O227</f><v /></c><c r="P228" s="299"><f>P227</f><v /></c><c r="Q228" s="10"><f>LEFT(P228,1)</f><v /></c><c r="R228" s="10"><f>RIGHT(P228,6)</f><v /></c><c r="S228" s="10"><f>+(Q228*60+R228)/(60*60)</f><v /></c><c r="T228" s="13"><f>+O228/S228</f><v /></c><c r="U228" s="300"><f>+(((N228-M228-O228)/O228)*100)</f><v /></c><c r="V228" s="301"><f>V227</f><v /></c><c r="W228" s="302"><f>W227</f><v /></c><c r="X228" s="302"><f>X227</f><v /></c><c r="Y228" s="52" t="n" /><c r="Z228" s="52" t="n" /><c r="AA228" s="106"><f>AA227</f><v /></c><c r="AB228" s="299"><f>AB227</f><v /></c><c r="AC228" s="10"><f>LEFT(AB228,2)</f><v /></c><c r="AD228" s="10"><f>RIGHT(AB228,6)</f><v /></c><c r="AE228" s="10"><f>+(AC228*60+AD228)/(60*60)</f><v /></c><c r="AF228" s="13"><f>+AA228/AE228</f><v /></c><c r="AG228" s="303"><f>+(((Z228-Y228-AA228)/AA228)*100)</f><v /></c><c r="AH228" s="301"><f>AH227</f><v /></c><c r="AI228" s="301"><f>AI227</f><v /></c><c r="AJ228" s="301"><f>AJ227</f><v /></c><c r="AK228" s="52"><f>+Z228</f><v /></c><c r="AL228" s="52" t="n" /><c r="AM228" s="111"><f>AM227</f><v /></c><c r="AN228" s="299"><f>AN227</f><v /></c><c r="AO228" s="10"><f>LEFT(AN228,2)</f><v /></c><c r="AP228" s="10"><f>RIGHT(AN228,6)</f><v /></c><c r="AQ228" s="10"><f>+(AO228*60+AP228)/(60*60)</f><v /></c><c r="AR228" s="13"><f>+AM228/AQ228</f><v /></c><c r="AS228" s="303"><f>+(((AL228-AK228-AM228)/AM228)*100)</f><v /></c><c r="AT228" s="64"><f>IF(I228&gt;=1,"NO CONFORME",IF(BK228="SIGDIFERENTES",BC228,BL228))</f><v /></c><c r="AU228" s="21"><f>B228&lt;=C228</f><v /></c><c r="AV228" s="21"><f>N228&lt;Y228</f><v /></c><c r="AW228" s="21"><f>Z228&lt;=AK228</f><v /></c><c r="AX228" s="21"><f>IF(I228&gt;=1,"Qcorrecto",IF(AND(AY228="aceptable",AZ228="aceptable",BA228="aceptable"),"Qcorrecto","Qincorrecto"))</f><v /></c><c r="AY228" s="21"><f>IF(AR228&lt;$AH$6,"error",IF(AR228&gt;$AH$6*1.1,"error","aceptable"))</f><v /></c><c r="AZ228" s="21"><f>IF(AF228&lt;$V$6,"error",IF(AF228&gt;$V$6*1.1,"error","aceptable"))</f><v /></c><c r="BA228" s="21"><f>IF(T228&lt;$J$6*0.9,"error",IF(T228&gt;$J$6,"error","aceptable"))</f><v /></c><c r="BB228" s="65"><f>(IF(ABS(U228)&lt;1.05,"CONFORME",IF(ABS(AG228)&lt;1.05,"CONFORME",IF(ABS(AS228)&lt;2.55,"CONFORME","NO CONFORME"))))</f><v /></c><c r="BC228" s="62"><f>(IF(ABS(U228)&gt;2.05,"NO CONFORME",IF(ABS(AG228)&gt;2.05,"NO CONFORME",IF(ABS(AS228)&gt;5.05,"NO CONFORME","CONFORME"))))</f><v /></c><c r="BD228" s="64"><f>SIGN(U228)</f><v /></c><c r="BE228" s="64"><f>SIGN(AG228)</f><v /></c><c r="BF228" s="64"><f>SIGN(AS228)</f><v /></c><c r="BG228" s="64"><f>CONCATENATE(BD228,BE228,BF228)</f><v /></c><c r="BH228" s="64"><f>IF(BG228="111","SI","SD")</f><v /></c><c r="BI228" s="64"><f>IF(BG228="-1-1-1","SI","SD")</f><v /></c><c r="BJ228" s="64"><f>OR(BH228="SI",BI228="SI")</f><v /></c><c r="BK228" s="64"><f>IF(BJ228=FALSE,"SIGDIFERENTES","SIGIGUALES")</f><v /></c><c r="BL228" s="21"><f>IF(BC228="NO CONFORME","NO CONFORME",IF(BB228="CONFORME","CONFORME","NO CONFORME"))</f><v /></c><c r="BM228" s="66" t="n" /><c r="BN228" s="66" t="n" /></row><row r="229" ht="15.75" customHeight="1" thickBot="1"><c r="A229" s="9" t="n"><v>221</v></c><c r="B229" s="296"><f>B228</f><v /></c><c r="C229" s="296"><f>C228</f><v /></c><c r="D229" s="11"><f>D228</f><v /></c><c r="E229" s="9"><f>E228</f><v /></c><c r="F229" s="12" t="n" /><c r="G229" s="297" t="n" /><c r="H229" s="90"><f>H228</f><v /></c><c r="I229" s="90" t="n" /><c r="J229" s="298"><f>J228</f><v /></c><c r="K229" s="298"><f>K228</f><v /></c><c r="L229" s="298"><f>L228</f><v /></c><c r="M229" s="52" t="n" /><c r="N229" s="52" t="n" /><c r="O229" s="30"><f>O228</f><v /></c><c r="P229" s="299"><f>P228</f><v /></c><c r="Q229" s="10"><f>LEFT(P229,1)</f><v /></c><c r="R229" s="10"><f>RIGHT(P229,6)</f><v /></c><c r="S229" s="10"><f>+(Q229*60+R229)/(60*60)</f><v /></c><c r="T229" s="13"><f>+O229/S229</f><v /></c><c r="U229" s="300"><f>+(((N229-M229-O229)/O229)*100)</f><v /></c><c r="V229" s="301"><f>V228</f><v /></c><c r="W229" s="302"><f>W228</f><v /></c><c r="X229" s="302"><f>X228</f><v /></c><c r="Y229" s="52" t="n" /><c r="Z229" s="52" t="n" /><c r="AA229" s="106"><f>AA228</f><v /></c><c r="AB229" s="299"><f>AB228</f><v /></c><c r="AC229" s="10"><f>LEFT(AB229,2)</f><v /></c><c r="AD229" s="10"><f>RIGHT(AB229,6)</f><v /></c><c r="AE229" s="10"><f>+(AC229*60+AD229)/(60*60)</f><v /></c><c r="AF229" s="13"><f>+AA229/AE229</f><v /></c><c r="AG229" s="303"><f>+(((Z229-Y229-AA229)/AA229)*100)</f><v /></c><c r="AH229" s="301"><f>AH228</f><v /></c><c r="AI229" s="301"><f>AI228</f><v /></c><c r="AJ229" s="301"><f>AJ228</f><v /></c><c r="AK229" s="52"><f>+Z229</f><v /></c><c r="AL229" s="52" t="n" /><c r="AM229" s="111"><f>AM228</f><v /></c><c r="AN229" s="299"><f>AN228</f><v /></c><c r="AO229" s="10"><f>LEFT(AN229,2)</f><v /></c><c r="AP229" s="10"><f>RIGHT(AN229,6)</f><v /></c><c r="AQ229" s="10"><f>+(AO229*60+AP229)/(60*60)</f><v /></c><c r="AR229" s="13"><f>+AM229/AQ229</f><v /></c><c r="AS229" s="303"><f>+(((AL229-AK229-AM229)/AM229)*100)</f><v /></c><c r="AT229" s="64"><f>IF(I229&gt;=1,"NO CONFORME",IF(BK229="SIGDIFERENTES",BC229,BL229))</f><v /></c><c r="AU229" s="21"><f>B229&lt;=C229</f><v /></c><c r="AV229" s="21"><f>N229&lt;Y229</f><v /></c><c r="AW229" s="21"><f>Z229&lt;=AK229</f><v /></c><c r="AX229" s="21"><f>IF(I229&gt;=1,"Qcorrecto",IF(AND(AY229="aceptable",AZ229="aceptable",BA229="aceptable"),"Qcorrecto","Qincorrecto"))</f><v /></c><c r="AY229" s="21"><f>IF(AR229&lt;$AH$6,"error",IF(AR229&gt;$AH$6*1.1,"error","aceptable"))</f><v /></c><c r="AZ229" s="21"><f>IF(AF229&lt;$V$6,"error",IF(AF229&gt;$V$6*1.1,"error","aceptable"))</f><v /></c><c r="BA229" s="21"><f>IF(T229&lt;$J$6*0.9,"error",IF(T229&gt;$J$6,"error","aceptable"))</f><v /></c><c r="BB229" s="65"><f>(IF(ABS(U229)&lt;1.05,"CONFORME",IF(ABS(AG229)&lt;1.05,"CONFORME",IF(ABS(AS229)&lt;2.55,"CONFORME","NO CONFORME"))))</f><v /></c><c r="BC229" s="62"><f>(IF(ABS(U229)&gt;2.05,"NO CONFORME",IF(ABS(AG229)&gt;2.05,"NO CONFORME",IF(ABS(AS229)&gt;5.05,"NO CONFORME","CONFORME"))))</f><v /></c><c r="BD229" s="64"><f>SIGN(U229)</f><v /></c><c r="BE229" s="64"><f>SIGN(AG229)</f><v /></c><c r="BF229" s="64"><f>SIGN(AS229)</f><v /></c><c r="BG229" s="64"><f>CONCATENATE(BD229,BE229,BF229)</f><v /></c><c r="BH229" s="64"><f>IF(BG229="111","SI","SD")</f><v /></c><c r="BI229" s="64"><f>IF(BG229="-1-1-1","SI","SD")</f><v /></c><c r="BJ229" s="64"><f>OR(BH229="SI",BI229="SI")</f><v /></c><c r="BK229" s="64"><f>IF(BJ229=FALSE,"SIGDIFERENTES","SIGIGUALES")</f><v /></c><c r="BL229" s="21"><f>IF(BC229="NO CONFORME","NO CONFORME",IF(BB229="CONFORME","CONFORME","NO CONFORME"))</f><v /></c><c r="BM229" s="66" t="n" /><c r="BN229" s="66" t="n" /></row><row r="230" ht="15" customHeight="1"><c r="A230" s="55" t="n"><v>222</v></c><c r="B230" s="304"><f>B229</f><v /></c><c r="C230" s="304"><f>C229</f><v /></c><c r="D230" s="94"><f>D229</f><v /></c><c r="E230" s="95"><f>E229</f><v /></c><c r="F230" s="96" t="n" /><c r="G230" s="305" t="n" /><c r="H230" s="98"><f>H229</f><v /></c><c r="I230" s="98" t="n" /><c r="J230" s="306"><f>J229</f><v /></c><c r="K230" s="306"><f>K229</f><v /></c><c r="L230" s="306"><f>L229</f><v /></c><c r="M230" s="100" t="n" /><c r="N230" s="100" t="n" /><c r="O230" s="101"><f>O229</f><v /></c><c r="P230" s="307"><f>P229</f><v /></c><c r="Q230" s="10"><f>LEFT(P230,1)</f><v /></c><c r="R230" s="10"><f>RIGHT(P230,6)</f><v /></c><c r="S230" s="10"><f>+(Q230*60+R230)/(60*60)</f><v /></c><c r="T230" s="13"><f>+O230/S230</f><v /></c><c r="U230" s="300"><f>+(((N230-M230-O230)/O230)*100)</f><v /></c><c r="V230" s="308"><f>V229</f><v /></c><c r="W230" s="309"><f>W229</f><v /></c><c r="X230" s="309"><f>X229</f><v /></c><c r="Y230" s="100" t="n" /><c r="Z230" s="100" t="n" /><c r="AA230" s="109"><f>AA229</f><v /></c><c r="AB230" s="307"><f>AB229</f><v /></c><c r="AC230" s="10"><f>LEFT(AB230,2)</f><v /></c><c r="AD230" s="10"><f>RIGHT(AB230,6)</f><v /></c><c r="AE230" s="10"><f>+(AC230*60+AD230)/(60*60)</f><v /></c><c r="AF230" s="13"><f>+AA230/AE230</f><v /></c><c r="AG230" s="303"><f>+(((Z230-Y230-AA230)/AA230)*100)</f><v /></c><c r="AH230" s="308"><f>AH229</f><v /></c><c r="AI230" s="308"><f>AI229</f><v /></c><c r="AJ230" s="308"><f>AJ229</f><v /></c><c r="AK230" s="100"><f>+Z230</f><v /></c><c r="AL230" s="100" t="n" /><c r="AM230" s="112"><f>AM229</f><v /></c><c r="AN230" s="307"><f>AN229</f><v /></c><c r="AO230" s="10"><f>LEFT(AN230,2)</f><v /></c><c r="AP230" s="10"><f>RIGHT(AN230,6)</f><v /></c><c r="AQ230" s="10"><f>+(AO230*60+AP230)/(60*60)</f><v /></c><c r="AR230" s="13"><f>+AM230/AQ230</f><v /></c><c r="AS230" s="303"><f>+(((AL230-AK230-AM230)/AM230)*100)</f><v /></c><c r="AT230" s="64"><f>IF(I230&gt;=1,"NO CONFORME",IF(BK230="SIGDIFERENTES",BC230,BL230))</f><v /></c><c r="AU230" s="21"><f>B230&lt;=C230</f><v /></c><c r="AV230" s="21"><f>N230&lt;Y230</f><v /></c><c r="AW230" s="21"><f>Z230&lt;=AK230</f><v /></c><c r="AX230" s="21"><f>IF(I230&gt;=1,"Qcorrecto",IF(AND(AY230="aceptable",AZ230="aceptable",BA230="aceptable"),"Qcorrecto","Qincorrecto"))</f><v /></c><c r="AY230" s="21"><f>IF(AR230&lt;$AH$6,"error",IF(AR230&gt;$AH$6*1.1,"error","aceptable"))</f><v /></c><c r="AZ230" s="21"><f>IF(AF230&lt;$V$6,"error",IF(AF230&gt;$V$6*1.1,"error","aceptable"))</f><v /></c><c r="BA230" s="21"><f>IF(T230&lt;$J$6*0.9,"error",IF(T230&gt;$J$6,"error","aceptable"))</f><v /></c><c r="BB230" s="65"><f>(IF(ABS(U230)&lt;1.05,"CONFORME",IF(ABS(AG230)&lt;1.05,"CONFORME",IF(ABS(AS230)&lt;2.55,"CONFORME","NO CONFORME"))))</f><v /></c><c r="BC230" s="62"><f>(IF(ABS(U230)&gt;2.05,"NO CONFORME",IF(ABS(AG230)&gt;2.05,"NO CONFORME",IF(ABS(AS230)&gt;5.05,"NO CONFORME","CONFORME"))))</f><v /></c><c r="BD230" s="64"><f>SIGN(U230)</f><v /></c><c r="BE230" s="64"><f>SIGN(AG230)</f><v /></c><c r="BF230" s="64"><f>SIGN(AS230)</f><v /></c><c r="BG230" s="64"><f>CONCATENATE(BD230,BE230,BF230)</f><v /></c><c r="BH230" s="64"><f>IF(BG230="111","SI","SD")</f><v /></c><c r="BI230" s="64"><f>IF(BG230="-1-1-1","SI","SD")</f><v /></c><c r="BJ230" s="64"><f>OR(BH230="SI",BI230="SI")</f><v /></c><c r="BK230" s="64"><f>IF(BJ230=FALSE,"SIGDIFERENTES","SIGIGUALES")</f><v /></c><c r="BL230" s="21"><f>IF(BC230="NO CONFORME","NO CONFORME",IF(BB230="CONFORME","CONFORME","NO CONFORME"))</f><v /></c><c r="BM230" s="66" t="n" /><c r="BN230" s="66" t="n" /></row><row r="231" ht="15.75" customHeight="1" thickBot="1"><c r="A231" s="9" t="n"><v>223</v></c><c r="B231" s="296"><f>B230</f><v /></c><c r="C231" s="296"><f>C230</f><v /></c><c r="D231" s="11"><f>D230</f><v /></c><c r="E231" s="9"><f>E230</f><v /></c><c r="F231" s="12" t="n" /><c r="G231" s="297" t="n" /><c r="H231" s="90"><f>H230</f><v /></c><c r="I231" s="90" t="n" /><c r="J231" s="298"><f>J230</f><v /></c><c r="K231" s="298"><f>K230</f><v /></c><c r="L231" s="298"><f>L230</f><v /></c><c r="M231" s="52" t="n" /><c r="N231" s="52" t="n" /><c r="O231" s="30"><f>O230</f><v /></c><c r="P231" s="299"><f>P230</f><v /></c><c r="Q231" s="10"><f>LEFT(P231,1)</f><v /></c><c r="R231" s="10"><f>RIGHT(P231,6)</f><v /></c><c r="S231" s="10"><f>+(Q231*60+R231)/(60*60)</f><v /></c><c r="T231" s="13"><f>+O231/S231</f><v /></c><c r="U231" s="300"><f>+(((N231-M231-O231)/O231)*100)</f><v /></c><c r="V231" s="301"><f>V230</f><v /></c><c r="W231" s="302"><f>W230</f><v /></c><c r="X231" s="302"><f>X230</f><v /></c><c r="Y231" s="52" t="n" /><c r="Z231" s="52" t="n" /><c r="AA231" s="106"><f>AA230</f><v /></c><c r="AB231" s="299"><f>AB230</f><v /></c><c r="AC231" s="10"><f>LEFT(AB231,2)</f><v /></c><c r="AD231" s="10"><f>RIGHT(AB231,6)</f><v /></c><c r="AE231" s="10"><f>+(AC231*60+AD231)/(60*60)</f><v /></c><c r="AF231" s="13"><f>+AA231/AE231</f><v /></c><c r="AG231" s="303"><f>+(((Z231-Y231-AA231)/AA231)*100)</f><v /></c><c r="AH231" s="301"><f>AH230</f><v /></c><c r="AI231" s="301"><f>AI230</f><v /></c><c r="AJ231" s="301"><f>AJ230</f><v /></c><c r="AK231" s="52"><f>+Z231</f><v /></c><c r="AL231" s="52" t="n" /><c r="AM231" s="111"><f>AM230</f><v /></c><c r="AN231" s="299"><f>AN230</f><v /></c><c r="AO231" s="10"><f>LEFT(AN231,2)</f><v /></c><c r="AP231" s="10"><f>RIGHT(AN231,6)</f><v /></c><c r="AQ231" s="10"><f>+(AO231*60+AP231)/(60*60)</f><v /></c><c r="AR231" s="13"><f>+AM231/AQ231</f><v /></c><c r="AS231" s="303"><f>+(((AL231-AK231-AM231)/AM231)*100)</f><v /></c><c r="AT231" s="64"><f>IF(I231&gt;=1,"NO CONFORME",IF(BK231="SIGDIFERENTES",BC231,BL231))</f><v /></c><c r="AU231" s="21"><f>B231&lt;=C231</f><v /></c><c r="AV231" s="21"><f>N231&lt;Y231</f><v /></c><c r="AW231" s="21"><f>Z231&lt;=AK231</f><v /></c><c r="AX231" s="21"><f>IF(I231&gt;=1,"Qcorrecto",IF(AND(AY231="aceptable",AZ231="aceptable",BA231="aceptable"),"Qcorrecto","Qincorrecto"))</f><v /></c><c r="AY231" s="21"><f>IF(AR231&lt;$AH$6,"error",IF(AR231&gt;$AH$6*1.1,"error","aceptable"))</f><v /></c><c r="AZ231" s="21"><f>IF(AF231&lt;$V$6,"error",IF(AF231&gt;$V$6*1.1,"error","aceptable"))</f><v /></c><c r="BA231" s="21"><f>IF(T231&lt;$J$6*0.9,"error",IF(T231&gt;$J$6,"error","aceptable"))</f><v /></c><c r="BB231" s="65"><f>(IF(ABS(U231)&lt;1.05,"CONFORME",IF(ABS(AG231)&lt;1.05,"CONFORME",IF(ABS(AS231)&lt;2.55,"CONFORME","NO CONFORME"))))</f><v /></c><c r="BC231" s="62"><f>(IF(ABS(U231)&gt;2.05,"NO CONFORME",IF(ABS(AG231)&gt;2.05,"NO CONFORME",IF(ABS(AS231)&gt;5.05,"NO CONFORME","CONFORME"))))</f><v /></c><c r="BD231" s="64"><f>SIGN(U231)</f><v /></c><c r="BE231" s="64"><f>SIGN(AG231)</f><v /></c><c r="BF231" s="64"><f>SIGN(AS231)</f><v /></c><c r="BG231" s="64"><f>CONCATENATE(BD231,BE231,BF231)</f><v /></c><c r="BH231" s="64"><f>IF(BG231="111","SI","SD")</f><v /></c><c r="BI231" s="64"><f>IF(BG231="-1-1-1","SI","SD")</f><v /></c><c r="BJ231" s="64"><f>OR(BH231="SI",BI231="SI")</f><v /></c><c r="BK231" s="64"><f>IF(BJ231=FALSE,"SIGDIFERENTES","SIGIGUALES")</f><v /></c><c r="BL231" s="21"><f>IF(BC231="NO CONFORME","NO CONFORME",IF(BB231="CONFORME","CONFORME","NO CONFORME"))</f><v /></c><c r="BM231" s="66" t="n" /><c r="BN231" s="66" t="n" /></row><row r="232" ht="15" customHeight="1"><c r="A232" s="55" t="n"><v>224</v></c><c r="B232" s="304"><f>B231</f><v /></c><c r="C232" s="304"><f>C231</f><v /></c><c r="D232" s="94"><f>D231</f><v /></c><c r="E232" s="95"><f>E231</f><v /></c><c r="F232" s="96" t="n" /><c r="G232" s="305" t="n" /><c r="H232" s="98"><f>H231</f><v /></c><c r="I232" s="98" t="n" /><c r="J232" s="306"><f>J231</f><v /></c><c r="K232" s="306"><f>K231</f><v /></c><c r="L232" s="306"><f>L231</f><v /></c><c r="M232" s="100" t="n" /><c r="N232" s="100" t="n" /><c r="O232" s="101"><f>O231</f><v /></c><c r="P232" s="307"><f>P231</f><v /></c><c r="Q232" s="10"><f>LEFT(P232,1)</f><v /></c><c r="R232" s="10"><f>RIGHT(P232,6)</f><v /></c><c r="S232" s="10"><f>+(Q232*60+R232)/(60*60)</f><v /></c><c r="T232" s="13"><f>+O232/S232</f><v /></c><c r="U232" s="300"><f>+(((N232-M232-O232)/O232)*100)</f><v /></c><c r="V232" s="308"><f>V231</f><v /></c><c r="W232" s="309"><f>W231</f><v /></c><c r="X232" s="309"><f>X231</f><v /></c><c r="Y232" s="100" t="n" /><c r="Z232" s="100" t="n" /><c r="AA232" s="109"><f>AA231</f><v /></c><c r="AB232" s="307"><f>AB231</f><v /></c><c r="AC232" s="10"><f>LEFT(AB232,2)</f><v /></c><c r="AD232" s="10"><f>RIGHT(AB232,6)</f><v /></c><c r="AE232" s="10"><f>+(AC232*60+AD232)/(60*60)</f><v /></c><c r="AF232" s="13"><f>+AA232/AE232</f><v /></c><c r="AG232" s="303"><f>+(((Z232-Y232-AA232)/AA232)*100)</f><v /></c><c r="AH232" s="308"><f>AH231</f><v /></c><c r="AI232" s="308"><f>AI231</f><v /></c><c r="AJ232" s="308"><f>AJ231</f><v /></c><c r="AK232" s="100"><f>+Z232</f><v /></c><c r="AL232" s="100" t="n" /><c r="AM232" s="112"><f>AM231</f><v /></c><c r="AN232" s="307"><f>AN231</f><v /></c><c r="AO232" s="10"><f>LEFT(AN232,2)</f><v /></c><c r="AP232" s="10"><f>RIGHT(AN232,6)</f><v /></c><c r="AQ232" s="10"><f>+(AO232*60+AP232)/(60*60)</f><v /></c><c r="AR232" s="13"><f>+AM232/AQ232</f><v /></c><c r="AS232" s="303"><f>+(((AL232-AK232-AM232)/AM232)*100)</f><v /></c><c r="AT232" s="64"><f>IF(I232&gt;=1,"NO CONFORME",IF(BK232="SIGDIFERENTES",BC232,BL232))</f><v /></c><c r="AU232" s="21"><f>B232&lt;=C232</f><v /></c><c r="AV232" s="21"><f>N232&lt;Y232</f><v /></c><c r="AW232" s="21"><f>Z232&lt;=AK232</f><v /></c><c r="AX232" s="21"><f>IF(I232&gt;=1,"Qcorrecto",IF(AND(AY232="aceptable",AZ232="aceptable",BA232="aceptable"),"Qcorrecto","Qincorrecto"))</f><v /></c><c r="AY232" s="21"><f>IF(AR232&lt;$AH$6,"error",IF(AR232&gt;$AH$6*1.1,"error","aceptable"))</f><v /></c><c r="AZ232" s="21"><f>IF(AF232&lt;$V$6,"error",IF(AF232&gt;$V$6*1.1,"error","aceptable"))</f><v /></c><c r="BA232" s="21"><f>IF(T232&lt;$J$6*0.9,"error",IF(T232&gt;$J$6,"error","aceptable"))</f><v /></c><c r="BB232" s="65"><f>(IF(ABS(U232)&lt;1.05,"CONFORME",IF(ABS(AG232)&lt;1.05,"CONFORME",IF(ABS(AS232)&lt;2.55,"CONFORME","NO CONFORME"))))</f><v /></c><c r="BC232" s="62"><f>(IF(ABS(U232)&gt;2.05,"NO CONFORME",IF(ABS(AG232)&gt;2.05,"NO CONFORME",IF(ABS(AS232)&gt;5.05,"NO CONFORME","CONFORME"))))</f><v /></c><c r="BD232" s="64"><f>SIGN(U232)</f><v /></c><c r="BE232" s="64"><f>SIGN(AG232)</f><v /></c><c r="BF232" s="64"><f>SIGN(AS232)</f><v /></c><c r="BG232" s="64"><f>CONCATENATE(BD232,BE232,BF232)</f><v /></c><c r="BH232" s="64"><f>IF(BG232="111","SI","SD")</f><v /></c><c r="BI232" s="64"><f>IF(BG232="-1-1-1","SI","SD")</f><v /></c><c r="BJ232" s="64"><f>OR(BH232="SI",BI232="SI")</f><v /></c><c r="BK232" s="64"><f>IF(BJ232=FALSE,"SIGDIFERENTES","SIGIGUALES")</f><v /></c><c r="BL232" s="21"><f>IF(BC232="NO CONFORME","NO CONFORME",IF(BB232="CONFORME","CONFORME","NO CONFORME"))</f><v /></c><c r="BM232" s="66" t="n" /><c r="BN232" s="66" t="n" /></row><row r="233" ht="15" customHeight="1"><c r="A233" s="9" t="n"><v>225</v></c><c r="B233" s="296"><f>B232</f><v /></c><c r="C233" s="296"><f>C232</f><v /></c><c r="D233" s="11"><f>D232</f><v /></c><c r="E233" s="9"><f>E232</f><v /></c><c r="F233" s="12" t="n" /><c r="G233" s="297" t="n" /><c r="H233" s="90"><f>H232</f><v /></c><c r="I233" s="90" t="n" /><c r="J233" s="298"><f>J232</f><v /></c><c r="K233" s="298"><f>K232</f><v /></c><c r="L233" s="298"><f>L232</f><v /></c><c r="M233" s="52" t="n" /><c r="N233" s="52" t="n" /><c r="O233" s="30"><f>O232</f><v /></c><c r="P233" s="299"><f>P232</f><v /></c><c r="Q233" s="10"><f>LEFT(P233,1)</f><v /></c><c r="R233" s="10"><f>RIGHT(P233,6)</f><v /></c><c r="S233" s="10"><f>+(Q233*60+R233)/(60*60)</f><v /></c><c r="T233" s="13"><f>+O233/S233</f><v /></c><c r="U233" s="300"><f>+(((N233-M233-O233)/O233)*100)</f><v /></c><c r="V233" s="301"><f>V232</f><v /></c><c r="W233" s="302"><f>W232</f><v /></c><c r="X233" s="302"><f>X232</f><v /></c><c r="Y233" s="52" t="n" /><c r="Z233" s="52" t="n" /><c r="AA233" s="106"><f>AA232</f><v /></c><c r="AB233" s="299"><f>AB232</f><v /></c><c r="AC233" s="10"><f>LEFT(AB233,2)</f><v /></c><c r="AD233" s="10"><f>RIGHT(AB233,6)</f><v /></c><c r="AE233" s="10"><f>+(AC233*60+AD233)/(60*60)</f><v /></c><c r="AF233" s="13"><f>+AA233/AE233</f><v /></c><c r="AG233" s="303"><f>+(((Z233-Y233-AA233)/AA233)*100)</f><v /></c><c r="AH233" s="301"><f>AH232</f><v /></c><c r="AI233" s="301"><f>AI232</f><v /></c><c r="AJ233" s="301"><f>AJ232</f><v /></c><c r="AK233" s="52"><f>+Z233</f><v /></c><c r="AL233" s="52" t="n" /><c r="AM233" s="111"><f>AM232</f><v /></c><c r="AN233" s="299"><f>AN232</f><v /></c><c r="AO233" s="10"><f>LEFT(AN233,2)</f><v /></c><c r="AP233" s="10"><f>RIGHT(AN233,6)</f><v /></c><c r="AQ233" s="10"><f>+(AO233*60+AP233)/(60*60)</f><v /></c><c r="AR233" s="13"><f>+AM233/AQ233</f><v /></c><c r="AS233" s="303"><f>+(((AL233-AK233-AM233)/AM233)*100)</f><v /></c><c r="AT233" s="64"><f>IF(I233&gt;=1,"NO CONFORME",IF(BK233="SIGDIFERENTES",BC233,BL233))</f><v /></c><c r="AU233" s="21"><f>B233&lt;=C233</f><v /></c><c r="AV233" s="21"><f>N233&lt;Y233</f><v /></c><c r="AW233" s="21"><f>Z233&lt;=AK233</f><v /></c><c r="AX233" s="21"><f>IF(I233&gt;=1,"Qcorrecto",IF(AND(AY233="aceptable",AZ233="aceptable",BA233="aceptable"),"Qcorrecto","Qincorrecto"))</f><v /></c><c r="AY233" s="21"><f>IF(AR233&lt;$AH$6,"error",IF(AR233&gt;$AH$6*1.1,"error","aceptable"))</f><v /></c><c r="AZ233" s="21"><f>IF(AF233&lt;$V$6,"error",IF(AF233&gt;$V$6*1.1,"error","aceptable"))</f><v /></c><c r="BA233" s="21"><f>IF(T233&lt;$J$6*0.9,"error",IF(T233&gt;$J$6,"error","aceptable"))</f><v /></c><c r="BB233" s="65"><f>(IF(ABS(U233)&lt;1.05,"CONFORME",IF(ABS(AG233)&lt;1.05,"CONFORME",IF(ABS(AS233)&lt;2.55,"CONFORME","NO CONFORME"))))</f><v /></c><c r="BC233" s="62"><f>(IF(ABS(U233)&gt;2.05,"NO CONFORME",IF(ABS(AG233)&gt;2.05,"NO CONFORME",IF(ABS(AS233)&gt;5.05,"NO CONFORME","CONFORME"))))</f><v /></c><c r="BD233" s="64"><f>SIGN(U233)</f><v /></c><c r="BE233" s="64"><f>SIGN(AG233)</f><v /></c><c r="BF233" s="64"><f>SIGN(AS233)</f><v /></c><c r="BG233" s="64"><f>CONCATENATE(BD233,BE233,BF233)</f><v /></c><c r="BH233" s="64"><f>IF(BG233="111","SI","SD")</f><v /></c><c r="BI233" s="64"><f>IF(BG233="-1-1-1","SI","SD")</f><v /></c><c r="BJ233" s="64"><f>OR(BH233="SI",BI233="SI")</f><v /></c><c r="BK233" s="64"><f>IF(BJ233=FALSE,"SIGDIFERENTES","SIGIGUALES")</f><v /></c><c r="BL233" s="21"><f>IF(BC233="NO CONFORME","NO CONFORME",IF(BB233="CONFORME","CONFORME","NO CONFORME"))</f><v /></c><c r="BM233" s="66" t="n" /><c r="BN233" s="66" t="n" /></row><row r="234" ht="15.75" customHeight="1" thickBot="1"><c r="A234" s="9" t="n"><v>226</v></c><c r="B234" s="296"><f>B233</f><v /></c><c r="C234" s="296"><f>C233</f><v /></c><c r="D234" s="11"><f>D233</f><v /></c><c r="E234" s="9"><f>E233</f><v /></c><c r="F234" s="12" t="n" /><c r="G234" s="297" t="n" /><c r="H234" s="90"><f>H233</f><v /></c><c r="I234" s="90" t="n" /><c r="J234" s="298"><f>J233</f><v /></c><c r="K234" s="298"><f>K233</f><v /></c><c r="L234" s="298"><f>L233</f><v /></c><c r="M234" s="52" t="n" /><c r="N234" s="52" t="n" /><c r="O234" s="30"><f>O233</f><v /></c><c r="P234" s="299"><f>P233</f><v /></c><c r="Q234" s="10"><f>LEFT(P234,1)</f><v /></c><c r="R234" s="10"><f>RIGHT(P234,6)</f><v /></c><c r="S234" s="10"><f>+(Q234*60+R234)/(60*60)</f><v /></c><c r="T234" s="13"><f>+O234/S234</f><v /></c><c r="U234" s="300"><f>+(((N234-M234-O234)/O234)*100)</f><v /></c><c r="V234" s="301"><f>V233</f><v /></c><c r="W234" s="302"><f>W233</f><v /></c><c r="X234" s="302"><f>X233</f><v /></c><c r="Y234" s="52" t="n" /><c r="Z234" s="52" t="n" /><c r="AA234" s="106"><f>AA233</f><v /></c><c r="AB234" s="299"><f>AB233</f><v /></c><c r="AC234" s="10"><f>LEFT(AB234,2)</f><v /></c><c r="AD234" s="10"><f>RIGHT(AB234,6)</f><v /></c><c r="AE234" s="10"><f>+(AC234*60+AD234)/(60*60)</f><v /></c><c r="AF234" s="13"><f>+AA234/AE234</f><v /></c><c r="AG234" s="303"><f>+(((Z234-Y234-AA234)/AA234)*100)</f><v /></c><c r="AH234" s="301"><f>AH233</f><v /></c><c r="AI234" s="301"><f>AI233</f><v /></c><c r="AJ234" s="301"><f>AJ233</f><v /></c><c r="AK234" s="52"><f>+Z234</f><v /></c><c r="AL234" s="52" t="n" /><c r="AM234" s="111"><f>AM233</f><v /></c><c r="AN234" s="299"><f>AN233</f><v /></c><c r="AO234" s="10"><f>LEFT(AN234,2)</f><v /></c><c r="AP234" s="10"><f>RIGHT(AN234,6)</f><v /></c><c r="AQ234" s="10"><f>+(AO234*60+AP234)/(60*60)</f><v /></c><c r="AR234" s="13"><f>+AM234/AQ234</f><v /></c><c r="AS234" s="303"><f>+(((AL234-AK234-AM234)/AM234)*100)</f><v /></c><c r="AT234" s="64"><f>IF(I234&gt;=1,"NO CONFORME",IF(BK234="SIGDIFERENTES",BC234,BL234))</f><v /></c><c r="AU234" s="21"><f>B234&lt;=C234</f><v /></c><c r="AV234" s="21"><f>N234&lt;Y234</f><v /></c><c r="AW234" s="21"><f>Z234&lt;=AK234</f><v /></c><c r="AX234" s="21"><f>IF(I234&gt;=1,"Qcorrecto",IF(AND(AY234="aceptable",AZ234="aceptable",BA234="aceptable"),"Qcorrecto","Qincorrecto"))</f><v /></c><c r="AY234" s="21"><f>IF(AR234&lt;$AH$6,"error",IF(AR234&gt;$AH$6*1.1,"error","aceptable"))</f><v /></c><c r="AZ234" s="21"><f>IF(AF234&lt;$V$6,"error",IF(AF234&gt;$V$6*1.1,"error","aceptable"))</f><v /></c><c r="BA234" s="21"><f>IF(T234&lt;$J$6*0.9,"error",IF(T234&gt;$J$6,"error","aceptable"))</f><v /></c><c r="BB234" s="65"><f>(IF(ABS(U234)&lt;1.05,"CONFORME",IF(ABS(AG234)&lt;1.05,"CONFORME",IF(ABS(AS234)&lt;2.55,"CONFORME","NO CONFORME"))))</f><v /></c><c r="BC234" s="62"><f>(IF(ABS(U234)&gt;2.05,"NO CONFORME",IF(ABS(AG234)&gt;2.05,"NO CONFORME",IF(ABS(AS234)&gt;5.05,"NO CONFORME","CONFORME"))))</f><v /></c><c r="BD234" s="64"><f>SIGN(U234)</f><v /></c><c r="BE234" s="64"><f>SIGN(AG234)</f><v /></c><c r="BF234" s="64"><f>SIGN(AS234)</f><v /></c><c r="BG234" s="64"><f>CONCATENATE(BD234,BE234,BF234)</f><v /></c><c r="BH234" s="64"><f>IF(BG234="111","SI","SD")</f><v /></c><c r="BI234" s="64"><f>IF(BG234="-1-1-1","SI","SD")</f><v /></c><c r="BJ234" s="64"><f>OR(BH234="SI",BI234="SI")</f><v /></c><c r="BK234" s="64"><f>IF(BJ234=FALSE,"SIGDIFERENTES","SIGIGUALES")</f><v /></c><c r="BL234" s="21"><f>IF(BC234="NO CONFORME","NO CONFORME",IF(BB234="CONFORME","CONFORME","NO CONFORME"))</f><v /></c><c r="BM234" s="66" t="n" /><c r="BN234" s="66" t="n" /></row><row r="235" ht="15" customHeight="1"><c r="A235" s="55" t="n"><v>227</v></c><c r="B235" s="304"><f>B234</f><v /></c><c r="C235" s="304"><f>C234</f><v /></c><c r="D235" s="94"><f>D234</f><v /></c><c r="E235" s="95"><f>E234</f><v /></c><c r="F235" s="96" t="n" /><c r="G235" s="305" t="n" /><c r="H235" s="98"><f>H234</f><v /></c><c r="I235" s="98" t="n" /><c r="J235" s="306"><f>J234</f><v /></c><c r="K235" s="306"><f>K234</f><v /></c><c r="L235" s="306"><f>L234</f><v /></c><c r="M235" s="100" t="n" /><c r="N235" s="100" t="n" /><c r="O235" s="101"><f>O234</f><v /></c><c r="P235" s="307"><f>P234</f><v /></c><c r="Q235" s="10"><f>LEFT(P235,1)</f><v /></c><c r="R235" s="10"><f>RIGHT(P235,6)</f><v /></c><c r="S235" s="10"><f>+(Q235*60+R235)/(60*60)</f><v /></c><c r="T235" s="13"><f>+O235/S235</f><v /></c><c r="U235" s="300"><f>+(((N235-M235-O235)/O235)*100)</f><v /></c><c r="V235" s="308"><f>V234</f><v /></c><c r="W235" s="309"><f>W234</f><v /></c><c r="X235" s="309"><f>X234</f><v /></c><c r="Y235" s="100" t="n" /><c r="Z235" s="100" t="n" /><c r="AA235" s="109"><f>AA234</f><v /></c><c r="AB235" s="307"><f>AB234</f><v /></c><c r="AC235" s="10"><f>LEFT(AB235,2)</f><v /></c><c r="AD235" s="10"><f>RIGHT(AB235,6)</f><v /></c><c r="AE235" s="10"><f>+(AC235*60+AD235)/(60*60)</f><v /></c><c r="AF235" s="13"><f>+AA235/AE235</f><v /></c><c r="AG235" s="303"><f>+(((Z235-Y235-AA235)/AA235)*100)</f><v /></c><c r="AH235" s="308"><f>AH234</f><v /></c><c r="AI235" s="308"><f>AI234</f><v /></c><c r="AJ235" s="308"><f>AJ234</f><v /></c><c r="AK235" s="100"><f>+Z235</f><v /></c><c r="AL235" s="100" t="n" /><c r="AM235" s="112"><f>AM234</f><v /></c><c r="AN235" s="307"><f>AN234</f><v /></c><c r="AO235" s="10"><f>LEFT(AN235,2)</f><v /></c><c r="AP235" s="10"><f>RIGHT(AN235,6)</f><v /></c><c r="AQ235" s="10"><f>+(AO235*60+AP235)/(60*60)</f><v /></c><c r="AR235" s="13"><f>+AM235/AQ235</f><v /></c><c r="AS235" s="303"><f>+(((AL235-AK235-AM235)/AM235)*100)</f><v /></c><c r="AT235" s="64"><f>IF(I235&gt;=1,"NO CONFORME",IF(BK235="SIGDIFERENTES",BC235,BL235))</f><v /></c><c r="AU235" s="21"><f>B235&lt;=C235</f><v /></c><c r="AV235" s="21"><f>N235&lt;Y235</f><v /></c><c r="AW235" s="21"><f>Z235&lt;=AK235</f><v /></c><c r="AX235" s="21"><f>IF(I235&gt;=1,"Qcorrecto",IF(AND(AY235="aceptable",AZ235="aceptable",BA235="aceptable"),"Qcorrecto","Qincorrecto"))</f><v /></c><c r="AY235" s="21"><f>IF(AR235&lt;$AH$6,"error",IF(AR235&gt;$AH$6*1.1,"error","aceptable"))</f><v /></c><c r="AZ235" s="21"><f>IF(AF235&lt;$V$6,"error",IF(AF235&gt;$V$6*1.1,"error","aceptable"))</f><v /></c><c r="BA235" s="21"><f>IF(T235&lt;$J$6*0.9,"error",IF(T235&gt;$J$6,"error","aceptable"))</f><v /></c><c r="BB235" s="65"><f>(IF(ABS(U235)&lt;1.05,"CONFORME",IF(ABS(AG235)&lt;1.05,"CONFORME",IF(ABS(AS235)&lt;2.55,"CONFORME","NO CONFORME"))))</f><v /></c><c r="BC235" s="62"><f>(IF(ABS(U235)&gt;2.05,"NO CONFORME",IF(ABS(AG235)&gt;2.05,"NO CONFORME",IF(ABS(AS235)&gt;5.05,"NO CONFORME","CONFORME"))))</f><v /></c><c r="BD235" s="64"><f>SIGN(U235)</f><v /></c><c r="BE235" s="64"><f>SIGN(AG235)</f><v /></c><c r="BF235" s="64"><f>SIGN(AS235)</f><v /></c><c r="BG235" s="64"><f>CONCATENATE(BD235,BE235,BF235)</f><v /></c><c r="BH235" s="64"><f>IF(BG235="111","SI","SD")</f><v /></c><c r="BI235" s="64"><f>IF(BG235="-1-1-1","SI","SD")</f><v /></c><c r="BJ235" s="64"><f>OR(BH235="SI",BI235="SI")</f><v /></c><c r="BK235" s="64"><f>IF(BJ235=FALSE,"SIGDIFERENTES","SIGIGUALES")</f><v /></c><c r="BL235" s="21"><f>IF(BC235="NO CONFORME","NO CONFORME",IF(BB235="CONFORME","CONFORME","NO CONFORME"))</f><v /></c><c r="BM235" s="66" t="n" /><c r="BN235" s="66" t="n" /></row><row r="236" ht="15.75" customHeight="1" thickBot="1"><c r="A236" s="9" t="n"><v>228</v></c><c r="B236" s="296"><f>B235</f><v /></c><c r="C236" s="296"><f>C235</f><v /></c><c r="D236" s="11"><f>D235</f><v /></c><c r="E236" s="9"><f>E235</f><v /></c><c r="F236" s="12" t="n" /><c r="G236" s="297" t="n" /><c r="H236" s="90"><f>H235</f><v /></c><c r="I236" s="90" t="n" /><c r="J236" s="298"><f>J235</f><v /></c><c r="K236" s="298"><f>K235</f><v /></c><c r="L236" s="298"><f>L235</f><v /></c><c r="M236" s="52" t="n" /><c r="N236" s="52" t="n" /><c r="O236" s="30"><f>O235</f><v /></c><c r="P236" s="299"><f>P235</f><v /></c><c r="Q236" s="10"><f>LEFT(P236,1)</f><v /></c><c r="R236" s="10"><f>RIGHT(P236,6)</f><v /></c><c r="S236" s="10"><f>+(Q236*60+R236)/(60*60)</f><v /></c><c r="T236" s="13"><f>+O236/S236</f><v /></c><c r="U236" s="300"><f>+(((N236-M236-O236)/O236)*100)</f><v /></c><c r="V236" s="301"><f>V235</f><v /></c><c r="W236" s="302"><f>W235</f><v /></c><c r="X236" s="302"><f>X235</f><v /></c><c r="Y236" s="52" t="n" /><c r="Z236" s="52" t="n" /><c r="AA236" s="106"><f>AA235</f><v /></c><c r="AB236" s="299"><f>AB235</f><v /></c><c r="AC236" s="10"><f>LEFT(AB236,2)</f><v /></c><c r="AD236" s="10"><f>RIGHT(AB236,6)</f><v /></c><c r="AE236" s="10"><f>+(AC236*60+AD236)/(60*60)</f><v /></c><c r="AF236" s="13"><f>+AA236/AE236</f><v /></c><c r="AG236" s="303"><f>+(((Z236-Y236-AA236)/AA236)*100)</f><v /></c><c r="AH236" s="301"><f>AH235</f><v /></c><c r="AI236" s="301"><f>AI235</f><v /></c><c r="AJ236" s="301"><f>AJ235</f><v /></c><c r="AK236" s="52"><f>+Z236</f><v /></c><c r="AL236" s="52" t="n" /><c r="AM236" s="111"><f>AM235</f><v /></c><c r="AN236" s="299"><f>AN235</f><v /></c><c r="AO236" s="10"><f>LEFT(AN236,2)</f><v /></c><c r="AP236" s="10"><f>RIGHT(AN236,6)</f><v /></c><c r="AQ236" s="10"><f>+(AO236*60+AP236)/(60*60)</f><v /></c><c r="AR236" s="13"><f>+AM236/AQ236</f><v /></c><c r="AS236" s="303"><f>+(((AL236-AK236-AM236)/AM236)*100)</f><v /></c><c r="AT236" s="64"><f>IF(I236&gt;=1,"NO CONFORME",IF(BK236="SIGDIFERENTES",BC236,BL236))</f><v /></c><c r="AU236" s="21"><f>B236&lt;=C236</f><v /></c><c r="AV236" s="21"><f>N236&lt;Y236</f><v /></c><c r="AW236" s="21"><f>Z236&lt;=AK236</f><v /></c><c r="AX236" s="21"><f>IF(I236&gt;=1,"Qcorrecto",IF(AND(AY236="aceptable",AZ236="aceptable",BA236="aceptable"),"Qcorrecto","Qincorrecto"))</f><v /></c><c r="AY236" s="21"><f>IF(AR236&lt;$AH$6,"error",IF(AR236&gt;$AH$6*1.1,"error","aceptable"))</f><v /></c><c r="AZ236" s="21"><f>IF(AF236&lt;$V$6,"error",IF(AF236&gt;$V$6*1.1,"error","aceptable"))</f><v /></c><c r="BA236" s="21"><f>IF(T236&lt;$J$6*0.9,"error",IF(T236&gt;$J$6,"error","aceptable"))</f><v /></c><c r="BB236" s="65"><f>(IF(ABS(U236)&lt;1.05,"CONFORME",IF(ABS(AG236)&lt;1.05,"CONFORME",IF(ABS(AS236)&lt;2.55,"CONFORME","NO CONFORME"))))</f><v /></c><c r="BC236" s="62"><f>(IF(ABS(U236)&gt;2.05,"NO CONFORME",IF(ABS(AG236)&gt;2.05,"NO CONFORME",IF(ABS(AS236)&gt;5.05,"NO CONFORME","CONFORME"))))</f><v /></c><c r="BD236" s="64"><f>SIGN(U236)</f><v /></c><c r="BE236" s="64"><f>SIGN(AG236)</f><v /></c><c r="BF236" s="64"><f>SIGN(AS236)</f><v /></c><c r="BG236" s="64"><f>CONCATENATE(BD236,BE236,BF236)</f><v /></c><c r="BH236" s="64"><f>IF(BG236="111","SI","SD")</f><v /></c><c r="BI236" s="64"><f>IF(BG236="-1-1-1","SI","SD")</f><v /></c><c r="BJ236" s="64"><f>OR(BH236="SI",BI236="SI")</f><v /></c><c r="BK236" s="64"><f>IF(BJ236=FALSE,"SIGDIFERENTES","SIGIGUALES")</f><v /></c><c r="BL236" s="21"><f>IF(BC236="NO CONFORME","NO CONFORME",IF(BB236="CONFORME","CONFORME","NO CONFORME"))</f><v /></c><c r="BM236" s="66" t="n" /><c r="BN236" s="66" t="n" /></row><row r="237" ht="15" customHeight="1"><c r="A237" s="55" t="n"><v>229</v></c><c r="B237" s="304"><f>B236</f><v /></c><c r="C237" s="304"><f>C236</f><v /></c><c r="D237" s="94"><f>D236</f><v /></c><c r="E237" s="95"><f>E236</f><v /></c><c r="F237" s="96" t="n" /><c r="G237" s="305" t="n" /><c r="H237" s="98"><f>H236</f><v /></c><c r="I237" s="98" t="n" /><c r="J237" s="306"><f>J236</f><v /></c><c r="K237" s="306"><f>K236</f><v /></c><c r="L237" s="306"><f>L236</f><v /></c><c r="M237" s="100" t="n" /><c r="N237" s="100" t="n" /><c r="O237" s="101"><f>O236</f><v /></c><c r="P237" s="307"><f>P236</f><v /></c><c r="Q237" s="10"><f>LEFT(P237,1)</f><v /></c><c r="R237" s="10"><f>RIGHT(P237,6)</f><v /></c><c r="S237" s="10"><f>+(Q237*60+R237)/(60*60)</f><v /></c><c r="T237" s="13"><f>+O237/S237</f><v /></c><c r="U237" s="300"><f>+(((N237-M237-O237)/O237)*100)</f><v /></c><c r="V237" s="308"><f>V236</f><v /></c><c r="W237" s="309"><f>W236</f><v /></c><c r="X237" s="309"><f>X236</f><v /></c><c r="Y237" s="100" t="n" /><c r="Z237" s="100" t="n" /><c r="AA237" s="109"><f>AA236</f><v /></c><c r="AB237" s="307"><f>AB236</f><v /></c><c r="AC237" s="10"><f>LEFT(AB237,2)</f><v /></c><c r="AD237" s="10"><f>RIGHT(AB237,6)</f><v /></c><c r="AE237" s="10"><f>+(AC237*60+AD237)/(60*60)</f><v /></c><c r="AF237" s="13"><f>+AA237/AE237</f><v /></c><c r="AG237" s="303"><f>+(((Z237-Y237-AA237)/AA237)*100)</f><v /></c><c r="AH237" s="308"><f>AH236</f><v /></c><c r="AI237" s="308"><f>AI236</f><v /></c><c r="AJ237" s="308"><f>AJ236</f><v /></c><c r="AK237" s="100"><f>+Z237</f><v /></c><c r="AL237" s="100" t="n" /><c r="AM237" s="112"><f>AM236</f><v /></c><c r="AN237" s="307"><f>AN236</f><v /></c><c r="AO237" s="10"><f>LEFT(AN237,2)</f><v /></c><c r="AP237" s="10"><f>RIGHT(AN237,6)</f><v /></c><c r="AQ237" s="10"><f>+(AO237*60+AP237)/(60*60)</f><v /></c><c r="AR237" s="13"><f>+AM237/AQ237</f><v /></c><c r="AS237" s="303"><f>+(((AL237-AK237-AM237)/AM237)*100)</f><v /></c><c r="AT237" s="64"><f>IF(I237&gt;=1,"NO CONFORME",IF(BK237="SIGDIFERENTES",BC237,BL237))</f><v /></c><c r="AU237" s="21"><f>B237&lt;=C237</f><v /></c><c r="AV237" s="21"><f>N237&lt;Y237</f><v /></c><c r="AW237" s="21"><f>Z237&lt;=AK237</f><v /></c><c r="AX237" s="21"><f>IF(I237&gt;=1,"Qcorrecto",IF(AND(AY237="aceptable",AZ237="aceptable",BA237="aceptable"),"Qcorrecto","Qincorrecto"))</f><v /></c><c r="AY237" s="21"><f>IF(AR237&lt;$AH$6,"error",IF(AR237&gt;$AH$6*1.1,"error","aceptable"))</f><v /></c><c r="AZ237" s="21"><f>IF(AF237&lt;$V$6,"error",IF(AF237&gt;$V$6*1.1,"error","aceptable"))</f><v /></c><c r="BA237" s="21"><f>IF(T237&lt;$J$6*0.9,"error",IF(T237&gt;$J$6,"error","aceptable"))</f><v /></c><c r="BB237" s="65"><f>(IF(ABS(U237)&lt;1.05,"CONFORME",IF(ABS(AG237)&lt;1.05,"CONFORME",IF(ABS(AS237)&lt;2.55,"CONFORME","NO CONFORME"))))</f><v /></c><c r="BC237" s="62"><f>(IF(ABS(U237)&gt;2.05,"NO CONFORME",IF(ABS(AG237)&gt;2.05,"NO CONFORME",IF(ABS(AS237)&gt;5.05,"NO CONFORME","CONFORME"))))</f><v /></c><c r="BD237" s="64"><f>SIGN(U237)</f><v /></c><c r="BE237" s="64"><f>SIGN(AG237)</f><v /></c><c r="BF237" s="64"><f>SIGN(AS237)</f><v /></c><c r="BG237" s="64"><f>CONCATENATE(BD237,BE237,BF237)</f><v /></c><c r="BH237" s="64"><f>IF(BG237="111","SI","SD")</f><v /></c><c r="BI237" s="64"><f>IF(BG237="-1-1-1","SI","SD")</f><v /></c><c r="BJ237" s="64"><f>OR(BH237="SI",BI237="SI")</f><v /></c><c r="BK237" s="64"><f>IF(BJ237=FALSE,"SIGDIFERENTES","SIGIGUALES")</f><v /></c><c r="BL237" s="21"><f>IF(BC237="NO CONFORME","NO CONFORME",IF(BB237="CONFORME","CONFORME","NO CONFORME"))</f><v /></c><c r="BM237" s="66" t="n" /><c r="BN237" s="66" t="n" /></row><row r="238" ht="15" customHeight="1"><c r="A238" s="9" t="n"><v>230</v></c><c r="B238" s="296"><f>B237</f><v /></c><c r="C238" s="296"><f>C237</f><v /></c><c r="D238" s="11"><f>D237</f><v /></c><c r="E238" s="9"><f>E237</f><v /></c><c r="F238" s="12" t="n" /><c r="G238" s="297" t="n" /><c r="H238" s="90"><f>H237</f><v /></c><c r="I238" s="90" t="n" /><c r="J238" s="298"><f>J237</f><v /></c><c r="K238" s="298"><f>K237</f><v /></c><c r="L238" s="298"><f>L237</f><v /></c><c r="M238" s="52" t="n" /><c r="N238" s="52" t="n" /><c r="O238" s="30"><f>O237</f><v /></c><c r="P238" s="299"><f>P237</f><v /></c><c r="Q238" s="10"><f>LEFT(P238,1)</f><v /></c><c r="R238" s="10"><f>RIGHT(P238,6)</f><v /></c><c r="S238" s="10"><f>+(Q238*60+R238)/(60*60)</f><v /></c><c r="T238" s="13"><f>+O238/S238</f><v /></c><c r="U238" s="300"><f>+(((N238-M238-O238)/O238)*100)</f><v /></c><c r="V238" s="301"><f>V237</f><v /></c><c r="W238" s="302"><f>W237</f><v /></c><c r="X238" s="302"><f>X237</f><v /></c><c r="Y238" s="52" t="n" /><c r="Z238" s="52" t="n" /><c r="AA238" s="106"><f>AA237</f><v /></c><c r="AB238" s="299"><f>AB237</f><v /></c><c r="AC238" s="10"><f>LEFT(AB238,2)</f><v /></c><c r="AD238" s="10"><f>RIGHT(AB238,6)</f><v /></c><c r="AE238" s="10"><f>+(AC238*60+AD238)/(60*60)</f><v /></c><c r="AF238" s="13"><f>+AA238/AE238</f><v /></c><c r="AG238" s="303"><f>+(((Z238-Y238-AA238)/AA238)*100)</f><v /></c><c r="AH238" s="301"><f>AH237</f><v /></c><c r="AI238" s="301"><f>AI237</f><v /></c><c r="AJ238" s="301"><f>AJ237</f><v /></c><c r="AK238" s="52"><f>+Z238</f><v /></c><c r="AL238" s="52" t="n" /><c r="AM238" s="111"><f>AM237</f><v /></c><c r="AN238" s="299"><f>AN237</f><v /></c><c r="AO238" s="10"><f>LEFT(AN238,2)</f><v /></c><c r="AP238" s="10"><f>RIGHT(AN238,6)</f><v /></c><c r="AQ238" s="10"><f>+(AO238*60+AP238)/(60*60)</f><v /></c><c r="AR238" s="13"><f>+AM238/AQ238</f><v /></c><c r="AS238" s="303"><f>+(((AL238-AK238-AM238)/AM238)*100)</f><v /></c><c r="AT238" s="64"><f>IF(I238&gt;=1,"NO CONFORME",IF(BK238="SIGDIFERENTES",BC238,BL238))</f><v /></c><c r="AU238" s="21"><f>B238&lt;=C238</f><v /></c><c r="AV238" s="21"><f>N238&lt;Y238</f><v /></c><c r="AW238" s="21"><f>Z238&lt;=AK238</f><v /></c><c r="AX238" s="21"><f>IF(I238&gt;=1,"Qcorrecto",IF(AND(AY238="aceptable",AZ238="aceptable",BA238="aceptable"),"Qcorrecto","Qincorrecto"))</f><v /></c><c r="AY238" s="21"><f>IF(AR238&lt;$AH$6,"error",IF(AR238&gt;$AH$6*1.1,"error","aceptable"))</f><v /></c><c r="AZ238" s="21"><f>IF(AF238&lt;$V$6,"error",IF(AF238&gt;$V$6*1.1,"error","aceptable"))</f><v /></c><c r="BA238" s="21"><f>IF(T238&lt;$J$6*0.9,"error",IF(T238&gt;$J$6,"error","aceptable"))</f><v /></c><c r="BB238" s="65"><f>(IF(ABS(U238)&lt;1.05,"CONFORME",IF(ABS(AG238)&lt;1.05,"CONFORME",IF(ABS(AS238)&lt;2.55,"CONFORME","NO CONFORME"))))</f><v /></c><c r="BC238" s="62"><f>(IF(ABS(U238)&gt;2.05,"NO CONFORME",IF(ABS(AG238)&gt;2.05,"NO CONFORME",IF(ABS(AS238)&gt;5.05,"NO CONFORME","CONFORME"))))</f><v /></c><c r="BD238" s="64"><f>SIGN(U238)</f><v /></c><c r="BE238" s="64"><f>SIGN(AG238)</f><v /></c><c r="BF238" s="64"><f>SIGN(AS238)</f><v /></c><c r="BG238" s="64"><f>CONCATENATE(BD238,BE238,BF238)</f><v /></c><c r="BH238" s="64"><f>IF(BG238="111","SI","SD")</f><v /></c><c r="BI238" s="64"><f>IF(BG238="-1-1-1","SI","SD")</f><v /></c><c r="BJ238" s="64"><f>OR(BH238="SI",BI238="SI")</f><v /></c><c r="BK238" s="64"><f>IF(BJ238=FALSE,"SIGDIFERENTES","SIGIGUALES")</f><v /></c><c r="BL238" s="21"><f>IF(BC238="NO CONFORME","NO CONFORME",IF(BB238="CONFORME","CONFORME","NO CONFORME"))</f><v /></c><c r="BM238" s="66" t="n" /><c r="BN238" s="66" t="n" /></row><row r="239" ht="15.75" customHeight="1" thickBot="1"><c r="A239" s="9" t="n"><v>231</v></c><c r="B239" s="296"><f>B238</f><v /></c><c r="C239" s="296"><f>C238</f><v /></c><c r="D239" s="11"><f>D238</f><v /></c><c r="E239" s="9"><f>E238</f><v /></c><c r="F239" s="12" t="n" /><c r="G239" s="297" t="n" /><c r="H239" s="90"><f>H238</f><v /></c><c r="I239" s="90" t="n" /><c r="J239" s="298"><f>J238</f><v /></c><c r="K239" s="298"><f>K238</f><v /></c><c r="L239" s="298"><f>L238</f><v /></c><c r="M239" s="52" t="n" /><c r="N239" s="52" t="n" /><c r="O239" s="30"><f>O238</f><v /></c><c r="P239" s="299"><f>P238</f><v /></c><c r="Q239" s="10"><f>LEFT(P239,1)</f><v /></c><c r="R239" s="10"><f>RIGHT(P239,6)</f><v /></c><c r="S239" s="10"><f>+(Q239*60+R239)/(60*60)</f><v /></c><c r="T239" s="13"><f>+O239/S239</f><v /></c><c r="U239" s="300"><f>+(((N239-M239-O239)/O239)*100)</f><v /></c><c r="V239" s="301"><f>V238</f><v /></c><c r="W239" s="302"><f>W238</f><v /></c><c r="X239" s="302"><f>X238</f><v /></c><c r="Y239" s="52" t="n" /><c r="Z239" s="52" t="n" /><c r="AA239" s="106"><f>AA238</f><v /></c><c r="AB239" s="299"><f>AB238</f><v /></c><c r="AC239" s="10"><f>LEFT(AB239,2)</f><v /></c><c r="AD239" s="10"><f>RIGHT(AB239,6)</f><v /></c><c r="AE239" s="10"><f>+(AC239*60+AD239)/(60*60)</f><v /></c><c r="AF239" s="13"><f>+AA239/AE239</f><v /></c><c r="AG239" s="303"><f>+(((Z239-Y239-AA239)/AA239)*100)</f><v /></c><c r="AH239" s="301"><f>AH238</f><v /></c><c r="AI239" s="301"><f>AI238</f><v /></c><c r="AJ239" s="301"><f>AJ238</f><v /></c><c r="AK239" s="52"><f>+Z239</f><v /></c><c r="AL239" s="52" t="n" /><c r="AM239" s="111"><f>AM238</f><v /></c><c r="AN239" s="299"><f>AN238</f><v /></c><c r="AO239" s="10"><f>LEFT(AN239,2)</f><v /></c><c r="AP239" s="10"><f>RIGHT(AN239,6)</f><v /></c><c r="AQ239" s="10"><f>+(AO239*60+AP239)/(60*60)</f><v /></c><c r="AR239" s="13"><f>+AM239/AQ239</f><v /></c><c r="AS239" s="303"><f>+(((AL239-AK239-AM239)/AM239)*100)</f><v /></c><c r="AT239" s="64"><f>IF(I239&gt;=1,"NO CONFORME",IF(BK239="SIGDIFERENTES",BC239,BL239))</f><v /></c><c r="AU239" s="21"><f>B239&lt;=C239</f><v /></c><c r="AV239" s="21"><f>N239&lt;Y239</f><v /></c><c r="AW239" s="21"><f>Z239&lt;=AK239</f><v /></c><c r="AX239" s="21"><f>IF(I239&gt;=1,"Qcorrecto",IF(AND(AY239="aceptable",AZ239="aceptable",BA239="aceptable"),"Qcorrecto","Qincorrecto"))</f><v /></c><c r="AY239" s="21"><f>IF(AR239&lt;$AH$6,"error",IF(AR239&gt;$AH$6*1.1,"error","aceptable"))</f><v /></c><c r="AZ239" s="21"><f>IF(AF239&lt;$V$6,"error",IF(AF239&gt;$V$6*1.1,"error","aceptable"))</f><v /></c><c r="BA239" s="21"><f>IF(T239&lt;$J$6*0.9,"error",IF(T239&gt;$J$6,"error","aceptable"))</f><v /></c><c r="BB239" s="65"><f>(IF(ABS(U239)&lt;1.05,"CONFORME",IF(ABS(AG239)&lt;1.05,"CONFORME",IF(ABS(AS239)&lt;2.55,"CONFORME","NO CONFORME"))))</f><v /></c><c r="BC239" s="62"><f>(IF(ABS(U239)&gt;2.05,"NO CONFORME",IF(ABS(AG239)&gt;2.05,"NO CONFORME",IF(ABS(AS239)&gt;5.05,"NO CONFORME","CONFORME"))))</f><v /></c><c r="BD239" s="64"><f>SIGN(U239)</f><v /></c><c r="BE239" s="64"><f>SIGN(AG239)</f><v /></c><c r="BF239" s="64"><f>SIGN(AS239)</f><v /></c><c r="BG239" s="64"><f>CONCATENATE(BD239,BE239,BF239)</f><v /></c><c r="BH239" s="64"><f>IF(BG239="111","SI","SD")</f><v /></c><c r="BI239" s="64"><f>IF(BG239="-1-1-1","SI","SD")</f><v /></c><c r="BJ239" s="64"><f>OR(BH239="SI",BI239="SI")</f><v /></c><c r="BK239" s="64"><f>IF(BJ239=FALSE,"SIGDIFERENTES","SIGIGUALES")</f><v /></c><c r="BL239" s="21"><f>IF(BC239="NO CONFORME","NO CONFORME",IF(BB239="CONFORME","CONFORME","NO CONFORME"))</f><v /></c><c r="BM239" s="66" t="n" /><c r="BN239" s="66" t="n" /></row><row r="240" ht="15" customHeight="1"><c r="A240" s="55" t="n"><v>232</v></c><c r="B240" s="304"><f>B239</f><v /></c><c r="C240" s="304"><f>C239</f><v /></c><c r="D240" s="94"><f>D239</f><v /></c><c r="E240" s="95"><f>E239</f><v /></c><c r="F240" s="96" t="n" /><c r="G240" s="305" t="n" /><c r="H240" s="98"><f>H239</f><v /></c><c r="I240" s="98" t="n" /><c r="J240" s="306"><f>J239</f><v /></c><c r="K240" s="306"><f>K239</f><v /></c><c r="L240" s="306"><f>L239</f><v /></c><c r="M240" s="100" t="n" /><c r="N240" s="100" t="n" /><c r="O240" s="101"><f>O239</f><v /></c><c r="P240" s="307"><f>P239</f><v /></c><c r="Q240" s="10"><f>LEFT(P240,1)</f><v /></c><c r="R240" s="10"><f>RIGHT(P240,6)</f><v /></c><c r="S240" s="10"><f>+(Q240*60+R240)/(60*60)</f><v /></c><c r="T240" s="13"><f>+O240/S240</f><v /></c><c r="U240" s="300"><f>+(((N240-M240-O240)/O240)*100)</f><v /></c><c r="V240" s="308"><f>V239</f><v /></c><c r="W240" s="309"><f>W239</f><v /></c><c r="X240" s="309"><f>X239</f><v /></c><c r="Y240" s="100" t="n" /><c r="Z240" s="100" t="n" /><c r="AA240" s="109"><f>AA239</f><v /></c><c r="AB240" s="307"><f>AB239</f><v /></c><c r="AC240" s="10"><f>LEFT(AB240,2)</f><v /></c><c r="AD240" s="10"><f>RIGHT(AB240,6)</f><v /></c><c r="AE240" s="10"><f>+(AC240*60+AD240)/(60*60)</f><v /></c><c r="AF240" s="13"><f>+AA240/AE240</f><v /></c><c r="AG240" s="303"><f>+(((Z240-Y240-AA240)/AA240)*100)</f><v /></c><c r="AH240" s="308"><f>AH239</f><v /></c><c r="AI240" s="308"><f>AI239</f><v /></c><c r="AJ240" s="308"><f>AJ239</f><v /></c><c r="AK240" s="100"><f>+Z240</f><v /></c><c r="AL240" s="100" t="n" /><c r="AM240" s="112"><f>AM239</f><v /></c><c r="AN240" s="307"><f>AN239</f><v /></c><c r="AO240" s="10"><f>LEFT(AN240,2)</f><v /></c><c r="AP240" s="10"><f>RIGHT(AN240,6)</f><v /></c><c r="AQ240" s="10"><f>+(AO240*60+AP240)/(60*60)</f><v /></c><c r="AR240" s="13"><f>+AM240/AQ240</f><v /></c><c r="AS240" s="303"><f>+(((AL240-AK240-AM240)/AM240)*100)</f><v /></c><c r="AT240" s="64"><f>IF(I240&gt;=1,"NO CONFORME",IF(BK240="SIGDIFERENTES",BC240,BL240))</f><v /></c><c r="AU240" s="21"><f>B240&lt;=C240</f><v /></c><c r="AV240" s="21"><f>N240&lt;Y240</f><v /></c><c r="AW240" s="21"><f>Z240&lt;=AK240</f><v /></c><c r="AX240" s="21"><f>IF(I240&gt;=1,"Qcorrecto",IF(AND(AY240="aceptable",AZ240="aceptable",BA240="aceptable"),"Qcorrecto","Qincorrecto"))</f><v /></c><c r="AY240" s="21"><f>IF(AR240&lt;$AH$6,"error",IF(AR240&gt;$AH$6*1.1,"error","aceptable"))</f><v /></c><c r="AZ240" s="21"><f>IF(AF240&lt;$V$6,"error",IF(AF240&gt;$V$6*1.1,"error","aceptable"))</f><v /></c><c r="BA240" s="21"><f>IF(T240&lt;$J$6*0.9,"error",IF(T240&gt;$J$6,"error","aceptable"))</f><v /></c><c r="BB240" s="65"><f>(IF(ABS(U240)&lt;1.05,"CONFORME",IF(ABS(AG240)&lt;1.05,"CONFORME",IF(ABS(AS240)&lt;2.55,"CONFORME","NO CONFORME"))))</f><v /></c><c r="BC240" s="62"><f>(IF(ABS(U240)&gt;2.05,"NO CONFORME",IF(ABS(AG240)&gt;2.05,"NO CONFORME",IF(ABS(AS240)&gt;5.05,"NO CONFORME","CONFORME"))))</f><v /></c><c r="BD240" s="64"><f>SIGN(U240)</f><v /></c><c r="BE240" s="64"><f>SIGN(AG240)</f><v /></c><c r="BF240" s="64"><f>SIGN(AS240)</f><v /></c><c r="BG240" s="64"><f>CONCATENATE(BD240,BE240,BF240)</f><v /></c><c r="BH240" s="64"><f>IF(BG240="111","SI","SD")</f><v /></c><c r="BI240" s="64"><f>IF(BG240="-1-1-1","SI","SD")</f><v /></c><c r="BJ240" s="64"><f>OR(BH240="SI",BI240="SI")</f><v /></c><c r="BK240" s="64"><f>IF(BJ240=FALSE,"SIGDIFERENTES","SIGIGUALES")</f><v /></c><c r="BL240" s="21"><f>IF(BC240="NO CONFORME","NO CONFORME",IF(BB240="CONFORME","CONFORME","NO CONFORME"))</f><v /></c><c r="BM240" s="66" t="n" /><c r="BN240" s="66" t="n" /></row></sheetData><autoFilter ref="A8:BL19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J6:U6" /><mergeCell ref="AC5:AE5" /><mergeCell ref="AP3:AT3" /><mergeCell ref="A4:D4" /><mergeCell ref="AN8:AQ8" /><mergeCell ref="AC4:AE4" /><mergeCell ref="AN5:AO5" /><mergeCell ref="AP5:AQ5" /><mergeCell ref="V6:AG6" /><mergeCell ref="AH6:AS6" /><mergeCell ref="J7:U7" /><mergeCell ref="E4:I4" /><mergeCell ref="AF5:AH5" /><mergeCell ref="AN4:AO4" /><mergeCell ref="BB8:BL8" /><mergeCell ref="AA5:AB5" /><mergeCell ref="AP1:AT1" /><mergeCell ref="C6:C8" /><mergeCell ref="AA4:AB4" /><mergeCell ref="D6:D8" /><mergeCell ref="AR4:AS4" /><mergeCell ref="AT6:AT8" /><mergeCell ref="J4:N4" /><mergeCell ref="V7:AG7" /><mergeCell ref="F6:F8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240 AG9:AG240 AS9:AS240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240 AG9:AG240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240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240"><cfRule type="cellIs" priority="71" operator="equal" dxfId="0"><formula>"NO CONFORME"</formula></cfRule></conditionalFormatting><conditionalFormatting sqref="AU8:AW8"><cfRule type="cellIs" priority="1158" operator="equal" dxfId="0"><formula>"NO CONFORME"</formula></cfRule></conditionalFormatting><conditionalFormatting sqref="AX9:AX240"><cfRule type="expression" priority="1166" dxfId="12"><formula>AX9="Qincorrecto"</formula></cfRule><cfRule type="expression" priority="1169" dxfId="11"><formula>AX9="Qcorrecto"</formula></cfRule></conditionalFormatting><conditionalFormatting sqref="AY9:BA240"><cfRule type="cellIs" priority="579" operator="equal" dxfId="10"><formula>"error"</formula></cfRule><cfRule type="cellIs" priority="592" operator="equal" dxfId="9"><formula>#REF!</formula></cfRule></conditionalFormatting><conditionalFormatting sqref="BB9:BC240"><cfRule type="cellIs" priority="1305" operator="notBetween" dxfId="8" stopIfTrue="1"><formula>"APROBADO"</formula><formula>"APROBADO"</formula></cfRule></conditionalFormatting><dataValidations count="2"><dataValidation sqref="E4:I4" showDropDown="0" showInputMessage="1" showErrorMessage="1" allowBlank="1" type="list"><formula1>$AY$2:$BD$2</formula1></dataValidation><dataValidation sqref="O4:R4" showDropDown="0" showInputMessage="1" showErrorMessage="1" allowBlank="1" type="list"><formula1>$AY$1:$BD$1</formula1></dataValidation></dataValidations><pageMargins left="0.7" right="0.7" top="0.37" bottom="0.28" header="0.26" footer="0.17" /><pageSetup orientation="portrait" paperSize="9" /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82"/>
  <sheetViews>
    <sheetView workbookViewId="0">
      <selection activeCell="H7" sqref="H7"/>
    </sheetView>
  </sheetViews>
  <sheetFormatPr baseColWidth="10" defaultRowHeight="12.75"/>
  <cols>
    <col width="15.28515625" customWidth="1" min="2" max="2"/>
    <col width="18.28515625" customWidth="1" min="3" max="3"/>
    <col width="13.5703125" customWidth="1" min="4" max="4"/>
    <col width="15.28515625" customWidth="1" min="6" max="6"/>
    <col width="13.42578125" customWidth="1" min="8" max="8"/>
  </cols>
  <sheetData>
    <row r="1" ht="14.25" customHeight="1">
      <c r="E1" s="88" t="n"/>
      <c r="F1" s="54" t="n"/>
    </row>
    <row r="2">
      <c r="B2" s="54" t="inlineStr">
        <is>
          <t>LO VERIFICADO</t>
        </is>
      </c>
      <c r="C2" s="54" t="inlineStr">
        <is>
          <t>VIMA</t>
        </is>
      </c>
    </row>
    <row r="3" ht="13.5" customHeight="1" thickBot="1"/>
    <row r="4" ht="15" customHeight="1">
      <c r="B4" s="297" t="n"/>
      <c r="C4" s="288" t="n"/>
      <c r="D4">
        <f>VLOOKUP(B4,$C$4:$C$482,1,FALSE)</f>
        <v/>
      </c>
      <c r="F4">
        <f>"VI-"&amp;TEXT(E4,"000000")&amp;"-2025"</f>
        <v/>
      </c>
      <c r="G4" s="71" t="n"/>
      <c r="H4">
        <f>F4=G4</f>
        <v/>
      </c>
    </row>
    <row r="5">
      <c r="B5" s="297" t="n"/>
      <c r="C5" s="297" t="n"/>
      <c r="D5">
        <f>VLOOKUP(B5,$C$4:$C$482,1,FALSE)</f>
        <v/>
      </c>
      <c r="F5">
        <f>"VI-"&amp;TEXT(E5,"000000")&amp;"-2025"</f>
        <v/>
      </c>
      <c r="G5" s="12" t="n"/>
      <c r="H5">
        <f>F5=G5</f>
        <v/>
      </c>
    </row>
    <row r="6">
      <c r="C6" s="297" t="n"/>
      <c r="D6">
        <f>VLOOKUP(B6,$C$4:$C$482,1,FALSE)</f>
        <v/>
      </c>
      <c r="F6">
        <f>"VI-"&amp;TEXT(E6,"000000")&amp;"-2025"</f>
        <v/>
      </c>
      <c r="G6" s="12" t="n"/>
      <c r="H6">
        <f>F6=G6</f>
        <v/>
      </c>
    </row>
    <row r="7">
      <c r="C7" s="297" t="n"/>
      <c r="D7">
        <f>VLOOKUP(B7,$C$4:$C$482,1,FALSE)</f>
        <v/>
      </c>
      <c r="F7">
        <f>"VI-"&amp;TEXT(E7,"000000")&amp;"-2025"</f>
        <v/>
      </c>
      <c r="G7" s="12" t="n"/>
      <c r="H7">
        <f>F7=G7</f>
        <v/>
      </c>
    </row>
    <row r="8">
      <c r="C8" s="297" t="n"/>
      <c r="D8">
        <f>VLOOKUP(B8,$C$4:$C$482,1,FALSE)</f>
        <v/>
      </c>
      <c r="F8">
        <f>"VI-"&amp;TEXT(E8,"000000")&amp;"-2025"</f>
        <v/>
      </c>
      <c r="G8" s="12" t="n"/>
      <c r="H8">
        <f>F8=G8</f>
        <v/>
      </c>
    </row>
    <row r="9">
      <c r="C9" s="297" t="n"/>
      <c r="D9">
        <f>VLOOKUP(B9,$C$4:$C$482,1,FALSE)</f>
        <v/>
      </c>
      <c r="F9">
        <f>"VI-"&amp;TEXT(E9,"000000")&amp;"-2025"</f>
        <v/>
      </c>
      <c r="G9" s="12" t="n"/>
      <c r="H9">
        <f>F9=G9</f>
        <v/>
      </c>
    </row>
    <row r="10">
      <c r="C10" s="297" t="n"/>
      <c r="D10">
        <f>VLOOKUP(B10,$C$4:$C$482,1,FALSE)</f>
        <v/>
      </c>
      <c r="F10">
        <f>"VI-"&amp;TEXT(E10,"000000")&amp;"-2025"</f>
        <v/>
      </c>
      <c r="G10" s="12" t="n"/>
      <c r="H10">
        <f>F10=G10</f>
        <v/>
      </c>
    </row>
    <row r="11">
      <c r="C11" s="297" t="n"/>
      <c r="D11">
        <f>VLOOKUP(B11,$C$4:$C$482,1,FALSE)</f>
        <v/>
      </c>
      <c r="F11">
        <f>"VI-"&amp;TEXT(E11,"000000")&amp;"-2025"</f>
        <v/>
      </c>
      <c r="G11" s="12" t="n"/>
      <c r="H11">
        <f>F11=G11</f>
        <v/>
      </c>
    </row>
    <row r="12">
      <c r="C12" s="297" t="n"/>
      <c r="D12">
        <f>VLOOKUP(B12,$C$4:$C$482,1,FALSE)</f>
        <v/>
      </c>
      <c r="F12">
        <f>"VI-"&amp;TEXT(E12,"000000")&amp;"-2025"</f>
        <v/>
      </c>
      <c r="G12" s="12" t="n"/>
      <c r="H12">
        <f>F12=G12</f>
        <v/>
      </c>
    </row>
    <row r="13">
      <c r="C13" s="297" t="n"/>
      <c r="D13">
        <f>VLOOKUP(B13,$C$4:$C$482,1,FALSE)</f>
        <v/>
      </c>
      <c r="F13">
        <f>"VI-"&amp;TEXT(E13,"000000")&amp;"-2025"</f>
        <v/>
      </c>
      <c r="G13" s="12" t="n"/>
      <c r="H13">
        <f>F13=G13</f>
        <v/>
      </c>
    </row>
    <row r="14" ht="13.5" customHeight="1" thickBot="1">
      <c r="C14" s="305" t="n"/>
      <c r="D14">
        <f>VLOOKUP(B14,$C$4:$C$482,1,FALSE)</f>
        <v/>
      </c>
      <c r="F14">
        <f>"VI-"&amp;TEXT(E14,"000000")&amp;"-2025"</f>
        <v/>
      </c>
      <c r="G14" s="96" t="n"/>
      <c r="H14">
        <f>F14=G14</f>
        <v/>
      </c>
    </row>
    <row r="15">
      <c r="C15" s="288" t="n"/>
      <c r="D15">
        <f>VLOOKUP(B15,$C$4:$C$482,1,FALSE)</f>
        <v/>
      </c>
      <c r="F15">
        <f>"VI-"&amp;TEXT(E15,"000000")&amp;"-2025"</f>
        <v/>
      </c>
      <c r="G15" s="67" t="n"/>
      <c r="H15">
        <f>F15=G15</f>
        <v/>
      </c>
    </row>
    <row r="16">
      <c r="C16" s="297" t="n"/>
      <c r="D16">
        <f>VLOOKUP(B16,$C$4:$C$482,1,FALSE)</f>
        <v/>
      </c>
      <c r="F16">
        <f>"VI-"&amp;TEXT(E16,"000000")&amp;"-2025"</f>
        <v/>
      </c>
      <c r="G16" s="12" t="n"/>
      <c r="H16">
        <f>F16=G16</f>
        <v/>
      </c>
    </row>
    <row r="17" ht="13.5" customHeight="1" thickBot="1">
      <c r="C17" s="305" t="n"/>
      <c r="D17">
        <f>VLOOKUP(B17,$C$4:$C$482,1,FALSE)</f>
        <v/>
      </c>
      <c r="F17">
        <f>"VI-"&amp;TEXT(E17,"000000")&amp;"-2025"</f>
        <v/>
      </c>
      <c r="G17" s="96" t="n"/>
      <c r="H17">
        <f>F17=G17</f>
        <v/>
      </c>
    </row>
    <row r="18">
      <c r="C18" s="288" t="n"/>
      <c r="D18">
        <f>VLOOKUP(B18,$C$4:$C$482,1,FALSE)</f>
        <v/>
      </c>
      <c r="F18">
        <f>"VI-"&amp;TEXT(E18,"000000")&amp;"-2025"</f>
        <v/>
      </c>
      <c r="G18" s="67" t="n"/>
      <c r="H18">
        <f>F18=G18</f>
        <v/>
      </c>
    </row>
    <row r="19">
      <c r="C19" s="297" t="n"/>
      <c r="D19">
        <f>VLOOKUP(B19,$C$4:$C$482,1,FALSE)</f>
        <v/>
      </c>
      <c r="F19">
        <f>"VI-"&amp;TEXT(E19,"000000")&amp;"-2025"</f>
        <v/>
      </c>
      <c r="G19" s="12" t="n"/>
      <c r="H19">
        <f>F19=G19</f>
        <v/>
      </c>
    </row>
    <row r="20" ht="13.5" customHeight="1" thickBot="1">
      <c r="C20" s="305" t="n"/>
      <c r="D20">
        <f>VLOOKUP(B20,$C$4:$C$482,1,FALSE)</f>
        <v/>
      </c>
      <c r="F20">
        <f>"VI-"&amp;TEXT(E20,"000000")&amp;"-2025"</f>
        <v/>
      </c>
      <c r="G20" s="96" t="n"/>
      <c r="H20">
        <f>F20=G20</f>
        <v/>
      </c>
    </row>
    <row r="21">
      <c r="C21" s="288" t="n"/>
      <c r="D21">
        <f>VLOOKUP(B21,$C$4:$C$482,1,FALSE)</f>
        <v/>
      </c>
      <c r="F21">
        <f>"VI-"&amp;TEXT(E21,"000000")&amp;"-2025"</f>
        <v/>
      </c>
      <c r="G21" s="67" t="n"/>
      <c r="H21">
        <f>F21=G21</f>
        <v/>
      </c>
    </row>
    <row r="22">
      <c r="C22" s="297" t="n"/>
      <c r="D22">
        <f>VLOOKUP(B22,$C$4:$C$482,1,FALSE)</f>
        <v/>
      </c>
      <c r="F22">
        <f>"VI-"&amp;TEXT(E22,"000000")&amp;"-2025"</f>
        <v/>
      </c>
      <c r="G22" s="12" t="n"/>
      <c r="H22">
        <f>F22=G22</f>
        <v/>
      </c>
    </row>
    <row r="23" ht="13.5" customHeight="1" thickBot="1">
      <c r="C23" s="305" t="n"/>
      <c r="D23">
        <f>VLOOKUP(B23,$C$4:$C$482,1,FALSE)</f>
        <v/>
      </c>
      <c r="F23">
        <f>"VI-"&amp;TEXT(E23,"000000")&amp;"-2025"</f>
        <v/>
      </c>
      <c r="G23" s="96" t="n"/>
      <c r="H23">
        <f>F23=G23</f>
        <v/>
      </c>
    </row>
    <row r="24">
      <c r="C24" s="288" t="n"/>
      <c r="D24">
        <f>VLOOKUP(B24,$C$4:$C$482,1,FALSE)</f>
        <v/>
      </c>
      <c r="F24">
        <f>"VI-"&amp;TEXT(E24,"000000")&amp;"-2025"</f>
        <v/>
      </c>
      <c r="G24" s="67" t="n"/>
      <c r="H24">
        <f>F24=G24</f>
        <v/>
      </c>
    </row>
    <row r="25">
      <c r="C25" s="297" t="n"/>
      <c r="D25">
        <f>VLOOKUP(B25,$C$4:$C$482,1,FALSE)</f>
        <v/>
      </c>
      <c r="F25">
        <f>"VI-"&amp;TEXT(E25,"000000")&amp;"-2025"</f>
        <v/>
      </c>
      <c r="G25" s="12" t="n"/>
      <c r="H25">
        <f>F25=G25</f>
        <v/>
      </c>
    </row>
    <row r="26" ht="13.5" customHeight="1" thickBot="1">
      <c r="C26" s="305" t="n"/>
      <c r="D26">
        <f>VLOOKUP(B26,$C$4:$C$482,1,FALSE)</f>
        <v/>
      </c>
      <c r="F26">
        <f>"VI-"&amp;TEXT(E26,"000000")&amp;"-2025"</f>
        <v/>
      </c>
      <c r="G26" s="96" t="n"/>
      <c r="H26">
        <f>F26=G26</f>
        <v/>
      </c>
    </row>
    <row r="27">
      <c r="C27" s="288" t="n"/>
      <c r="D27">
        <f>VLOOKUP(B27,$C$4:$C$482,1,FALSE)</f>
        <v/>
      </c>
      <c r="F27">
        <f>"VI-"&amp;TEXT(E27,"000000")&amp;"-2025"</f>
        <v/>
      </c>
      <c r="G27" s="67" t="n"/>
      <c r="H27">
        <f>F27=G27</f>
        <v/>
      </c>
    </row>
    <row r="28">
      <c r="C28" s="297" t="n"/>
      <c r="D28">
        <f>VLOOKUP(B28,$C$4:$C$482,1,FALSE)</f>
        <v/>
      </c>
      <c r="F28">
        <f>"VI-"&amp;TEXT(E28,"000000")&amp;"-2025"</f>
        <v/>
      </c>
      <c r="G28" s="12" t="n"/>
      <c r="H28">
        <f>F28=G28</f>
        <v/>
      </c>
    </row>
    <row r="29" ht="13.5" customHeight="1" thickBot="1">
      <c r="C29" s="305" t="n"/>
      <c r="D29">
        <f>VLOOKUP(B29,$C$4:$C$482,1,FALSE)</f>
        <v/>
      </c>
      <c r="F29">
        <f>"VI-"&amp;TEXT(E29,"000000")&amp;"-2025"</f>
        <v/>
      </c>
      <c r="G29" s="96" t="n"/>
      <c r="H29">
        <f>F29=G29</f>
        <v/>
      </c>
    </row>
    <row r="30">
      <c r="C30" s="288" t="n"/>
      <c r="D30">
        <f>VLOOKUP(B30,$C$4:$C$482,1,FALSE)</f>
        <v/>
      </c>
      <c r="F30">
        <f>"VI-"&amp;TEXT(E30,"000000")&amp;"-2025"</f>
        <v/>
      </c>
      <c r="G30" s="67" t="n"/>
      <c r="H30">
        <f>F30=G30</f>
        <v/>
      </c>
    </row>
    <row r="31">
      <c r="C31" s="297" t="n"/>
      <c r="D31">
        <f>VLOOKUP(B31,$C$4:$C$482,1,FALSE)</f>
        <v/>
      </c>
      <c r="F31">
        <f>"VI-"&amp;TEXT(E31,"000000")&amp;"-2025"</f>
        <v/>
      </c>
      <c r="G31" s="12" t="n"/>
      <c r="H31">
        <f>F31=G31</f>
        <v/>
      </c>
    </row>
    <row r="32" ht="13.5" customHeight="1" thickBot="1">
      <c r="C32" s="305" t="n"/>
      <c r="D32">
        <f>VLOOKUP(B32,$C$4:$C$482,1,FALSE)</f>
        <v/>
      </c>
      <c r="F32">
        <f>"VI-"&amp;TEXT(E32,"000000")&amp;"-2025"</f>
        <v/>
      </c>
      <c r="G32" s="96" t="n"/>
      <c r="H32">
        <f>F32=G32</f>
        <v/>
      </c>
    </row>
    <row r="33">
      <c r="C33" s="288" t="n"/>
      <c r="D33">
        <f>VLOOKUP(B33,$C$4:$C$482,1,FALSE)</f>
        <v/>
      </c>
      <c r="F33">
        <f>"VI-"&amp;TEXT(E33,"000000")&amp;"-2025"</f>
        <v/>
      </c>
      <c r="G33" s="67" t="n"/>
      <c r="H33">
        <f>F33=G33</f>
        <v/>
      </c>
    </row>
    <row r="34">
      <c r="C34" s="297" t="n"/>
      <c r="D34">
        <f>VLOOKUP(B34,$C$4:$C$482,1,FALSE)</f>
        <v/>
      </c>
      <c r="F34">
        <f>"VI-"&amp;TEXT(E34,"000000")&amp;"-2025"</f>
        <v/>
      </c>
      <c r="G34" s="12" t="n"/>
      <c r="H34">
        <f>F34=G34</f>
        <v/>
      </c>
    </row>
    <row r="35" ht="13.5" customHeight="1" thickBot="1">
      <c r="C35" s="305" t="n"/>
      <c r="D35">
        <f>VLOOKUP(B35,$C$4:$C$482,1,FALSE)</f>
        <v/>
      </c>
      <c r="F35">
        <f>"VI-"&amp;TEXT(E35,"000000")&amp;"-2025"</f>
        <v/>
      </c>
      <c r="G35" s="96" t="n"/>
      <c r="H35">
        <f>F35=G35</f>
        <v/>
      </c>
    </row>
    <row r="36">
      <c r="C36" s="288" t="n"/>
      <c r="D36">
        <f>VLOOKUP(B36,$C$4:$C$482,1,FALSE)</f>
        <v/>
      </c>
      <c r="F36">
        <f>"VI-"&amp;TEXT(E36,"000000")&amp;"-2025"</f>
        <v/>
      </c>
      <c r="G36" s="67" t="n"/>
      <c r="H36">
        <f>F36=G36</f>
        <v/>
      </c>
    </row>
    <row r="37">
      <c r="C37" s="297" t="n"/>
      <c r="D37">
        <f>VLOOKUP(B37,$C$4:$C$482,1,FALSE)</f>
        <v/>
      </c>
      <c r="F37">
        <f>"VI-"&amp;TEXT(E37,"000000")&amp;"-2025"</f>
        <v/>
      </c>
      <c r="G37" s="12" t="n"/>
      <c r="H37">
        <f>F37=G37</f>
        <v/>
      </c>
    </row>
    <row r="38" ht="13.5" customHeight="1" thickBot="1">
      <c r="C38" s="305" t="n"/>
      <c r="D38">
        <f>VLOOKUP(B38,$C$4:$C$482,1,FALSE)</f>
        <v/>
      </c>
      <c r="F38">
        <f>"VI-"&amp;TEXT(E38,"000000")&amp;"-2025"</f>
        <v/>
      </c>
      <c r="G38" s="96" t="n"/>
      <c r="H38">
        <f>F38=G38</f>
        <v/>
      </c>
    </row>
    <row r="39">
      <c r="C39" s="288" t="n"/>
      <c r="D39">
        <f>VLOOKUP(B39,$C$4:$C$482,1,FALSE)</f>
        <v/>
      </c>
      <c r="F39">
        <f>"VI-"&amp;TEXT(E39,"000000")&amp;"-2025"</f>
        <v/>
      </c>
      <c r="G39" s="67" t="n"/>
      <c r="H39">
        <f>F39=G39</f>
        <v/>
      </c>
    </row>
    <row r="40">
      <c r="C40" s="297" t="n"/>
      <c r="D40">
        <f>VLOOKUP(B40,$C$4:$C$482,1,FALSE)</f>
        <v/>
      </c>
      <c r="F40">
        <f>"VI-"&amp;TEXT(E40,"000000")&amp;"-2025"</f>
        <v/>
      </c>
      <c r="G40" s="12" t="n"/>
      <c r="H40">
        <f>F40=G40</f>
        <v/>
      </c>
    </row>
    <row r="41" ht="13.5" customHeight="1" thickBot="1">
      <c r="C41" s="305" t="n"/>
      <c r="D41">
        <f>VLOOKUP(B41,$C$4:$C$482,1,FALSE)</f>
        <v/>
      </c>
      <c r="F41">
        <f>"VI-"&amp;TEXT(E41,"000000")&amp;"-2025"</f>
        <v/>
      </c>
      <c r="G41" s="96" t="n"/>
      <c r="H41">
        <f>F41=G41</f>
        <v/>
      </c>
    </row>
    <row r="42">
      <c r="C42" s="288" t="n"/>
      <c r="D42">
        <f>VLOOKUP(B42,$C$4:$C$482,1,FALSE)</f>
        <v/>
      </c>
      <c r="F42">
        <f>"VI-"&amp;TEXT(E42,"000000")&amp;"-2025"</f>
        <v/>
      </c>
      <c r="G42" s="67" t="n"/>
      <c r="H42">
        <f>F42=G42</f>
        <v/>
      </c>
    </row>
    <row r="43">
      <c r="C43" s="297" t="n"/>
      <c r="D43">
        <f>VLOOKUP(B43,$C$4:$C$482,1,FALSE)</f>
        <v/>
      </c>
      <c r="F43">
        <f>"VI-"&amp;TEXT(E43,"000000")&amp;"-2025"</f>
        <v/>
      </c>
      <c r="G43" s="12" t="n"/>
      <c r="H43">
        <f>F43=G43</f>
        <v/>
      </c>
    </row>
    <row r="44" ht="13.5" customHeight="1" thickBot="1">
      <c r="C44" s="305" t="n"/>
      <c r="D44">
        <f>VLOOKUP(B44,$C$4:$C$482,1,FALSE)</f>
        <v/>
      </c>
      <c r="F44">
        <f>"VI-"&amp;TEXT(E44,"000000")&amp;"-2025"</f>
        <v/>
      </c>
      <c r="G44" s="96" t="n"/>
      <c r="H44">
        <f>F44=G44</f>
        <v/>
      </c>
    </row>
    <row r="45">
      <c r="C45" s="288" t="n"/>
      <c r="D45">
        <f>VLOOKUP(B45,$C$4:$C$482,1,FALSE)</f>
        <v/>
      </c>
      <c r="F45">
        <f>"VI-"&amp;TEXT(E45,"000000")&amp;"-2025"</f>
        <v/>
      </c>
      <c r="G45" s="67" t="n"/>
      <c r="H45">
        <f>F45=G45</f>
        <v/>
      </c>
    </row>
    <row r="46">
      <c r="C46" s="297" t="n"/>
      <c r="D46">
        <f>VLOOKUP(B46,$C$4:$C$482,1,FALSE)</f>
        <v/>
      </c>
      <c r="F46">
        <f>"VI-"&amp;TEXT(E46,"000000")&amp;"-2025"</f>
        <v/>
      </c>
      <c r="G46" s="12" t="n"/>
      <c r="H46">
        <f>F46=G46</f>
        <v/>
      </c>
    </row>
    <row r="47" ht="13.5" customHeight="1" thickBot="1">
      <c r="C47" s="305" t="n"/>
      <c r="D47">
        <f>VLOOKUP(B47,$C$4:$C$482,1,FALSE)</f>
        <v/>
      </c>
      <c r="F47">
        <f>"VI-"&amp;TEXT(E47,"000000")&amp;"-2025"</f>
        <v/>
      </c>
      <c r="G47" s="96" t="n"/>
      <c r="H47">
        <f>F47=G47</f>
        <v/>
      </c>
    </row>
    <row r="48">
      <c r="C48" s="288" t="n"/>
      <c r="D48">
        <f>VLOOKUP(B48,$C$4:$C$482,1,FALSE)</f>
        <v/>
      </c>
      <c r="F48">
        <f>"VI-"&amp;TEXT(E48,"000000")&amp;"-2025"</f>
        <v/>
      </c>
      <c r="G48" s="67" t="n"/>
      <c r="H48">
        <f>F48=G48</f>
        <v/>
      </c>
    </row>
    <row r="49">
      <c r="C49" s="297" t="n"/>
      <c r="D49">
        <f>VLOOKUP(B49,$C$4:$C$482,1,FALSE)</f>
        <v/>
      </c>
      <c r="F49">
        <f>"VI-"&amp;TEXT(E49,"000000")&amp;"-2025"</f>
        <v/>
      </c>
      <c r="G49" s="12" t="n"/>
      <c r="H49">
        <f>F49=G49</f>
        <v/>
      </c>
    </row>
    <row r="50" ht="13.5" customHeight="1" thickBot="1">
      <c r="C50" s="305" t="n"/>
      <c r="D50">
        <f>VLOOKUP(B50,$C$4:$C$482,1,FALSE)</f>
        <v/>
      </c>
      <c r="F50">
        <f>"VI-"&amp;TEXT(E50,"000000")&amp;"-2025"</f>
        <v/>
      </c>
      <c r="G50" s="96" t="n"/>
      <c r="H50">
        <f>F50=G50</f>
        <v/>
      </c>
    </row>
    <row r="51">
      <c r="C51" s="288" t="n"/>
      <c r="D51">
        <f>VLOOKUP(B51,$C$4:$C$482,1,FALSE)</f>
        <v/>
      </c>
      <c r="F51">
        <f>"VI-"&amp;TEXT(E51,"000000")&amp;"-2025"</f>
        <v/>
      </c>
      <c r="G51" s="67" t="n"/>
      <c r="H51">
        <f>F51=G51</f>
        <v/>
      </c>
    </row>
    <row r="52">
      <c r="C52" s="297" t="n"/>
      <c r="D52">
        <f>VLOOKUP(B52,$C$4:$C$482,1,FALSE)</f>
        <v/>
      </c>
      <c r="F52">
        <f>"VI-"&amp;TEXT(E52,"000000")&amp;"-2025"</f>
        <v/>
      </c>
      <c r="G52" s="12" t="n"/>
      <c r="H52">
        <f>F52=G52</f>
        <v/>
      </c>
    </row>
    <row r="53" ht="13.5" customHeight="1" thickBot="1">
      <c r="C53" s="305" t="n"/>
      <c r="D53">
        <f>VLOOKUP(B53,$C$4:$C$482,1,FALSE)</f>
        <v/>
      </c>
      <c r="F53">
        <f>"VI-"&amp;TEXT(E53,"000000")&amp;"-2025"</f>
        <v/>
      </c>
      <c r="G53" s="96" t="n"/>
      <c r="H53">
        <f>F53=G53</f>
        <v/>
      </c>
    </row>
    <row r="54">
      <c r="C54" s="288" t="n"/>
      <c r="D54">
        <f>VLOOKUP(B54,$C$4:$C$482,1,FALSE)</f>
        <v/>
      </c>
      <c r="F54">
        <f>"VI-"&amp;TEXT(E54,"000000")&amp;"-2025"</f>
        <v/>
      </c>
      <c r="G54" s="67" t="n"/>
      <c r="H54">
        <f>F54=G54</f>
        <v/>
      </c>
    </row>
    <row r="55">
      <c r="C55" s="297" t="n"/>
      <c r="D55">
        <f>VLOOKUP(B55,$C$4:$C$482,1,FALSE)</f>
        <v/>
      </c>
      <c r="F55">
        <f>"VI-"&amp;TEXT(E55,"000000")&amp;"-2025"</f>
        <v/>
      </c>
      <c r="G55" s="12" t="n"/>
      <c r="H55">
        <f>F55=G55</f>
        <v/>
      </c>
    </row>
    <row r="56" ht="13.5" customHeight="1" thickBot="1">
      <c r="C56" s="305" t="n"/>
      <c r="D56">
        <f>VLOOKUP(B56,$C$4:$C$482,1,FALSE)</f>
        <v/>
      </c>
      <c r="F56">
        <f>"VI-"&amp;TEXT(E56,"000000")&amp;"-2025"</f>
        <v/>
      </c>
      <c r="G56" s="96" t="n"/>
      <c r="H56">
        <f>F56=G56</f>
        <v/>
      </c>
    </row>
    <row r="57">
      <c r="C57" s="288" t="n"/>
      <c r="D57">
        <f>VLOOKUP(B57,$C$4:$C$482,1,FALSE)</f>
        <v/>
      </c>
      <c r="F57">
        <f>"VI-"&amp;TEXT(E57,"000000")&amp;"-2025"</f>
        <v/>
      </c>
      <c r="G57" s="67" t="n"/>
      <c r="H57">
        <f>F57=G57</f>
        <v/>
      </c>
    </row>
    <row r="58">
      <c r="C58" s="297" t="n"/>
      <c r="D58">
        <f>VLOOKUP(B58,$C$4:$C$482,1,FALSE)</f>
        <v/>
      </c>
      <c r="F58">
        <f>"VI-"&amp;TEXT(E58,"000000")&amp;"-2025"</f>
        <v/>
      </c>
      <c r="G58" s="12" t="n"/>
      <c r="H58">
        <f>F58=G58</f>
        <v/>
      </c>
    </row>
    <row r="59" ht="13.5" customHeight="1" thickBot="1">
      <c r="C59" s="305" t="n"/>
      <c r="D59">
        <f>VLOOKUP(B59,$C$4:$C$482,1,FALSE)</f>
        <v/>
      </c>
      <c r="F59">
        <f>"VI-"&amp;TEXT(E59,"000000")&amp;"-2025"</f>
        <v/>
      </c>
      <c r="G59" s="96" t="n"/>
      <c r="H59">
        <f>F59=G59</f>
        <v/>
      </c>
    </row>
    <row r="60">
      <c r="C60" s="288" t="n"/>
      <c r="D60">
        <f>VLOOKUP(B60,$C$4:$C$482,1,FALSE)</f>
        <v/>
      </c>
      <c r="F60">
        <f>"VI-"&amp;TEXT(E60,"000000")&amp;"-2025"</f>
        <v/>
      </c>
      <c r="G60" s="67" t="n"/>
      <c r="H60">
        <f>F60=G60</f>
        <v/>
      </c>
    </row>
    <row r="61">
      <c r="C61" s="297" t="n"/>
      <c r="D61">
        <f>VLOOKUP(B61,$C$4:$C$482,1,FALSE)</f>
        <v/>
      </c>
      <c r="F61">
        <f>"VI-"&amp;TEXT(E61,"000000")&amp;"-2025"</f>
        <v/>
      </c>
      <c r="G61" s="12" t="n"/>
      <c r="H61">
        <f>F61=G61</f>
        <v/>
      </c>
    </row>
    <row r="62" ht="13.5" customHeight="1" thickBot="1">
      <c r="C62" s="305" t="n"/>
      <c r="D62">
        <f>VLOOKUP(B62,$C$4:$C$482,1,FALSE)</f>
        <v/>
      </c>
      <c r="F62">
        <f>"VI-"&amp;TEXT(E62,"000000")&amp;"-2025"</f>
        <v/>
      </c>
      <c r="G62" s="96" t="n"/>
      <c r="H62">
        <f>F62=G62</f>
        <v/>
      </c>
    </row>
    <row r="63">
      <c r="C63" s="288" t="n"/>
      <c r="D63">
        <f>VLOOKUP(B63,$C$4:$C$482,1,FALSE)</f>
        <v/>
      </c>
      <c r="F63">
        <f>"VI-"&amp;TEXT(E63,"000000")&amp;"-2025"</f>
        <v/>
      </c>
      <c r="G63" s="67" t="n"/>
      <c r="H63">
        <f>F63=G63</f>
        <v/>
      </c>
    </row>
    <row r="64">
      <c r="C64" s="297" t="n"/>
      <c r="D64">
        <f>VLOOKUP(B64,$C$4:$C$482,1,FALSE)</f>
        <v/>
      </c>
      <c r="F64">
        <f>"VI-"&amp;TEXT(E64,"000000")&amp;"-2025"</f>
        <v/>
      </c>
      <c r="G64" s="12" t="n"/>
      <c r="H64">
        <f>F64=G64</f>
        <v/>
      </c>
    </row>
    <row r="65" ht="13.5" customHeight="1" thickBot="1">
      <c r="C65" s="305" t="n"/>
      <c r="D65">
        <f>VLOOKUP(B65,$C$4:$C$482,1,FALSE)</f>
        <v/>
      </c>
      <c r="F65">
        <f>"VI-"&amp;TEXT(E65,"000000")&amp;"-2025"</f>
        <v/>
      </c>
      <c r="G65" s="96" t="n"/>
      <c r="H65">
        <f>F65=G65</f>
        <v/>
      </c>
    </row>
    <row r="66">
      <c r="C66" s="288" t="n"/>
      <c r="D66">
        <f>VLOOKUP(B66,$C$4:$C$482,1,FALSE)</f>
        <v/>
      </c>
      <c r="F66">
        <f>"VI-"&amp;TEXT(E66,"000000")&amp;"-2025"</f>
        <v/>
      </c>
      <c r="G66" s="67" t="n"/>
      <c r="H66">
        <f>F66=G66</f>
        <v/>
      </c>
    </row>
    <row r="67">
      <c r="C67" s="297" t="n"/>
      <c r="D67">
        <f>VLOOKUP(B67,$C$4:$C$482,1,FALSE)</f>
        <v/>
      </c>
      <c r="F67">
        <f>"VI-"&amp;TEXT(E67,"000000")&amp;"-2025"</f>
        <v/>
      </c>
      <c r="G67" s="12" t="n"/>
      <c r="H67">
        <f>F67=G67</f>
        <v/>
      </c>
    </row>
    <row r="68" ht="13.5" customHeight="1" thickBot="1">
      <c r="C68" s="305" t="n"/>
      <c r="D68">
        <f>VLOOKUP(B68,$C$4:$C$482,1,FALSE)</f>
        <v/>
      </c>
      <c r="F68">
        <f>"VI-"&amp;TEXT(E68,"000000")&amp;"-2025"</f>
        <v/>
      </c>
      <c r="G68" s="96" t="n"/>
      <c r="H68">
        <f>F68=G68</f>
        <v/>
      </c>
    </row>
    <row r="69">
      <c r="C69" s="288" t="n"/>
      <c r="D69">
        <f>VLOOKUP(B69,$C$4:$C$482,1,FALSE)</f>
        <v/>
      </c>
      <c r="F69">
        <f>"VI-"&amp;TEXT(E69,"000000")&amp;"-2025"</f>
        <v/>
      </c>
      <c r="G69" s="67" t="n"/>
      <c r="H69">
        <f>F69=G69</f>
        <v/>
      </c>
    </row>
    <row r="70">
      <c r="C70" s="297" t="n"/>
      <c r="D70">
        <f>VLOOKUP(B70,$C$4:$C$482,1,FALSE)</f>
        <v/>
      </c>
      <c r="F70">
        <f>"VI-"&amp;TEXT(E70,"000000")&amp;"-2025"</f>
        <v/>
      </c>
      <c r="G70" s="12" t="n"/>
      <c r="H70">
        <f>F70=G70</f>
        <v/>
      </c>
    </row>
    <row r="71" ht="13.5" customHeight="1" thickBot="1">
      <c r="C71" s="305" t="n"/>
      <c r="D71">
        <f>VLOOKUP(B71,$C$4:$C$482,1,FALSE)</f>
        <v/>
      </c>
      <c r="F71">
        <f>"VI-"&amp;TEXT(E71,"000000")&amp;"-2025"</f>
        <v/>
      </c>
      <c r="G71" s="96" t="n"/>
      <c r="H71">
        <f>F71=G71</f>
        <v/>
      </c>
    </row>
    <row r="72">
      <c r="C72" s="288" t="n"/>
      <c r="D72">
        <f>VLOOKUP(B72,$C$4:$C$482,1,FALSE)</f>
        <v/>
      </c>
      <c r="F72">
        <f>"VI-"&amp;TEXT(E72,"000000")&amp;"-2025"</f>
        <v/>
      </c>
      <c r="G72" s="67" t="n"/>
      <c r="H72">
        <f>F72=G72</f>
        <v/>
      </c>
    </row>
    <row r="73">
      <c r="C73" s="297" t="n"/>
      <c r="D73">
        <f>VLOOKUP(B73,$C$4:$C$482,1,FALSE)</f>
        <v/>
      </c>
      <c r="F73">
        <f>"VI-"&amp;TEXT(E73,"000000")&amp;"-2025"</f>
        <v/>
      </c>
      <c r="G73" s="12" t="n"/>
      <c r="H73">
        <f>F73=G73</f>
        <v/>
      </c>
    </row>
    <row r="74" ht="13.5" customHeight="1" thickBot="1">
      <c r="C74" s="305" t="n"/>
      <c r="D74">
        <f>VLOOKUP(B74,$C$4:$C$482,1,FALSE)</f>
        <v/>
      </c>
      <c r="F74">
        <f>"VI-"&amp;TEXT(E74,"000000")&amp;"-2025"</f>
        <v/>
      </c>
      <c r="G74" s="96" t="n"/>
      <c r="H74">
        <f>F74=G74</f>
        <v/>
      </c>
    </row>
    <row r="75">
      <c r="C75" s="288" t="n"/>
      <c r="D75">
        <f>VLOOKUP(B75,$C$4:$C$482,1,FALSE)</f>
        <v/>
      </c>
      <c r="F75">
        <f>"VI-"&amp;TEXT(E75,"000000")&amp;"-2025"</f>
        <v/>
      </c>
      <c r="G75" s="67" t="n"/>
      <c r="H75">
        <f>F75=G75</f>
        <v/>
      </c>
    </row>
    <row r="76">
      <c r="C76" s="297" t="n"/>
      <c r="D76">
        <f>VLOOKUP(B76,$C$4:$C$482,1,FALSE)</f>
        <v/>
      </c>
      <c r="F76">
        <f>"VI-"&amp;TEXT(E76,"000000")&amp;"-2025"</f>
        <v/>
      </c>
      <c r="G76" s="12" t="n"/>
      <c r="H76">
        <f>F76=G76</f>
        <v/>
      </c>
    </row>
    <row r="77" ht="13.5" customHeight="1" thickBot="1">
      <c r="C77" s="305" t="n"/>
      <c r="D77">
        <f>VLOOKUP(B77,$C$4:$C$482,1,FALSE)</f>
        <v/>
      </c>
      <c r="F77">
        <f>"VI-"&amp;TEXT(E77,"000000")&amp;"-2025"</f>
        <v/>
      </c>
      <c r="G77" s="96" t="n"/>
      <c r="H77">
        <f>F77=G77</f>
        <v/>
      </c>
    </row>
    <row r="78">
      <c r="C78" s="288" t="n"/>
      <c r="D78">
        <f>VLOOKUP(B78,$C$4:$C$482,1,FALSE)</f>
        <v/>
      </c>
      <c r="F78">
        <f>"VI-"&amp;TEXT(E78,"000000")&amp;"-2025"</f>
        <v/>
      </c>
      <c r="G78" s="67" t="n"/>
      <c r="H78">
        <f>F78=G78</f>
        <v/>
      </c>
    </row>
    <row r="79">
      <c r="C79" s="297" t="n"/>
      <c r="D79">
        <f>VLOOKUP(B79,$C$4:$C$482,1,FALSE)</f>
        <v/>
      </c>
      <c r="F79">
        <f>"VI-"&amp;TEXT(E79,"000000")&amp;"-2025"</f>
        <v/>
      </c>
      <c r="G79" s="12" t="n"/>
      <c r="H79">
        <f>F79=G79</f>
        <v/>
      </c>
    </row>
    <row r="80" ht="13.5" customHeight="1" thickBot="1">
      <c r="C80" s="305" t="n"/>
      <c r="D80">
        <f>VLOOKUP(B80,$C$4:$C$482,1,FALSE)</f>
        <v/>
      </c>
      <c r="F80">
        <f>"VI-"&amp;TEXT(E80,"000000")&amp;"-2025"</f>
        <v/>
      </c>
      <c r="G80" s="96" t="n"/>
      <c r="H80">
        <f>F80=G80</f>
        <v/>
      </c>
    </row>
    <row r="81">
      <c r="C81" s="288" t="n"/>
      <c r="D81">
        <f>VLOOKUP(B81,$C$4:$C$482,1,FALSE)</f>
        <v/>
      </c>
      <c r="F81">
        <f>"VI-"&amp;TEXT(E81,"000000")&amp;"-2025"</f>
        <v/>
      </c>
      <c r="G81" s="67" t="n"/>
      <c r="H81">
        <f>F81=G81</f>
        <v/>
      </c>
    </row>
    <row r="82">
      <c r="C82" s="297" t="n"/>
      <c r="D82">
        <f>VLOOKUP(B82,$C$4:$C$482,1,FALSE)</f>
        <v/>
      </c>
      <c r="F82">
        <f>"VI-"&amp;TEXT(E82,"000000")&amp;"-2025"</f>
        <v/>
      </c>
      <c r="G82" s="12" t="n"/>
      <c r="H82">
        <f>F82=G82</f>
        <v/>
      </c>
    </row>
    <row r="83" ht="13.5" customHeight="1" thickBot="1">
      <c r="C83" s="305" t="n"/>
      <c r="D83">
        <f>VLOOKUP(B83,$C$4:$C$482,1,FALSE)</f>
        <v/>
      </c>
      <c r="F83">
        <f>"VI-"&amp;TEXT(E83,"000000")&amp;"-2025"</f>
        <v/>
      </c>
      <c r="G83" s="96" t="n"/>
      <c r="H83">
        <f>F83=G83</f>
        <v/>
      </c>
    </row>
    <row r="84">
      <c r="C84" s="288" t="n"/>
      <c r="D84">
        <f>VLOOKUP(B84,$C$4:$C$482,1,FALSE)</f>
        <v/>
      </c>
      <c r="F84">
        <f>"VI-"&amp;TEXT(E84,"000000")&amp;"-2025"</f>
        <v/>
      </c>
      <c r="G84" s="67" t="n"/>
      <c r="H84">
        <f>F84=G84</f>
        <v/>
      </c>
    </row>
    <row r="85">
      <c r="C85" s="297" t="n"/>
      <c r="D85">
        <f>VLOOKUP(B85,$C$4:$C$482,1,FALSE)</f>
        <v/>
      </c>
      <c r="F85">
        <f>"VI-"&amp;TEXT(E85,"000000")&amp;"-2025"</f>
        <v/>
      </c>
      <c r="G85" s="12" t="n"/>
      <c r="H85">
        <f>F85=G85</f>
        <v/>
      </c>
    </row>
    <row r="86" ht="13.5" customHeight="1" thickBot="1">
      <c r="C86" s="305" t="n"/>
      <c r="D86">
        <f>VLOOKUP(B86,$C$4:$C$482,1,FALSE)</f>
        <v/>
      </c>
      <c r="F86">
        <f>"VI-"&amp;TEXT(E86,"000000")&amp;"-2025"</f>
        <v/>
      </c>
      <c r="G86" s="96" t="n"/>
      <c r="H86">
        <f>F86=G86</f>
        <v/>
      </c>
    </row>
    <row r="87">
      <c r="C87" s="288" t="n"/>
      <c r="D87">
        <f>VLOOKUP(B87,$C$4:$C$482,1,FALSE)</f>
        <v/>
      </c>
      <c r="F87">
        <f>"VI-"&amp;TEXT(E87,"000000")&amp;"-2025"</f>
        <v/>
      </c>
      <c r="G87" s="67" t="n"/>
      <c r="H87">
        <f>F87=G87</f>
        <v/>
      </c>
    </row>
    <row r="88">
      <c r="C88" s="297" t="n"/>
      <c r="D88">
        <f>VLOOKUP(B88,$C$4:$C$482,1,FALSE)</f>
        <v/>
      </c>
      <c r="F88">
        <f>"VI-"&amp;TEXT(E88,"000000")&amp;"-2025"</f>
        <v/>
      </c>
      <c r="G88" s="12" t="n"/>
      <c r="H88">
        <f>F88=G88</f>
        <v/>
      </c>
    </row>
    <row r="89" ht="13.5" customHeight="1" thickBot="1">
      <c r="C89" s="305" t="n"/>
      <c r="D89">
        <f>VLOOKUP(B89,$C$4:$C$482,1,FALSE)</f>
        <v/>
      </c>
      <c r="F89">
        <f>"VI-"&amp;TEXT(E89,"000000")&amp;"-2025"</f>
        <v/>
      </c>
      <c r="G89" s="96" t="n"/>
      <c r="H89">
        <f>F89=G89</f>
        <v/>
      </c>
    </row>
    <row r="90">
      <c r="C90" s="288" t="n"/>
      <c r="D90">
        <f>VLOOKUP(B90,$C$4:$C$482,1,FALSE)</f>
        <v/>
      </c>
      <c r="F90">
        <f>"VI-"&amp;TEXT(E90,"000000")&amp;"-2025"</f>
        <v/>
      </c>
      <c r="G90" s="67" t="n"/>
      <c r="H90">
        <f>F90=G90</f>
        <v/>
      </c>
    </row>
    <row r="91">
      <c r="C91" s="297" t="n"/>
      <c r="D91">
        <f>VLOOKUP(B91,$C$4:$C$482,1,FALSE)</f>
        <v/>
      </c>
      <c r="F91">
        <f>"VI-"&amp;TEXT(E91,"000000")&amp;"-2025"</f>
        <v/>
      </c>
      <c r="G91" s="12" t="n"/>
      <c r="H91">
        <f>F91=G91</f>
        <v/>
      </c>
    </row>
    <row r="92" ht="13.5" customHeight="1" thickBot="1">
      <c r="C92" s="305" t="n"/>
      <c r="D92">
        <f>VLOOKUP(B92,$C$4:$C$482,1,FALSE)</f>
        <v/>
      </c>
      <c r="F92">
        <f>"VI-"&amp;TEXT(E92,"000000")&amp;"-2025"</f>
        <v/>
      </c>
      <c r="G92" s="96" t="n"/>
      <c r="H92">
        <f>F92=G92</f>
        <v/>
      </c>
    </row>
    <row r="93">
      <c r="C93" s="288" t="n"/>
      <c r="D93">
        <f>VLOOKUP(B93,$C$4:$C$482,1,FALSE)</f>
        <v/>
      </c>
      <c r="F93">
        <f>"VI-"&amp;TEXT(E93,"000000")&amp;"-2025"</f>
        <v/>
      </c>
      <c r="G93" s="67" t="n"/>
      <c r="H93">
        <f>F93=G93</f>
        <v/>
      </c>
    </row>
    <row r="94">
      <c r="C94" s="297" t="n"/>
      <c r="D94">
        <f>VLOOKUP(B94,$C$4:$C$482,1,FALSE)</f>
        <v/>
      </c>
      <c r="F94">
        <f>"VI-"&amp;TEXT(E94,"000000")&amp;"-2025"</f>
        <v/>
      </c>
      <c r="G94" s="12" t="n"/>
      <c r="H94">
        <f>F94=G94</f>
        <v/>
      </c>
    </row>
    <row r="95" ht="13.5" customHeight="1" thickBot="1">
      <c r="C95" s="305" t="n"/>
      <c r="D95">
        <f>VLOOKUP(B95,$C$4:$C$482,1,FALSE)</f>
        <v/>
      </c>
      <c r="F95">
        <f>"VI-"&amp;TEXT(E95,"000000")&amp;"-2025"</f>
        <v/>
      </c>
      <c r="G95" s="96" t="n"/>
      <c r="H95">
        <f>F95=G95</f>
        <v/>
      </c>
    </row>
    <row r="96">
      <c r="C96" s="288" t="n"/>
      <c r="D96">
        <f>VLOOKUP(B96,$C$4:$C$482,1,FALSE)</f>
        <v/>
      </c>
      <c r="F96">
        <f>"VI-"&amp;TEXT(E96,"000000")&amp;"-2025"</f>
        <v/>
      </c>
      <c r="G96" s="67" t="n"/>
      <c r="H96">
        <f>F96=G96</f>
        <v/>
      </c>
    </row>
    <row r="97">
      <c r="C97" s="297" t="n"/>
      <c r="D97">
        <f>VLOOKUP(B97,$C$4:$C$482,1,FALSE)</f>
        <v/>
      </c>
      <c r="F97">
        <f>"VI-"&amp;TEXT(E97,"000000")&amp;"-2025"</f>
        <v/>
      </c>
      <c r="G97" s="12" t="n"/>
      <c r="H97">
        <f>F97=G97</f>
        <v/>
      </c>
    </row>
    <row r="98" ht="13.5" customHeight="1" thickBot="1">
      <c r="C98" s="305" t="n"/>
      <c r="D98">
        <f>VLOOKUP(B98,$C$4:$C$482,1,FALSE)</f>
        <v/>
      </c>
      <c r="F98">
        <f>"VI-"&amp;TEXT(E98,"000000")&amp;"-2025"</f>
        <v/>
      </c>
      <c r="G98" s="96" t="n"/>
      <c r="H98">
        <f>F98=G98</f>
        <v/>
      </c>
    </row>
    <row r="99">
      <c r="C99" s="288" t="n"/>
      <c r="D99">
        <f>VLOOKUP(B99,$C$4:$C$482,1,FALSE)</f>
        <v/>
      </c>
      <c r="F99">
        <f>"VI-"&amp;TEXT(E99,"000000")&amp;"-2025"</f>
        <v/>
      </c>
      <c r="G99" s="67" t="n"/>
      <c r="H99">
        <f>F99=G99</f>
        <v/>
      </c>
    </row>
    <row r="100">
      <c r="C100" s="297" t="n"/>
      <c r="D100">
        <f>VLOOKUP(B100,$C$4:$C$482,1,FALSE)</f>
        <v/>
      </c>
      <c r="F100">
        <f>"VI-"&amp;TEXT(E100,"000000")&amp;"-2025"</f>
        <v/>
      </c>
      <c r="G100" s="12" t="n"/>
      <c r="H100">
        <f>F100=G100</f>
        <v/>
      </c>
    </row>
    <row r="101" ht="13.5" customHeight="1" thickBot="1">
      <c r="C101" s="305" t="n"/>
      <c r="D101">
        <f>VLOOKUP(B101,$C$4:$C$482,1,FALSE)</f>
        <v/>
      </c>
      <c r="F101">
        <f>"VI-"&amp;TEXT(E101,"000000")&amp;"-2025"</f>
        <v/>
      </c>
      <c r="G101" s="96" t="n"/>
      <c r="H101">
        <f>F101=G101</f>
        <v/>
      </c>
    </row>
    <row r="102">
      <c r="C102" s="288" t="n"/>
      <c r="D102">
        <f>VLOOKUP(B102,$C$4:$C$482,1,FALSE)</f>
        <v/>
      </c>
      <c r="F102">
        <f>"VI-"&amp;TEXT(E102,"000000")&amp;"-2025"</f>
        <v/>
      </c>
      <c r="G102" s="67" t="n"/>
      <c r="H102">
        <f>F102=G102</f>
        <v/>
      </c>
    </row>
    <row r="103">
      <c r="C103" s="297" t="n"/>
      <c r="D103">
        <f>VLOOKUP(B103,$C$4:$C$482,1,FALSE)</f>
        <v/>
      </c>
      <c r="F103">
        <f>"VI-"&amp;TEXT(E103,"000000")&amp;"-2025"</f>
        <v/>
      </c>
      <c r="G103" s="12" t="n"/>
      <c r="H103">
        <f>F103=G103</f>
        <v/>
      </c>
    </row>
    <row r="104" ht="13.5" customHeight="1" thickBot="1">
      <c r="C104" s="305" t="n"/>
      <c r="D104">
        <f>VLOOKUP(B104,$C$4:$C$482,1,FALSE)</f>
        <v/>
      </c>
      <c r="F104">
        <f>"VI-"&amp;TEXT(E104,"000000")&amp;"-2025"</f>
        <v/>
      </c>
      <c r="G104" s="96" t="n"/>
      <c r="H104">
        <f>F104=G104</f>
        <v/>
      </c>
    </row>
    <row r="105">
      <c r="C105" s="288" t="n"/>
      <c r="D105">
        <f>VLOOKUP(B105,$C$4:$C$482,1,FALSE)</f>
        <v/>
      </c>
      <c r="F105">
        <f>"VI-"&amp;TEXT(E105,"000000")&amp;"-2025"</f>
        <v/>
      </c>
      <c r="G105" s="67" t="n"/>
      <c r="H105">
        <f>F105=G105</f>
        <v/>
      </c>
    </row>
    <row r="106">
      <c r="C106" s="297" t="n"/>
      <c r="D106">
        <f>VLOOKUP(B106,$C$4:$C$482,1,FALSE)</f>
        <v/>
      </c>
      <c r="F106">
        <f>"VI-"&amp;TEXT(E106,"000000")&amp;"-2025"</f>
        <v/>
      </c>
      <c r="G106" s="12" t="n"/>
      <c r="H106">
        <f>F106=G106</f>
        <v/>
      </c>
    </row>
    <row r="107" ht="13.5" customHeight="1" thickBot="1">
      <c r="C107" s="305" t="n"/>
      <c r="D107">
        <f>VLOOKUP(B107,$C$4:$C$482,1,FALSE)</f>
        <v/>
      </c>
      <c r="F107">
        <f>"VI-"&amp;TEXT(E107,"000000")&amp;"-2025"</f>
        <v/>
      </c>
      <c r="G107" s="96" t="n"/>
      <c r="H107">
        <f>F107=G107</f>
        <v/>
      </c>
    </row>
    <row r="108">
      <c r="C108" s="288" t="n"/>
      <c r="D108">
        <f>VLOOKUP(B108,$C$4:$C$482,1,FALSE)</f>
        <v/>
      </c>
      <c r="F108">
        <f>"VI-"&amp;TEXT(E108,"000000")&amp;"-2025"</f>
        <v/>
      </c>
      <c r="G108" s="67" t="n"/>
      <c r="H108">
        <f>F108=G108</f>
        <v/>
      </c>
    </row>
    <row r="109">
      <c r="C109" s="297" t="n"/>
      <c r="D109">
        <f>VLOOKUP(B109,$C$4:$C$482,1,FALSE)</f>
        <v/>
      </c>
      <c r="F109">
        <f>"VI-"&amp;TEXT(E109,"000000")&amp;"-2025"</f>
        <v/>
      </c>
      <c r="G109" s="12" t="n"/>
      <c r="H109">
        <f>F109=G109</f>
        <v/>
      </c>
    </row>
    <row r="110" ht="13.5" customHeight="1" thickBot="1">
      <c r="C110" s="305" t="n"/>
      <c r="D110">
        <f>VLOOKUP(B110,$C$4:$C$482,1,FALSE)</f>
        <v/>
      </c>
      <c r="F110">
        <f>"VI-"&amp;TEXT(E110,"000000")&amp;"-2025"</f>
        <v/>
      </c>
      <c r="G110" s="96" t="n"/>
      <c r="H110">
        <f>F110=G110</f>
        <v/>
      </c>
    </row>
    <row r="111">
      <c r="C111" s="288" t="n"/>
      <c r="D111">
        <f>VLOOKUP(B111,$C$4:$C$482,1,FALSE)</f>
        <v/>
      </c>
      <c r="F111">
        <f>"VI-"&amp;TEXT(E111,"000000")&amp;"-2025"</f>
        <v/>
      </c>
      <c r="G111" s="67" t="n"/>
      <c r="H111">
        <f>F111=G111</f>
        <v/>
      </c>
    </row>
    <row r="112">
      <c r="C112" s="297" t="n"/>
      <c r="D112">
        <f>VLOOKUP(B112,$C$4:$C$482,1,FALSE)</f>
        <v/>
      </c>
      <c r="F112">
        <f>"VI-"&amp;TEXT(E112,"000000")&amp;"-2025"</f>
        <v/>
      </c>
      <c r="G112" s="12" t="n"/>
      <c r="H112">
        <f>F112=G112</f>
        <v/>
      </c>
    </row>
    <row r="113" ht="13.5" customHeight="1" thickBot="1">
      <c r="C113" s="305" t="n"/>
      <c r="D113">
        <f>VLOOKUP(B113,$C$4:$C$482,1,FALSE)</f>
        <v/>
      </c>
      <c r="F113">
        <f>"VI-"&amp;TEXT(E113,"000000")&amp;"-2025"</f>
        <v/>
      </c>
      <c r="G113" s="96" t="n"/>
      <c r="H113">
        <f>F113=G113</f>
        <v/>
      </c>
    </row>
    <row r="114">
      <c r="C114" s="288" t="n"/>
      <c r="D114">
        <f>VLOOKUP(B114,$C$4:$C$482,1,FALSE)</f>
        <v/>
      </c>
      <c r="F114">
        <f>"VI-"&amp;TEXT(E114,"000000")&amp;"-2025"</f>
        <v/>
      </c>
      <c r="G114" s="67" t="n"/>
      <c r="H114">
        <f>F114=G114</f>
        <v/>
      </c>
    </row>
    <row r="115">
      <c r="C115" s="297" t="n"/>
      <c r="D115">
        <f>VLOOKUP(B115,$C$4:$C$482,1,FALSE)</f>
        <v/>
      </c>
      <c r="F115">
        <f>"VI-"&amp;TEXT(E115,"000000")&amp;"-2025"</f>
        <v/>
      </c>
      <c r="G115" s="12" t="n"/>
      <c r="H115">
        <f>F115=G115</f>
        <v/>
      </c>
    </row>
    <row r="116" ht="13.5" customHeight="1" thickBot="1">
      <c r="C116" s="305" t="n"/>
      <c r="D116">
        <f>VLOOKUP(B116,$C$4:$C$482,1,FALSE)</f>
        <v/>
      </c>
      <c r="F116">
        <f>"VI-"&amp;TEXT(E116,"000000")&amp;"-2025"</f>
        <v/>
      </c>
      <c r="G116" s="96" t="n"/>
      <c r="H116">
        <f>F116=G116</f>
        <v/>
      </c>
    </row>
    <row r="117">
      <c r="C117" s="288" t="n"/>
      <c r="D117">
        <f>VLOOKUP(B117,$C$4:$C$482,1,FALSE)</f>
        <v/>
      </c>
      <c r="F117">
        <f>"VI-"&amp;TEXT(E117,"000000")&amp;"-2025"</f>
        <v/>
      </c>
      <c r="G117" s="67" t="n"/>
      <c r="H117">
        <f>F117=G117</f>
        <v/>
      </c>
    </row>
    <row r="118">
      <c r="C118" s="297" t="n"/>
      <c r="D118">
        <f>VLOOKUP(B118,$C$4:$C$482,1,FALSE)</f>
        <v/>
      </c>
      <c r="F118">
        <f>"VI-"&amp;TEXT(E118,"000000")&amp;"-2025"</f>
        <v/>
      </c>
      <c r="G118" s="12" t="n"/>
      <c r="H118">
        <f>F118=G118</f>
        <v/>
      </c>
    </row>
    <row r="119" ht="13.5" customHeight="1" thickBot="1">
      <c r="C119" s="305" t="n"/>
      <c r="D119">
        <f>VLOOKUP(B119,$C$4:$C$482,1,FALSE)</f>
        <v/>
      </c>
      <c r="F119">
        <f>"VI-"&amp;TEXT(E119,"000000")&amp;"-2025"</f>
        <v/>
      </c>
      <c r="G119" s="96" t="n"/>
      <c r="H119">
        <f>F119=G119</f>
        <v/>
      </c>
    </row>
    <row r="120">
      <c r="C120" s="288" t="n"/>
      <c r="D120">
        <f>VLOOKUP(B120,$C$4:$C$482,1,FALSE)</f>
        <v/>
      </c>
      <c r="F120">
        <f>"VI-"&amp;TEXT(E120,"000000")&amp;"-2025"</f>
        <v/>
      </c>
      <c r="G120" s="67" t="n"/>
      <c r="H120">
        <f>F120=G120</f>
        <v/>
      </c>
    </row>
    <row r="121">
      <c r="C121" s="297" t="n"/>
      <c r="D121">
        <f>VLOOKUP(B121,$C$4:$C$482,1,FALSE)</f>
        <v/>
      </c>
      <c r="F121">
        <f>"VI-"&amp;TEXT(E121,"000000")&amp;"-2025"</f>
        <v/>
      </c>
      <c r="G121" s="12" t="n"/>
      <c r="H121">
        <f>F121=G121</f>
        <v/>
      </c>
    </row>
    <row r="122" ht="13.5" customHeight="1" thickBot="1">
      <c r="C122" s="305" t="n"/>
      <c r="D122">
        <f>VLOOKUP(B122,$C$4:$C$482,1,FALSE)</f>
        <v/>
      </c>
      <c r="F122">
        <f>"VI-"&amp;TEXT(E122,"000000")&amp;"-2025"</f>
        <v/>
      </c>
      <c r="G122" s="96" t="n"/>
      <c r="H122">
        <f>F122=G122</f>
        <v/>
      </c>
    </row>
    <row r="123">
      <c r="C123" s="288" t="n"/>
      <c r="D123">
        <f>VLOOKUP(B123,$C$4:$C$482,1,FALSE)</f>
        <v/>
      </c>
      <c r="F123">
        <f>"VI-"&amp;TEXT(E123,"000000")&amp;"-2025"</f>
        <v/>
      </c>
      <c r="G123" s="67" t="n"/>
      <c r="H123">
        <f>F123=G123</f>
        <v/>
      </c>
    </row>
    <row r="124">
      <c r="C124" s="297" t="n"/>
      <c r="D124">
        <f>VLOOKUP(B124,$C$4:$C$482,1,FALSE)</f>
        <v/>
      </c>
      <c r="F124">
        <f>"VI-"&amp;TEXT(E124,"000000")&amp;"-2025"</f>
        <v/>
      </c>
      <c r="G124" s="12" t="n"/>
      <c r="H124">
        <f>F124=G124</f>
        <v/>
      </c>
    </row>
    <row r="125" ht="13.5" customHeight="1" thickBot="1">
      <c r="C125" s="305" t="n"/>
      <c r="D125">
        <f>VLOOKUP(B125,$C$4:$C$482,1,FALSE)</f>
        <v/>
      </c>
      <c r="F125">
        <f>"VI-"&amp;TEXT(E125,"000000")&amp;"-2025"</f>
        <v/>
      </c>
      <c r="G125" s="96" t="n"/>
      <c r="H125">
        <f>F125=G125</f>
        <v/>
      </c>
    </row>
    <row r="126">
      <c r="C126" s="288" t="n"/>
      <c r="D126">
        <f>VLOOKUP(B126,$C$4:$C$482,1,FALSE)</f>
        <v/>
      </c>
      <c r="F126">
        <f>"VI-"&amp;TEXT(E126,"000000")&amp;"-2025"</f>
        <v/>
      </c>
      <c r="G126" s="67" t="n"/>
      <c r="H126">
        <f>F126=G126</f>
        <v/>
      </c>
    </row>
    <row r="127">
      <c r="C127" s="297" t="n"/>
      <c r="D127">
        <f>VLOOKUP(B127,$C$4:$C$482,1,FALSE)</f>
        <v/>
      </c>
      <c r="F127">
        <f>"VI-"&amp;TEXT(E127,"000000")&amp;"-2025"</f>
        <v/>
      </c>
      <c r="G127" s="12" t="n"/>
      <c r="H127">
        <f>F127=G127</f>
        <v/>
      </c>
    </row>
    <row r="128" ht="13.5" customHeight="1" thickBot="1">
      <c r="C128" s="305" t="n"/>
      <c r="D128">
        <f>VLOOKUP(B128,$C$4:$C$482,1,FALSE)</f>
        <v/>
      </c>
      <c r="F128">
        <f>"VI-"&amp;TEXT(E128,"000000")&amp;"-2025"</f>
        <v/>
      </c>
      <c r="G128" s="96" t="n"/>
      <c r="H128">
        <f>F128=G128</f>
        <v/>
      </c>
    </row>
    <row r="129">
      <c r="C129" s="288" t="n"/>
      <c r="D129">
        <f>VLOOKUP(B129,$C$4:$C$482,1,FALSE)</f>
        <v/>
      </c>
      <c r="F129">
        <f>"VI-"&amp;TEXT(E129,"000000")&amp;"-2025"</f>
        <v/>
      </c>
      <c r="G129" s="67" t="n"/>
      <c r="H129">
        <f>F129=G129</f>
        <v/>
      </c>
    </row>
    <row r="130">
      <c r="C130" s="297" t="n"/>
      <c r="D130">
        <f>VLOOKUP(B130,$C$4:$C$482,1,FALSE)</f>
        <v/>
      </c>
      <c r="F130">
        <f>"VI-"&amp;TEXT(E130,"000000")&amp;"-2025"</f>
        <v/>
      </c>
      <c r="G130" s="12" t="n"/>
      <c r="H130">
        <f>F130=G130</f>
        <v/>
      </c>
    </row>
    <row r="131" ht="13.5" customHeight="1" thickBot="1">
      <c r="C131" s="305" t="n"/>
      <c r="D131">
        <f>VLOOKUP(B131,$C$4:$C$482,1,FALSE)</f>
        <v/>
      </c>
      <c r="F131">
        <f>"VI-"&amp;TEXT(E131,"000000")&amp;"-2025"</f>
        <v/>
      </c>
      <c r="G131" s="96" t="n"/>
      <c r="H131">
        <f>F131=G131</f>
        <v/>
      </c>
    </row>
    <row r="132">
      <c r="C132" s="288" t="n"/>
      <c r="D132">
        <f>VLOOKUP(B132,$C$4:$C$482,1,FALSE)</f>
        <v/>
      </c>
      <c r="F132">
        <f>"VI-"&amp;TEXT(E132,"000000")&amp;"-2025"</f>
        <v/>
      </c>
      <c r="G132" s="67" t="n"/>
      <c r="H132">
        <f>F132=G132</f>
        <v/>
      </c>
    </row>
    <row r="133">
      <c r="C133" s="297" t="n"/>
      <c r="D133">
        <f>VLOOKUP(B133,$C$4:$C$482,1,FALSE)</f>
        <v/>
      </c>
      <c r="F133">
        <f>"VI-"&amp;TEXT(E133,"000000")&amp;"-2025"</f>
        <v/>
      </c>
      <c r="G133" s="12" t="n"/>
      <c r="H133">
        <f>F133=G133</f>
        <v/>
      </c>
    </row>
    <row r="134" ht="13.5" customHeight="1" thickBot="1">
      <c r="C134" s="305" t="n"/>
      <c r="D134">
        <f>VLOOKUP(B134,$C$4:$C$482,1,FALSE)</f>
        <v/>
      </c>
      <c r="F134">
        <f>"VI-"&amp;TEXT(E134,"000000")&amp;"-2025"</f>
        <v/>
      </c>
      <c r="G134" s="96" t="n"/>
      <c r="H134">
        <f>F134=G134</f>
        <v/>
      </c>
    </row>
    <row r="135">
      <c r="C135" s="288" t="n"/>
      <c r="D135">
        <f>VLOOKUP(B135,$C$4:$C$482,1,FALSE)</f>
        <v/>
      </c>
      <c r="F135">
        <f>"VI-"&amp;TEXT(E135,"000000")&amp;"-2025"</f>
        <v/>
      </c>
      <c r="G135" s="67" t="n"/>
      <c r="H135">
        <f>F135=G135</f>
        <v/>
      </c>
    </row>
    <row r="136">
      <c r="C136" s="297" t="n"/>
      <c r="D136">
        <f>VLOOKUP(B136,$C$4:$C$482,1,FALSE)</f>
        <v/>
      </c>
      <c r="F136">
        <f>"VI-"&amp;TEXT(E136,"000000")&amp;"-2025"</f>
        <v/>
      </c>
      <c r="G136" s="12" t="n"/>
      <c r="H136">
        <f>F136=G136</f>
        <v/>
      </c>
    </row>
    <row r="137" ht="13.5" customHeight="1" thickBot="1">
      <c r="C137" s="305" t="n"/>
      <c r="D137">
        <f>VLOOKUP(B137,$C$4:$C$482,1,FALSE)</f>
        <v/>
      </c>
      <c r="F137">
        <f>"VI-"&amp;TEXT(E137,"000000")&amp;"-2025"</f>
        <v/>
      </c>
      <c r="G137" s="96" t="n"/>
      <c r="H137">
        <f>F137=G137</f>
        <v/>
      </c>
    </row>
    <row r="138">
      <c r="C138" s="288" t="n"/>
      <c r="D138">
        <f>VLOOKUP(B138,$C$4:$C$482,1,FALSE)</f>
        <v/>
      </c>
      <c r="F138">
        <f>"VI-"&amp;TEXT(E138,"000000")&amp;"-2025"</f>
        <v/>
      </c>
      <c r="G138" s="67" t="n"/>
      <c r="H138">
        <f>F138=G138</f>
        <v/>
      </c>
    </row>
    <row r="139">
      <c r="C139" s="297" t="n"/>
      <c r="D139">
        <f>VLOOKUP(B139,$C$4:$C$482,1,FALSE)</f>
        <v/>
      </c>
      <c r="F139">
        <f>"VI-"&amp;TEXT(E139,"000000")&amp;"-2025"</f>
        <v/>
      </c>
      <c r="G139" s="12" t="n"/>
      <c r="H139">
        <f>F139=G139</f>
        <v/>
      </c>
    </row>
    <row r="140" ht="13.5" customHeight="1" thickBot="1">
      <c r="C140" s="305" t="n"/>
      <c r="D140">
        <f>VLOOKUP(B140,$C$4:$C$482,1,FALSE)</f>
        <v/>
      </c>
      <c r="F140">
        <f>"VI-"&amp;TEXT(E140,"000000")&amp;"-2025"</f>
        <v/>
      </c>
      <c r="G140" s="96" t="n"/>
      <c r="H140">
        <f>F140=G140</f>
        <v/>
      </c>
    </row>
    <row r="141">
      <c r="C141" s="288" t="n"/>
      <c r="D141">
        <f>VLOOKUP(B141,$C$4:$C$482,1,FALSE)</f>
        <v/>
      </c>
      <c r="F141">
        <f>"VI-"&amp;TEXT(E141,"000000")&amp;"-2025"</f>
        <v/>
      </c>
      <c r="G141" s="67" t="n"/>
      <c r="H141">
        <f>F141=G141</f>
        <v/>
      </c>
    </row>
    <row r="142" ht="13.5" customHeight="1" thickBot="1">
      <c r="C142" s="305" t="n"/>
      <c r="D142">
        <f>VLOOKUP(B142,$C$4:$C$482,1,FALSE)</f>
        <v/>
      </c>
      <c r="F142">
        <f>"VI-"&amp;TEXT(E142,"000000")&amp;"-2025"</f>
        <v/>
      </c>
      <c r="G142" s="12" t="n"/>
      <c r="H142">
        <f>F142=G142</f>
        <v/>
      </c>
    </row>
    <row r="143" ht="13.5" customHeight="1" thickBot="1">
      <c r="C143" s="288" t="n"/>
      <c r="D143">
        <f>VLOOKUP(B143,$C$4:$C$482,1,FALSE)</f>
        <v/>
      </c>
      <c r="F143">
        <f>"VI-"&amp;TEXT(E143,"000000")&amp;"-2025"</f>
        <v/>
      </c>
      <c r="G143" s="96" t="n"/>
      <c r="H143">
        <f>F143=G143</f>
        <v/>
      </c>
    </row>
    <row r="144">
      <c r="C144" s="297" t="n"/>
      <c r="D144">
        <f>VLOOKUP(B144,$C$4:$C$482,1,FALSE)</f>
        <v/>
      </c>
      <c r="F144">
        <f>"VI-"&amp;TEXT(E144,"000000")&amp;"-2025"</f>
        <v/>
      </c>
      <c r="G144" s="67" t="n"/>
      <c r="H144">
        <f>F144=G144</f>
        <v/>
      </c>
    </row>
    <row r="145" ht="13.5" customHeight="1" thickBot="1">
      <c r="C145" s="305" t="n"/>
      <c r="D145">
        <f>VLOOKUP(B145,$C$4:$C$482,1,FALSE)</f>
        <v/>
      </c>
      <c r="F145">
        <f>"VI-"&amp;TEXT(E145,"000000")&amp;"-2025"</f>
        <v/>
      </c>
      <c r="G145" s="12" t="n"/>
      <c r="H145">
        <f>F145=G145</f>
        <v/>
      </c>
    </row>
    <row r="146" ht="13.5" customHeight="1" thickBot="1">
      <c r="C146" s="288" t="n"/>
      <c r="D146">
        <f>VLOOKUP(B146,$C$4:$C$482,1,FALSE)</f>
        <v/>
      </c>
      <c r="F146">
        <f>"VI-"&amp;TEXT(E146,"000000")&amp;"-2025"</f>
        <v/>
      </c>
      <c r="G146" s="96" t="n"/>
      <c r="H146">
        <f>F146=G146</f>
        <v/>
      </c>
    </row>
    <row r="147">
      <c r="C147" s="297" t="n"/>
      <c r="D147">
        <f>VLOOKUP(B147,$C$4:$C$482,1,FALSE)</f>
        <v/>
      </c>
      <c r="F147">
        <f>"VI-"&amp;TEXT(E147,"000000")&amp;"-2025"</f>
        <v/>
      </c>
      <c r="G147" s="67" t="n"/>
      <c r="H147">
        <f>F147=G147</f>
        <v/>
      </c>
    </row>
    <row r="148" ht="13.5" customHeight="1" thickBot="1">
      <c r="C148" s="305" t="n"/>
      <c r="D148">
        <f>VLOOKUP(B148,$C$4:$C$482,1,FALSE)</f>
        <v/>
      </c>
      <c r="F148">
        <f>"VI-"&amp;TEXT(E148,"000000")&amp;"-2025"</f>
        <v/>
      </c>
      <c r="G148" s="12" t="n"/>
      <c r="H148">
        <f>F148=G148</f>
        <v/>
      </c>
    </row>
    <row r="149" ht="13.5" customHeight="1" thickBot="1">
      <c r="C149" s="288" t="n"/>
      <c r="D149">
        <f>VLOOKUP(B149,$C$4:$C$482,1,FALSE)</f>
        <v/>
      </c>
      <c r="F149">
        <f>"VI-"&amp;TEXT(E149,"000000")&amp;"-2025"</f>
        <v/>
      </c>
      <c r="G149" s="96" t="n"/>
      <c r="H149">
        <f>F149=G149</f>
        <v/>
      </c>
    </row>
    <row r="150">
      <c r="C150" s="297" t="n"/>
      <c r="D150">
        <f>VLOOKUP(B150,$C$4:$C$482,1,FALSE)</f>
        <v/>
      </c>
      <c r="F150">
        <f>"VI-"&amp;TEXT(E150,"000000")&amp;"-2025"</f>
        <v/>
      </c>
      <c r="G150" s="67" t="n"/>
      <c r="H150">
        <f>F150=G150</f>
        <v/>
      </c>
    </row>
    <row r="151" ht="13.5" customHeight="1" thickBot="1">
      <c r="C151" s="305" t="n"/>
      <c r="D151">
        <f>VLOOKUP(B151,$C$4:$C$482,1,FALSE)</f>
        <v/>
      </c>
      <c r="F151">
        <f>"VI-"&amp;TEXT(E151,"000000")&amp;"-2025"</f>
        <v/>
      </c>
      <c r="G151" s="12" t="n"/>
      <c r="H151">
        <f>F151=G151</f>
        <v/>
      </c>
    </row>
    <row r="152" ht="13.5" customHeight="1" thickBot="1">
      <c r="C152" s="288" t="n"/>
      <c r="D152">
        <f>VLOOKUP(B152,$C$4:$C$482,1,FALSE)</f>
        <v/>
      </c>
      <c r="F152">
        <f>"VI-"&amp;TEXT(E152,"000000")&amp;"-2025"</f>
        <v/>
      </c>
      <c r="G152" s="96" t="n"/>
      <c r="H152">
        <f>F152=G152</f>
        <v/>
      </c>
    </row>
    <row r="153">
      <c r="C153" s="297" t="n"/>
      <c r="D153">
        <f>VLOOKUP(B153,$C$4:$C$482,1,FALSE)</f>
        <v/>
      </c>
      <c r="F153">
        <f>"VI-"&amp;TEXT(E153,"000000")&amp;"-2025"</f>
        <v/>
      </c>
      <c r="G153" s="67" t="n"/>
      <c r="H153">
        <f>F153=G153</f>
        <v/>
      </c>
    </row>
    <row r="154" ht="13.5" customHeight="1" thickBot="1">
      <c r="C154" s="305" t="n"/>
      <c r="D154">
        <f>VLOOKUP(B154,$C$4:$C$482,1,FALSE)</f>
        <v/>
      </c>
      <c r="F154">
        <f>"VI-"&amp;TEXT(E154,"000000")&amp;"-2025"</f>
        <v/>
      </c>
      <c r="G154" s="12" t="n"/>
      <c r="H154">
        <f>F154=G154</f>
        <v/>
      </c>
    </row>
    <row r="155" ht="13.5" customHeight="1" thickBot="1">
      <c r="C155" s="288" t="n"/>
      <c r="D155">
        <f>VLOOKUP(B155,$C$4:$C$482,1,FALSE)</f>
        <v/>
      </c>
      <c r="F155">
        <f>"VI-"&amp;TEXT(E155,"000000")&amp;"-2025"</f>
        <v/>
      </c>
      <c r="G155" s="96" t="n"/>
      <c r="H155">
        <f>F155=G155</f>
        <v/>
      </c>
    </row>
    <row r="156">
      <c r="C156" s="297" t="n"/>
      <c r="D156">
        <f>VLOOKUP(B156,$C$4:$C$482,1,FALSE)</f>
        <v/>
      </c>
      <c r="F156">
        <f>"VI-"&amp;TEXT(E156,"000000")&amp;"-2025"</f>
        <v/>
      </c>
      <c r="G156" s="67" t="n"/>
      <c r="H156">
        <f>F156=G156</f>
        <v/>
      </c>
    </row>
    <row r="157" ht="13.5" customHeight="1" thickBot="1">
      <c r="C157" s="305" t="n"/>
      <c r="D157">
        <f>VLOOKUP(B157,$C$4:$C$482,1,FALSE)</f>
        <v/>
      </c>
      <c r="F157">
        <f>"VI-"&amp;TEXT(E157,"000000")&amp;"-2025"</f>
        <v/>
      </c>
      <c r="G157" s="12" t="n"/>
      <c r="H157">
        <f>F157=G157</f>
        <v/>
      </c>
    </row>
    <row r="158" ht="13.5" customHeight="1" thickBot="1">
      <c r="C158" s="288" t="n"/>
      <c r="D158">
        <f>VLOOKUP(B158,$C$4:$C$482,1,FALSE)</f>
        <v/>
      </c>
      <c r="F158">
        <f>"VI-"&amp;TEXT(E158,"000000")&amp;"-2025"</f>
        <v/>
      </c>
      <c r="G158" s="96" t="n"/>
      <c r="H158">
        <f>F158=G158</f>
        <v/>
      </c>
    </row>
    <row r="159">
      <c r="C159" s="297" t="n"/>
      <c r="D159">
        <f>VLOOKUP(B159,$C$4:$C$482,1,FALSE)</f>
        <v/>
      </c>
      <c r="F159">
        <f>"VI-"&amp;TEXT(E159,"000000")&amp;"-2025"</f>
        <v/>
      </c>
      <c r="G159" s="67" t="n"/>
      <c r="H159">
        <f>F159=G159</f>
        <v/>
      </c>
    </row>
    <row r="160" ht="13.5" customHeight="1" thickBot="1">
      <c r="C160" s="305" t="n"/>
      <c r="D160">
        <f>VLOOKUP(B160,$C$4:$C$482,1,FALSE)</f>
        <v/>
      </c>
      <c r="F160">
        <f>"VI-"&amp;TEXT(E160,"000000")&amp;"-2025"</f>
        <v/>
      </c>
      <c r="G160" s="12" t="n"/>
      <c r="H160">
        <f>F160=G160</f>
        <v/>
      </c>
    </row>
    <row r="161" ht="13.5" customHeight="1" thickBot="1">
      <c r="C161" s="288" t="n"/>
      <c r="D161">
        <f>VLOOKUP(B161,$C$4:$C$482,1,FALSE)</f>
        <v/>
      </c>
      <c r="F161">
        <f>"VI-"&amp;TEXT(E161,"000000")&amp;"-2025"</f>
        <v/>
      </c>
      <c r="G161" s="96" t="n"/>
      <c r="H161">
        <f>F161=G161</f>
        <v/>
      </c>
    </row>
    <row r="162">
      <c r="C162" s="297" t="n"/>
      <c r="D162">
        <f>VLOOKUP(B162,$C$4:$C$482,1,FALSE)</f>
        <v/>
      </c>
      <c r="F162">
        <f>"VI-"&amp;TEXT(E162,"000000")&amp;"-2025"</f>
        <v/>
      </c>
      <c r="G162" s="67" t="n"/>
      <c r="H162">
        <f>F162=G162</f>
        <v/>
      </c>
    </row>
    <row r="163" ht="13.5" customHeight="1" thickBot="1">
      <c r="C163" s="305" t="n"/>
      <c r="D163">
        <f>VLOOKUP(B163,$C$4:$C$482,1,FALSE)</f>
        <v/>
      </c>
      <c r="F163">
        <f>"VI-"&amp;TEXT(E163,"000000")&amp;"-2025"</f>
        <v/>
      </c>
      <c r="G163" s="12" t="n"/>
      <c r="H163">
        <f>F163=G163</f>
        <v/>
      </c>
    </row>
    <row r="164" ht="13.5" customHeight="1" thickBot="1">
      <c r="C164" s="288" t="n"/>
      <c r="D164">
        <f>VLOOKUP(B164,$C$4:$C$482,1,FALSE)</f>
        <v/>
      </c>
      <c r="F164">
        <f>"VI-"&amp;TEXT(E164,"000000")&amp;"-2025"</f>
        <v/>
      </c>
      <c r="G164" s="96" t="n"/>
      <c r="H164">
        <f>F164=G164</f>
        <v/>
      </c>
    </row>
    <row r="165">
      <c r="C165" s="297" t="n"/>
      <c r="D165">
        <f>VLOOKUP(B165,$C$4:$C$482,1,FALSE)</f>
        <v/>
      </c>
      <c r="F165">
        <f>"VI-"&amp;TEXT(E165,"000000")&amp;"-2025"</f>
        <v/>
      </c>
      <c r="G165" s="67" t="n"/>
      <c r="H165">
        <f>F165=G165</f>
        <v/>
      </c>
    </row>
    <row r="166" ht="13.5" customHeight="1" thickBot="1">
      <c r="C166" s="305" t="n"/>
      <c r="D166">
        <f>VLOOKUP(B166,$C$4:$C$482,1,FALSE)</f>
        <v/>
      </c>
      <c r="F166">
        <f>"VI-"&amp;TEXT(E166,"000000")&amp;"-2025"</f>
        <v/>
      </c>
      <c r="G166" s="12" t="n"/>
      <c r="H166">
        <f>F166=G166</f>
        <v/>
      </c>
    </row>
    <row r="167" ht="13.5" customHeight="1" thickBot="1">
      <c r="C167" s="288" t="n"/>
      <c r="D167">
        <f>VLOOKUP(B167,$C$4:$C$482,1,FALSE)</f>
        <v/>
      </c>
      <c r="F167">
        <f>"VI-"&amp;TEXT(E167,"000000")&amp;"-2025"</f>
        <v/>
      </c>
      <c r="G167" s="96" t="n"/>
      <c r="H167">
        <f>F167=G167</f>
        <v/>
      </c>
    </row>
    <row r="168">
      <c r="C168" s="297" t="n"/>
      <c r="D168">
        <f>VLOOKUP(B168,$C$4:$C$482,1,FALSE)</f>
        <v/>
      </c>
      <c r="F168">
        <f>"VI-"&amp;TEXT(E168,"000000")&amp;"-2025"</f>
        <v/>
      </c>
      <c r="G168" s="67" t="n"/>
      <c r="H168">
        <f>F168=G168</f>
        <v/>
      </c>
    </row>
    <row r="169" ht="13.5" customHeight="1" thickBot="1">
      <c r="C169" s="305" t="n"/>
      <c r="D169">
        <f>VLOOKUP(B169,$C$4:$C$482,1,FALSE)</f>
        <v/>
      </c>
      <c r="F169">
        <f>"VI-"&amp;TEXT(E169,"000000")&amp;"-2025"</f>
        <v/>
      </c>
      <c r="G169" s="12" t="n"/>
      <c r="H169">
        <f>F169=G169</f>
        <v/>
      </c>
    </row>
    <row r="170" ht="13.5" customHeight="1" thickBot="1">
      <c r="C170" s="288" t="n"/>
      <c r="D170">
        <f>VLOOKUP(B170,$C$4:$C$482,1,FALSE)</f>
        <v/>
      </c>
      <c r="F170">
        <f>"VI-"&amp;TEXT(E170,"000000")&amp;"-2025"</f>
        <v/>
      </c>
      <c r="G170" s="96" t="n"/>
      <c r="H170">
        <f>F170=G170</f>
        <v/>
      </c>
    </row>
    <row r="171">
      <c r="C171" s="297" t="n"/>
      <c r="D171">
        <f>VLOOKUP(B171,$C$4:$C$482,1,FALSE)</f>
        <v/>
      </c>
      <c r="F171">
        <f>"VI-"&amp;TEXT(E171,"000000")&amp;"-2025"</f>
        <v/>
      </c>
      <c r="G171" s="67" t="n"/>
      <c r="H171">
        <f>F171=G171</f>
        <v/>
      </c>
    </row>
    <row r="172" ht="13.5" customHeight="1" thickBot="1">
      <c r="C172" s="305" t="n"/>
      <c r="D172">
        <f>VLOOKUP(B172,$C$4:$C$482,1,FALSE)</f>
        <v/>
      </c>
      <c r="F172">
        <f>"VI-"&amp;TEXT(E172,"000000")&amp;"-2025"</f>
        <v/>
      </c>
      <c r="G172" s="12" t="n"/>
      <c r="H172">
        <f>F172=G172</f>
        <v/>
      </c>
    </row>
    <row r="173" ht="13.5" customHeight="1" thickBot="1">
      <c r="C173" s="288" t="n"/>
      <c r="D173">
        <f>VLOOKUP(B173,$C$4:$C$482,1,FALSE)</f>
        <v/>
      </c>
      <c r="F173">
        <f>"VI-"&amp;TEXT(E173,"000000")&amp;"-2025"</f>
        <v/>
      </c>
      <c r="G173" s="96" t="n"/>
      <c r="H173">
        <f>F173=G173</f>
        <v/>
      </c>
    </row>
    <row r="174">
      <c r="C174" s="297" t="n"/>
      <c r="D174">
        <f>VLOOKUP(B174,$C$4:$C$482,1,FALSE)</f>
        <v/>
      </c>
      <c r="F174">
        <f>"VI-"&amp;TEXT(E174,"000000")&amp;"-2025"</f>
        <v/>
      </c>
      <c r="G174" s="67" t="n"/>
      <c r="H174">
        <f>F174=G174</f>
        <v/>
      </c>
    </row>
    <row r="175" ht="13.5" customHeight="1" thickBot="1">
      <c r="C175" s="305" t="n"/>
      <c r="D175">
        <f>VLOOKUP(B175,$C$4:$C$482,1,FALSE)</f>
        <v/>
      </c>
      <c r="F175">
        <f>"VI-"&amp;TEXT(E175,"000000")&amp;"-2025"</f>
        <v/>
      </c>
      <c r="G175" s="12" t="n"/>
      <c r="H175">
        <f>F175=G175</f>
        <v/>
      </c>
    </row>
    <row r="176" ht="13.5" customHeight="1" thickBot="1">
      <c r="C176" s="288" t="n"/>
      <c r="D176">
        <f>VLOOKUP(B176,$C$4:$C$482,1,FALSE)</f>
        <v/>
      </c>
      <c r="F176">
        <f>"VI-"&amp;TEXT(E176,"000000")&amp;"-2025"</f>
        <v/>
      </c>
      <c r="G176" s="96" t="n"/>
      <c r="H176">
        <f>F176=G176</f>
        <v/>
      </c>
    </row>
    <row r="177">
      <c r="C177" s="297" t="n"/>
      <c r="D177">
        <f>VLOOKUP(B177,$C$4:$C$482,1,FALSE)</f>
        <v/>
      </c>
      <c r="F177">
        <f>"VI-"&amp;TEXT(E177,"000000")&amp;"-2025"</f>
        <v/>
      </c>
      <c r="G177" s="67" t="n"/>
      <c r="H177">
        <f>F177=G177</f>
        <v/>
      </c>
    </row>
    <row r="178" ht="13.5" customHeight="1" thickBot="1">
      <c r="C178" s="305" t="n"/>
      <c r="D178">
        <f>VLOOKUP(B178,$C$4:$C$482,1,FALSE)</f>
        <v/>
      </c>
      <c r="F178">
        <f>"VI-"&amp;TEXT(E178,"000000")&amp;"-2025"</f>
        <v/>
      </c>
      <c r="G178" s="12" t="n"/>
      <c r="H178">
        <f>F178=G178</f>
        <v/>
      </c>
    </row>
    <row r="179" ht="13.5" customHeight="1" thickBot="1">
      <c r="C179" s="288" t="n"/>
      <c r="D179">
        <f>VLOOKUP(B179,$C$4:$C$482,1,FALSE)</f>
        <v/>
      </c>
      <c r="F179">
        <f>"VI-"&amp;TEXT(E179,"000000")&amp;"-2025"</f>
        <v/>
      </c>
      <c r="G179" s="96" t="n"/>
      <c r="H179">
        <f>F179=G179</f>
        <v/>
      </c>
    </row>
    <row r="180">
      <c r="C180" s="297" t="n"/>
      <c r="D180">
        <f>VLOOKUP(B180,$C$4:$C$482,1,FALSE)</f>
        <v/>
      </c>
      <c r="F180">
        <f>"VI-"&amp;TEXT(E180,"000000")&amp;"-2025"</f>
        <v/>
      </c>
      <c r="G180" s="67" t="n"/>
      <c r="H180">
        <f>F180=G180</f>
        <v/>
      </c>
    </row>
    <row r="181" ht="13.5" customHeight="1" thickBot="1">
      <c r="C181" s="305" t="n"/>
      <c r="D181">
        <f>VLOOKUP(B181,$C$4:$C$482,1,FALSE)</f>
        <v/>
      </c>
      <c r="F181">
        <f>"VI-"&amp;TEXT(E181,"000000")&amp;"-2025"</f>
        <v/>
      </c>
      <c r="G181" s="12" t="n"/>
      <c r="H181">
        <f>F181=G181</f>
        <v/>
      </c>
    </row>
    <row r="182" ht="13.5" customHeight="1" thickBot="1">
      <c r="C182" s="288" t="n"/>
      <c r="D182">
        <f>VLOOKUP(B182,$C$4:$C$482,1,FALSE)</f>
        <v/>
      </c>
      <c r="F182">
        <f>"VI-"&amp;TEXT(E182,"000000")&amp;"-2025"</f>
        <v/>
      </c>
      <c r="G182" s="96" t="n"/>
      <c r="H182">
        <f>F182=G182</f>
        <v/>
      </c>
    </row>
    <row r="183">
      <c r="C183" s="297" t="n"/>
      <c r="D183">
        <f>VLOOKUP(B183,$C$4:$C$482,1,FALSE)</f>
        <v/>
      </c>
      <c r="F183">
        <f>"VI-"&amp;TEXT(E183,"000000")&amp;"-2025"</f>
        <v/>
      </c>
      <c r="G183" s="67" t="n"/>
      <c r="H183">
        <f>F183=G183</f>
        <v/>
      </c>
    </row>
    <row r="184" ht="13.5" customHeight="1" thickBot="1">
      <c r="C184" s="305" t="n"/>
      <c r="D184">
        <f>VLOOKUP(B184,$C$4:$C$482,1,FALSE)</f>
        <v/>
      </c>
      <c r="F184">
        <f>"VI-"&amp;TEXT(E184,"000000")&amp;"-2025"</f>
        <v/>
      </c>
      <c r="G184" s="12" t="n"/>
      <c r="H184">
        <f>F184=G184</f>
        <v/>
      </c>
    </row>
    <row r="185" ht="13.5" customHeight="1" thickBot="1">
      <c r="C185" s="288" t="n"/>
      <c r="D185">
        <f>VLOOKUP(B185,$C$4:$C$482,1,FALSE)</f>
        <v/>
      </c>
      <c r="F185">
        <f>"VI-"&amp;TEXT(E185,"000000")&amp;"-2025"</f>
        <v/>
      </c>
      <c r="G185" s="96" t="n"/>
      <c r="H185">
        <f>F185=G185</f>
        <v/>
      </c>
    </row>
    <row r="186">
      <c r="C186" s="297" t="n"/>
      <c r="D186">
        <f>VLOOKUP(B186,$C$4:$C$482,1,FALSE)</f>
        <v/>
      </c>
      <c r="F186">
        <f>"VI-"&amp;TEXT(E186,"000000")&amp;"-2025"</f>
        <v/>
      </c>
      <c r="G186" s="67" t="n"/>
      <c r="H186">
        <f>F186=G186</f>
        <v/>
      </c>
    </row>
    <row r="187" ht="13.5" customHeight="1" thickBot="1">
      <c r="C187" s="305" t="n"/>
      <c r="D187">
        <f>VLOOKUP(B187,$C$4:$C$482,1,FALSE)</f>
        <v/>
      </c>
      <c r="F187">
        <f>"VI-"&amp;TEXT(E187,"000000")&amp;"-2025"</f>
        <v/>
      </c>
      <c r="G187" s="12" t="n"/>
      <c r="H187">
        <f>F187=G187</f>
        <v/>
      </c>
    </row>
    <row r="188" ht="13.5" customHeight="1" thickBot="1">
      <c r="C188" s="288" t="n"/>
      <c r="D188">
        <f>VLOOKUP(B188,$C$4:$C$482,1,FALSE)</f>
        <v/>
      </c>
      <c r="F188">
        <f>"VI-"&amp;TEXT(E188,"000000")&amp;"-2025"</f>
        <v/>
      </c>
      <c r="G188" s="96" t="n"/>
      <c r="H188">
        <f>F188=G188</f>
        <v/>
      </c>
    </row>
    <row r="189">
      <c r="C189" s="297" t="n"/>
      <c r="D189">
        <f>VLOOKUP(B189,$C$4:$C$482,1,FALSE)</f>
        <v/>
      </c>
      <c r="F189">
        <f>"VI-"&amp;TEXT(E189,"000000")&amp;"-2025"</f>
        <v/>
      </c>
      <c r="G189" s="67" t="n"/>
      <c r="H189">
        <f>F189=G189</f>
        <v/>
      </c>
    </row>
    <row r="190" ht="13.5" customHeight="1" thickBot="1">
      <c r="C190" s="305" t="n"/>
      <c r="D190">
        <f>VLOOKUP(B190,$C$4:$C$482,1,FALSE)</f>
        <v/>
      </c>
      <c r="F190">
        <f>"VI-"&amp;TEXT(E190,"000000")&amp;"-2025"</f>
        <v/>
      </c>
      <c r="G190" s="12" t="n"/>
      <c r="H190">
        <f>F190=G190</f>
        <v/>
      </c>
    </row>
    <row r="191" ht="13.5" customHeight="1" thickBot="1">
      <c r="C191" s="288" t="n"/>
      <c r="D191">
        <f>VLOOKUP(B191,$C$4:$C$482,1,FALSE)</f>
        <v/>
      </c>
      <c r="F191">
        <f>"VI-"&amp;TEXT(E191,"000000")&amp;"-2025"</f>
        <v/>
      </c>
      <c r="G191" s="96" t="n"/>
      <c r="H191">
        <f>F191=G191</f>
        <v/>
      </c>
    </row>
    <row r="192">
      <c r="C192" s="297" t="n"/>
      <c r="D192">
        <f>VLOOKUP(B192,$C$4:$C$482,1,FALSE)</f>
        <v/>
      </c>
      <c r="F192">
        <f>"VI-"&amp;TEXT(E192,"000000")&amp;"-2025"</f>
        <v/>
      </c>
      <c r="G192" s="67" t="n"/>
      <c r="H192">
        <f>F192=G192</f>
        <v/>
      </c>
    </row>
    <row r="193" ht="13.5" customHeight="1" thickBot="1">
      <c r="C193" s="305" t="n"/>
      <c r="D193">
        <f>VLOOKUP(B193,$C$4:$C$482,1,FALSE)</f>
        <v/>
      </c>
      <c r="F193">
        <f>"VI-"&amp;TEXT(E193,"000000")&amp;"-2025"</f>
        <v/>
      </c>
      <c r="G193" s="12" t="n"/>
      <c r="H193">
        <f>F193=G193</f>
        <v/>
      </c>
    </row>
    <row r="194" ht="13.5" customHeight="1" thickBot="1">
      <c r="C194" s="288" t="n"/>
      <c r="D194">
        <f>VLOOKUP(B194,$C$4:$C$482,1,FALSE)</f>
        <v/>
      </c>
      <c r="F194">
        <f>"VI-"&amp;TEXT(E194,"000000")&amp;"-2025"</f>
        <v/>
      </c>
      <c r="G194" s="96" t="n"/>
      <c r="H194">
        <f>F194=G194</f>
        <v/>
      </c>
    </row>
    <row r="195">
      <c r="C195" s="297" t="n"/>
      <c r="D195">
        <f>VLOOKUP(B195,$C$4:$C$482,1,FALSE)</f>
        <v/>
      </c>
      <c r="F195">
        <f>"VI-"&amp;TEXT(E195,"000000")&amp;"-2025"</f>
        <v/>
      </c>
      <c r="G195" s="67" t="n"/>
      <c r="H195">
        <f>F195=G195</f>
        <v/>
      </c>
    </row>
    <row r="196" ht="13.5" customHeight="1" thickBot="1">
      <c r="C196" s="305" t="n"/>
      <c r="D196">
        <f>VLOOKUP(B196,$C$4:$C$482,1,FALSE)</f>
        <v/>
      </c>
      <c r="F196">
        <f>"VI-"&amp;TEXT(E196,"000000")&amp;"-2025"</f>
        <v/>
      </c>
      <c r="G196" s="12" t="n"/>
      <c r="H196">
        <f>F196=G196</f>
        <v/>
      </c>
    </row>
    <row r="197" ht="13.5" customHeight="1" thickBot="1">
      <c r="C197" s="288" t="n"/>
      <c r="D197">
        <f>VLOOKUP(B197,$C$4:$C$482,1,FALSE)</f>
        <v/>
      </c>
      <c r="F197">
        <f>"VI-"&amp;TEXT(E197,"000000")&amp;"-2025"</f>
        <v/>
      </c>
      <c r="G197" s="96" t="n"/>
      <c r="H197">
        <f>F197=G197</f>
        <v/>
      </c>
    </row>
    <row r="198">
      <c r="C198" s="297" t="n"/>
      <c r="D198">
        <f>VLOOKUP(B198,$C$4:$C$482,1,FALSE)</f>
        <v/>
      </c>
      <c r="F198">
        <f>"VI-"&amp;TEXT(E198,"000000")&amp;"-2025"</f>
        <v/>
      </c>
      <c r="G198" s="67" t="n"/>
      <c r="H198">
        <f>F198=G198</f>
        <v/>
      </c>
    </row>
    <row r="199" ht="13.5" customHeight="1" thickBot="1">
      <c r="C199" s="305" t="n"/>
      <c r="D199">
        <f>VLOOKUP(B199,$C$4:$C$482,1,FALSE)</f>
        <v/>
      </c>
      <c r="F199">
        <f>"VI-"&amp;TEXT(E199,"000000")&amp;"-2025"</f>
        <v/>
      </c>
      <c r="G199" s="12" t="n"/>
      <c r="H199">
        <f>F199=G199</f>
        <v/>
      </c>
    </row>
    <row r="200" ht="13.5" customHeight="1" thickBot="1">
      <c r="C200" s="288" t="n"/>
      <c r="D200">
        <f>VLOOKUP(B200,$C$4:$C$482,1,FALSE)</f>
        <v/>
      </c>
      <c r="F200">
        <f>"VI-"&amp;TEXT(E200,"000000")&amp;"-2025"</f>
        <v/>
      </c>
      <c r="G200" s="96" t="n"/>
      <c r="H200">
        <f>F200=G200</f>
        <v/>
      </c>
    </row>
    <row r="201">
      <c r="C201" s="297" t="n"/>
      <c r="D201">
        <f>VLOOKUP(B201,$C$4:$C$482,1,FALSE)</f>
        <v/>
      </c>
      <c r="F201">
        <f>"VI-"&amp;TEXT(E201,"000000")&amp;"-2025"</f>
        <v/>
      </c>
      <c r="G201" s="67" t="n"/>
      <c r="H201">
        <f>F201=G201</f>
        <v/>
      </c>
    </row>
    <row r="202" ht="13.5" customHeight="1" thickBot="1">
      <c r="C202" s="305" t="n"/>
      <c r="D202">
        <f>VLOOKUP(B202,$C$4:$C$482,1,FALSE)</f>
        <v/>
      </c>
      <c r="F202">
        <f>"VI-"&amp;TEXT(E202,"000000")&amp;"-2025"</f>
        <v/>
      </c>
      <c r="G202" s="12" t="n"/>
      <c r="H202">
        <f>F202=G202</f>
        <v/>
      </c>
    </row>
    <row r="203" ht="13.5" customHeight="1" thickBot="1">
      <c r="C203" s="288" t="n"/>
      <c r="D203">
        <f>VLOOKUP(B203,$C$4:$C$482,1,FALSE)</f>
        <v/>
      </c>
      <c r="F203">
        <f>"VI-"&amp;TEXT(E203,"000000")&amp;"-2025"</f>
        <v/>
      </c>
      <c r="G203" s="96" t="n"/>
      <c r="H203">
        <f>F203=G203</f>
        <v/>
      </c>
    </row>
    <row r="204">
      <c r="C204" s="297" t="n"/>
      <c r="D204">
        <f>VLOOKUP(B204,$C$4:$C$482,1,FALSE)</f>
        <v/>
      </c>
      <c r="F204">
        <f>"VI-"&amp;TEXT(E204,"000000")&amp;"-2025"</f>
        <v/>
      </c>
      <c r="G204" s="67" t="n"/>
      <c r="H204">
        <f>F204=G204</f>
        <v/>
      </c>
    </row>
    <row r="205" ht="13.5" customHeight="1" thickBot="1">
      <c r="C205" s="305" t="n"/>
      <c r="D205">
        <f>VLOOKUP(B205,$C$4:$C$482,1,FALSE)</f>
        <v/>
      </c>
      <c r="F205">
        <f>"VI-"&amp;TEXT(E205,"000000")&amp;"-2025"</f>
        <v/>
      </c>
      <c r="G205" s="12" t="n"/>
      <c r="H205">
        <f>F205=G205</f>
        <v/>
      </c>
    </row>
    <row r="206" ht="13.5" customHeight="1" thickBot="1">
      <c r="C206" s="288" t="n"/>
      <c r="D206">
        <f>VLOOKUP(B206,$C$4:$C$482,1,FALSE)</f>
        <v/>
      </c>
      <c r="F206">
        <f>"VI-"&amp;TEXT(E206,"000000")&amp;"-2025"</f>
        <v/>
      </c>
      <c r="G206" s="96" t="n"/>
      <c r="H206">
        <f>F206=G206</f>
        <v/>
      </c>
    </row>
    <row r="207">
      <c r="C207" s="297" t="n"/>
      <c r="D207">
        <f>VLOOKUP(B207,$C$4:$C$482,1,FALSE)</f>
        <v/>
      </c>
      <c r="F207">
        <f>"VI-"&amp;TEXT(E207,"000000")&amp;"-2025"</f>
        <v/>
      </c>
      <c r="G207" s="67" t="n"/>
      <c r="H207">
        <f>F207=G207</f>
        <v/>
      </c>
    </row>
    <row r="208" ht="13.5" customHeight="1" thickBot="1">
      <c r="C208" s="305" t="n"/>
      <c r="D208">
        <f>VLOOKUP(B208,$C$4:$C$482,1,FALSE)</f>
        <v/>
      </c>
      <c r="F208">
        <f>"VI-"&amp;TEXT(E208,"000000")&amp;"-2025"</f>
        <v/>
      </c>
      <c r="G208" s="12" t="n"/>
      <c r="H208">
        <f>F208=G208</f>
        <v/>
      </c>
    </row>
    <row r="209" ht="13.5" customHeight="1" thickBot="1">
      <c r="C209" s="288" t="n"/>
      <c r="D209">
        <f>VLOOKUP(B209,$C$4:$C$482,1,FALSE)</f>
        <v/>
      </c>
      <c r="F209">
        <f>"VI-"&amp;TEXT(E209,"000000")&amp;"-2025"</f>
        <v/>
      </c>
      <c r="G209" s="96" t="n"/>
      <c r="H209">
        <f>F209=G209</f>
        <v/>
      </c>
    </row>
    <row r="210">
      <c r="C210" s="297" t="n"/>
      <c r="D210">
        <f>VLOOKUP(B210,$C$4:$C$482,1,FALSE)</f>
        <v/>
      </c>
      <c r="F210">
        <f>"VI-"&amp;TEXT(E210,"000000")&amp;"-2025"</f>
        <v/>
      </c>
      <c r="G210" s="67" t="n"/>
      <c r="H210">
        <f>F210=G210</f>
        <v/>
      </c>
    </row>
    <row r="211" ht="13.5" customHeight="1" thickBot="1">
      <c r="C211" s="305" t="n"/>
      <c r="D211">
        <f>VLOOKUP(B211,$C$4:$C$482,1,FALSE)</f>
        <v/>
      </c>
      <c r="F211">
        <f>"VI-"&amp;TEXT(E211,"000000")&amp;"-2025"</f>
        <v/>
      </c>
      <c r="G211" s="12" t="n"/>
      <c r="H211">
        <f>F211=G211</f>
        <v/>
      </c>
    </row>
    <row r="212" ht="13.5" customHeight="1" thickBot="1">
      <c r="C212" s="288" t="n"/>
      <c r="D212">
        <f>VLOOKUP(B212,$C$4:$C$482,1,FALSE)</f>
        <v/>
      </c>
      <c r="F212">
        <f>"VI-"&amp;TEXT(E212,"000000")&amp;"-2025"</f>
        <v/>
      </c>
      <c r="G212" s="96" t="n"/>
      <c r="H212">
        <f>F212=G212</f>
        <v/>
      </c>
    </row>
    <row r="213">
      <c r="C213" s="297" t="n"/>
      <c r="D213">
        <f>VLOOKUP(B213,$C$4:$C$482,1,FALSE)</f>
        <v/>
      </c>
      <c r="F213">
        <f>"VI-"&amp;TEXT(E213,"000000")&amp;"-2025"</f>
        <v/>
      </c>
      <c r="G213" s="67" t="n"/>
      <c r="H213">
        <f>F213=G213</f>
        <v/>
      </c>
    </row>
    <row r="214" ht="13.5" customHeight="1" thickBot="1">
      <c r="C214" s="305" t="n"/>
      <c r="D214">
        <f>VLOOKUP(B214,$C$4:$C$482,1,FALSE)</f>
        <v/>
      </c>
      <c r="F214">
        <f>"VI-"&amp;TEXT(E214,"000000")&amp;"-2025"</f>
        <v/>
      </c>
      <c r="G214" s="12" t="n"/>
      <c r="H214">
        <f>F214=G214</f>
        <v/>
      </c>
    </row>
    <row r="215" ht="13.5" customHeight="1" thickBot="1">
      <c r="C215" s="288" t="n"/>
      <c r="D215">
        <f>VLOOKUP(B215,$C$4:$C$482,1,FALSE)</f>
        <v/>
      </c>
      <c r="F215">
        <f>"VI-"&amp;TEXT(E215,"000000")&amp;"-2025"</f>
        <v/>
      </c>
      <c r="G215" s="96" t="n"/>
      <c r="H215">
        <f>F215=G215</f>
        <v/>
      </c>
    </row>
    <row r="216">
      <c r="C216" s="297" t="n"/>
      <c r="D216">
        <f>VLOOKUP(B216,$C$4:$C$482,1,FALSE)</f>
        <v/>
      </c>
      <c r="F216">
        <f>"VI-"&amp;TEXT(E216,"000000")&amp;"-2025"</f>
        <v/>
      </c>
      <c r="G216" s="67" t="n"/>
      <c r="H216">
        <f>F216=G216</f>
        <v/>
      </c>
    </row>
    <row r="217" ht="13.5" customHeight="1" thickBot="1">
      <c r="C217" s="305" t="n"/>
      <c r="D217">
        <f>VLOOKUP(B217,$C$4:$C$482,1,FALSE)</f>
        <v/>
      </c>
      <c r="F217">
        <f>"VI-"&amp;TEXT(E217,"000000")&amp;"-2025"</f>
        <v/>
      </c>
      <c r="G217" s="12" t="n"/>
      <c r="H217">
        <f>F217=G217</f>
        <v/>
      </c>
    </row>
    <row r="218" ht="13.5" customHeight="1" thickBot="1">
      <c r="C218" s="288" t="n"/>
      <c r="D218">
        <f>VLOOKUP(B218,$C$4:$C$482,1,FALSE)</f>
        <v/>
      </c>
      <c r="F218">
        <f>"VI-"&amp;TEXT(E218,"000000")&amp;"-2025"</f>
        <v/>
      </c>
      <c r="G218" s="96" t="n"/>
      <c r="H218">
        <f>F218=G218</f>
        <v/>
      </c>
    </row>
    <row r="219">
      <c r="C219" s="297" t="n"/>
      <c r="D219">
        <f>VLOOKUP(B219,$C$4:$C$482,1,FALSE)</f>
        <v/>
      </c>
      <c r="F219">
        <f>"VI-"&amp;TEXT(E219,"000000")&amp;"-2025"</f>
        <v/>
      </c>
      <c r="G219" s="67" t="n"/>
      <c r="H219">
        <f>F219=G219</f>
        <v/>
      </c>
    </row>
    <row r="220" ht="13.5" customHeight="1" thickBot="1">
      <c r="C220" s="305" t="n"/>
      <c r="D220">
        <f>VLOOKUP(B220,$C$4:$C$482,1,FALSE)</f>
        <v/>
      </c>
      <c r="F220">
        <f>"VI-"&amp;TEXT(E220,"000000")&amp;"-2025"</f>
        <v/>
      </c>
      <c r="G220" s="12" t="n"/>
      <c r="H220">
        <f>F220=G220</f>
        <v/>
      </c>
    </row>
    <row r="221" ht="13.5" customHeight="1" thickBot="1">
      <c r="C221" s="288" t="n"/>
      <c r="D221">
        <f>VLOOKUP(B221,$C$4:$C$482,1,FALSE)</f>
        <v/>
      </c>
      <c r="F221">
        <f>"VI-"&amp;TEXT(E221,"000000")&amp;"-2025"</f>
        <v/>
      </c>
      <c r="G221" s="96" t="n"/>
      <c r="H221">
        <f>F221=G221</f>
        <v/>
      </c>
    </row>
    <row r="222">
      <c r="C222" s="297" t="n"/>
      <c r="D222">
        <f>VLOOKUP(B222,$C$4:$C$482,1,FALSE)</f>
        <v/>
      </c>
      <c r="F222">
        <f>"VI-"&amp;TEXT(E222,"000000")&amp;"-2025"</f>
        <v/>
      </c>
      <c r="G222" s="67" t="n"/>
      <c r="H222">
        <f>F222=G222</f>
        <v/>
      </c>
    </row>
    <row r="223" ht="13.5" customHeight="1" thickBot="1">
      <c r="C223" s="305" t="n"/>
      <c r="D223">
        <f>VLOOKUP(B223,$C$4:$C$482,1,FALSE)</f>
        <v/>
      </c>
      <c r="F223">
        <f>"VI-"&amp;TEXT(E223,"000000")&amp;"-2025"</f>
        <v/>
      </c>
      <c r="G223" s="12" t="n"/>
      <c r="H223">
        <f>F223=G223</f>
        <v/>
      </c>
    </row>
    <row r="224" ht="13.5" customHeight="1" thickBot="1">
      <c r="C224" s="288" t="n"/>
      <c r="D224">
        <f>VLOOKUP(B224,$C$4:$C$482,1,FALSE)</f>
        <v/>
      </c>
      <c r="F224">
        <f>"VI-"&amp;TEXT(E224,"000000")&amp;"-2025"</f>
        <v/>
      </c>
      <c r="G224" s="96" t="n"/>
      <c r="H224">
        <f>F224=G224</f>
        <v/>
      </c>
    </row>
    <row r="225">
      <c r="C225" s="297" t="n"/>
      <c r="D225">
        <f>VLOOKUP(B225,$C$4:$C$482,1,FALSE)</f>
        <v/>
      </c>
      <c r="F225">
        <f>"VI-"&amp;TEXT(E225,"000000")&amp;"-2025"</f>
        <v/>
      </c>
      <c r="G225" s="67" t="n"/>
      <c r="H225">
        <f>F225=G225</f>
        <v/>
      </c>
    </row>
    <row r="226" ht="13.5" customHeight="1" thickBot="1">
      <c r="C226" s="305" t="n"/>
      <c r="D226">
        <f>VLOOKUP(B226,$C$4:$C$482,1,FALSE)</f>
        <v/>
      </c>
      <c r="F226">
        <f>"VI-"&amp;TEXT(E226,"000000")&amp;"-2025"</f>
        <v/>
      </c>
      <c r="G226" s="12" t="n"/>
      <c r="H226">
        <f>F226=G226</f>
        <v/>
      </c>
    </row>
    <row r="227" ht="13.5" customHeight="1" thickBot="1">
      <c r="C227" s="288" t="n"/>
      <c r="D227">
        <f>VLOOKUP(B227,$C$4:$C$482,1,FALSE)</f>
        <v/>
      </c>
      <c r="F227">
        <f>"VI-"&amp;TEXT(E227,"000000")&amp;"-2025"</f>
        <v/>
      </c>
      <c r="G227" s="96" t="n"/>
      <c r="H227">
        <f>F227=G227</f>
        <v/>
      </c>
    </row>
    <row r="228">
      <c r="C228" s="297" t="n"/>
      <c r="D228">
        <f>VLOOKUP(B228,$C$4:$C$482,1,FALSE)</f>
        <v/>
      </c>
      <c r="F228">
        <f>"VI-"&amp;TEXT(E228,"000000")&amp;"-2025"</f>
        <v/>
      </c>
      <c r="G228" s="67" t="n"/>
      <c r="H228">
        <f>F228=G228</f>
        <v/>
      </c>
    </row>
    <row r="229" ht="13.5" customHeight="1" thickBot="1">
      <c r="C229" s="305" t="n"/>
      <c r="D229">
        <f>VLOOKUP(B229,$C$4:$C$482,1,FALSE)</f>
        <v/>
      </c>
      <c r="F229">
        <f>"VI-"&amp;TEXT(E229,"000000")&amp;"-2025"</f>
        <v/>
      </c>
      <c r="G229" s="12" t="n"/>
      <c r="H229">
        <f>F229=G229</f>
        <v/>
      </c>
    </row>
    <row r="230" ht="13.5" customHeight="1" thickBot="1">
      <c r="C230" s="288" t="n"/>
      <c r="D230">
        <f>VLOOKUP(B230,$C$4:$C$482,1,FALSE)</f>
        <v/>
      </c>
      <c r="F230">
        <f>"VI-"&amp;TEXT(E230,"000000")&amp;"-2025"</f>
        <v/>
      </c>
      <c r="G230" s="96" t="n"/>
      <c r="H230">
        <f>F230=G230</f>
        <v/>
      </c>
    </row>
    <row r="231">
      <c r="C231" s="297" t="n"/>
      <c r="D231">
        <f>VLOOKUP(B231,$C$4:$C$482,1,FALSE)</f>
        <v/>
      </c>
      <c r="F231">
        <f>"VI-"&amp;TEXT(E231,"000000")&amp;"-2025"</f>
        <v/>
      </c>
      <c r="G231" s="67" t="n"/>
      <c r="H231">
        <f>F231=G231</f>
        <v/>
      </c>
    </row>
    <row r="232" ht="13.5" customHeight="1" thickBot="1">
      <c r="C232" s="305" t="n"/>
      <c r="D232">
        <f>VLOOKUP(B232,$C$4:$C$482,1,FALSE)</f>
        <v/>
      </c>
      <c r="F232">
        <f>"VI-"&amp;TEXT(E232,"000000")&amp;"-2025"</f>
        <v/>
      </c>
      <c r="G232" s="12" t="n"/>
      <c r="H232">
        <f>F232=G232</f>
        <v/>
      </c>
    </row>
    <row r="233" ht="13.5" customHeight="1" thickBot="1">
      <c r="C233" s="288" t="n"/>
      <c r="D233">
        <f>VLOOKUP(B233,$C$4:$C$482,1,FALSE)</f>
        <v/>
      </c>
      <c r="F233">
        <f>"VI-"&amp;TEXT(E233,"000000")&amp;"-2025"</f>
        <v/>
      </c>
      <c r="G233" s="96" t="n"/>
      <c r="H233">
        <f>F233=G233</f>
        <v/>
      </c>
    </row>
    <row r="234">
      <c r="C234" s="297" t="n"/>
      <c r="D234">
        <f>VLOOKUP(B234,$C$4:$C$482,1,FALSE)</f>
        <v/>
      </c>
      <c r="F234">
        <f>"VI-"&amp;TEXT(E234,"000000")&amp;"-2025"</f>
        <v/>
      </c>
      <c r="G234" s="67" t="n"/>
      <c r="H234">
        <f>F234=G234</f>
        <v/>
      </c>
    </row>
    <row r="235" ht="13.5" customHeight="1" thickBot="1">
      <c r="C235" s="305" t="n"/>
      <c r="D235">
        <f>VLOOKUP(B235,$C$4:$C$482,1,FALSE)</f>
        <v/>
      </c>
      <c r="F235">
        <f>"VI-"&amp;TEXT(E235,"000000")&amp;"-2025"</f>
        <v/>
      </c>
      <c r="G235" s="12" t="n"/>
      <c r="H235">
        <f>F235=G235</f>
        <v/>
      </c>
    </row>
    <row r="236" ht="13.5" customHeight="1" thickBot="1">
      <c r="C236" s="288" t="n"/>
      <c r="D236">
        <f>VLOOKUP(B236,$C$4:$C$482,1,FALSE)</f>
        <v/>
      </c>
      <c r="F236">
        <f>"VI-"&amp;TEXT(E236,"000000")&amp;"-2025"</f>
        <v/>
      </c>
      <c r="G236" s="96" t="n"/>
      <c r="H236">
        <f>F236=G236</f>
        <v/>
      </c>
    </row>
    <row r="237">
      <c r="C237" s="297" t="n"/>
      <c r="D237">
        <f>VLOOKUP(B237,$C$4:$C$482,1,FALSE)</f>
        <v/>
      </c>
      <c r="F237">
        <f>"VI-"&amp;TEXT(E237,"000000")&amp;"-2025"</f>
        <v/>
      </c>
      <c r="G237" s="67" t="n"/>
      <c r="H237">
        <f>F237=G237</f>
        <v/>
      </c>
    </row>
    <row r="238" ht="13.5" customHeight="1" thickBot="1">
      <c r="C238" s="305" t="n"/>
      <c r="D238">
        <f>VLOOKUP(B238,$C$4:$C$482,1,FALSE)</f>
        <v/>
      </c>
      <c r="F238">
        <f>"VI-"&amp;TEXT(E238,"000000")&amp;"-2025"</f>
        <v/>
      </c>
      <c r="G238" s="12" t="n"/>
      <c r="H238">
        <f>F238=G238</f>
        <v/>
      </c>
    </row>
    <row r="239" ht="13.5" customHeight="1" thickBot="1">
      <c r="C239" s="288" t="n"/>
      <c r="D239">
        <f>VLOOKUP(B239,$C$4:$C$482,1,FALSE)</f>
        <v/>
      </c>
      <c r="F239">
        <f>"VI-"&amp;TEXT(E239,"000000")&amp;"-2025"</f>
        <v/>
      </c>
      <c r="G239" s="96" t="n"/>
      <c r="H239">
        <f>F239=G239</f>
        <v/>
      </c>
    </row>
    <row r="240">
      <c r="C240" s="297" t="n"/>
      <c r="D240">
        <f>VLOOKUP(B240,$C$4:$C$482,1,FALSE)</f>
        <v/>
      </c>
      <c r="F240">
        <f>"VI-"&amp;TEXT(E240,"000000")&amp;"-2025"</f>
        <v/>
      </c>
      <c r="G240" s="67" t="n"/>
      <c r="H240">
        <f>F240=G240</f>
        <v/>
      </c>
    </row>
    <row r="241" ht="13.5" customHeight="1" thickBot="1">
      <c r="C241" s="305" t="n"/>
      <c r="D241">
        <f>VLOOKUP(B241,$C$4:$C$482,1,FALSE)</f>
        <v/>
      </c>
      <c r="F241">
        <f>"VI-"&amp;TEXT(E241,"000000")&amp;"-2025"</f>
        <v/>
      </c>
      <c r="G241" s="12" t="n"/>
      <c r="H241">
        <f>F241=G241</f>
        <v/>
      </c>
    </row>
    <row r="242" ht="13.5" customHeight="1" thickBot="1">
      <c r="C242" s="288" t="n"/>
      <c r="D242">
        <f>VLOOKUP(B242,$C$4:$C$482,1,FALSE)</f>
        <v/>
      </c>
      <c r="F242">
        <f>"VI-"&amp;TEXT(E242,"000000")&amp;"-2025"</f>
        <v/>
      </c>
      <c r="G242" s="96" t="n"/>
      <c r="H242">
        <f>F242=G242</f>
        <v/>
      </c>
    </row>
    <row r="243">
      <c r="C243" s="297" t="n"/>
      <c r="D243">
        <f>VLOOKUP(B243,$C$4:$C$482,1,FALSE)</f>
        <v/>
      </c>
      <c r="F243">
        <f>"VI-"&amp;TEXT(E243,"000000")&amp;"-2025"</f>
        <v/>
      </c>
      <c r="G243" s="67" t="n"/>
      <c r="H243">
        <f>F243=G243</f>
        <v/>
      </c>
    </row>
    <row r="244" ht="13.5" customHeight="1" thickBot="1">
      <c r="C244" s="305" t="n"/>
      <c r="D244">
        <f>VLOOKUP(B244,$C$4:$C$482,1,FALSE)</f>
        <v/>
      </c>
      <c r="F244">
        <f>"VI-"&amp;TEXT(E244,"000000")&amp;"-2025"</f>
        <v/>
      </c>
      <c r="G244" s="12" t="n"/>
      <c r="H244">
        <f>F244=G244</f>
        <v/>
      </c>
    </row>
    <row r="245" ht="13.5" customHeight="1" thickBot="1">
      <c r="C245" s="288" t="n"/>
      <c r="D245">
        <f>VLOOKUP(B245,$C$4:$C$482,1,FALSE)</f>
        <v/>
      </c>
      <c r="F245">
        <f>"VI-"&amp;TEXT(E245,"000000")&amp;"-2025"</f>
        <v/>
      </c>
      <c r="G245" s="96" t="n"/>
      <c r="H245">
        <f>F245=G245</f>
        <v/>
      </c>
    </row>
    <row r="246">
      <c r="C246" s="297" t="n"/>
      <c r="D246">
        <f>VLOOKUP(B246,$C$4:$C$482,1,FALSE)</f>
        <v/>
      </c>
      <c r="F246">
        <f>"VI-"&amp;TEXT(E246,"000000")&amp;"-2025"</f>
        <v/>
      </c>
      <c r="G246" s="67" t="n"/>
      <c r="H246">
        <f>F246=G246</f>
        <v/>
      </c>
    </row>
    <row r="247" ht="13.5" customHeight="1" thickBot="1">
      <c r="C247" s="305" t="n"/>
      <c r="D247">
        <f>VLOOKUP(B247,$C$4:$C$482,1,FALSE)</f>
        <v/>
      </c>
      <c r="F247">
        <f>"VI-"&amp;TEXT(E247,"000000")&amp;"-2025"</f>
        <v/>
      </c>
      <c r="G247" s="12" t="n"/>
      <c r="H247">
        <f>F247=G247</f>
        <v/>
      </c>
    </row>
    <row r="248" ht="13.5" customHeight="1" thickBot="1">
      <c r="C248" s="288" t="n"/>
      <c r="D248">
        <f>VLOOKUP(B248,$C$4:$C$482,1,FALSE)</f>
        <v/>
      </c>
      <c r="F248">
        <f>"VI-"&amp;TEXT(E248,"000000")&amp;"-2025"</f>
        <v/>
      </c>
      <c r="G248" s="96" t="n"/>
      <c r="H248">
        <f>F248=G248</f>
        <v/>
      </c>
    </row>
    <row r="249">
      <c r="C249" s="297" t="n"/>
      <c r="D249">
        <f>VLOOKUP(B249,$C$4:$C$482,1,FALSE)</f>
        <v/>
      </c>
      <c r="F249">
        <f>"VI-"&amp;TEXT(E249,"000000")&amp;"-2025"</f>
        <v/>
      </c>
      <c r="G249" s="67" t="n"/>
      <c r="H249">
        <f>F249=G249</f>
        <v/>
      </c>
    </row>
    <row r="250" ht="13.5" customHeight="1" thickBot="1">
      <c r="C250" s="305" t="n"/>
      <c r="D250">
        <f>VLOOKUP(B250,$C$4:$C$482,1,FALSE)</f>
        <v/>
      </c>
      <c r="F250">
        <f>"VI-"&amp;TEXT(E250,"000000")&amp;"-2025"</f>
        <v/>
      </c>
      <c r="G250" s="12" t="n"/>
      <c r="H250">
        <f>F250=G250</f>
        <v/>
      </c>
    </row>
    <row r="251" ht="13.5" customHeight="1" thickBot="1">
      <c r="C251" s="288" t="n"/>
      <c r="D251">
        <f>VLOOKUP(B251,$C$4:$C$482,1,FALSE)</f>
        <v/>
      </c>
      <c r="F251">
        <f>"VI-"&amp;TEXT(E251,"000000")&amp;"-2025"</f>
        <v/>
      </c>
      <c r="G251" s="96" t="n"/>
      <c r="H251">
        <f>F251=G251</f>
        <v/>
      </c>
    </row>
    <row r="252">
      <c r="C252" s="297" t="n"/>
      <c r="D252">
        <f>VLOOKUP(B252,$C$4:$C$482,1,FALSE)</f>
        <v/>
      </c>
      <c r="F252">
        <f>"VI-"&amp;TEXT(E252,"000000")&amp;"-2025"</f>
        <v/>
      </c>
      <c r="G252" s="67" t="n"/>
      <c r="H252">
        <f>F252=G252</f>
        <v/>
      </c>
    </row>
    <row r="253" ht="13.5" customHeight="1" thickBot="1">
      <c r="C253" s="305" t="n"/>
      <c r="D253">
        <f>VLOOKUP(B253,$C$4:$C$482,1,FALSE)</f>
        <v/>
      </c>
      <c r="F253">
        <f>"VI-"&amp;TEXT(E253,"000000")&amp;"-2025"</f>
        <v/>
      </c>
      <c r="G253" s="12" t="n"/>
      <c r="H253">
        <f>F253=G253</f>
        <v/>
      </c>
    </row>
    <row r="254" ht="13.5" customHeight="1" thickBot="1">
      <c r="C254" s="288" t="n"/>
      <c r="D254">
        <f>VLOOKUP(B254,$C$4:$C$482,1,FALSE)</f>
        <v/>
      </c>
      <c r="F254">
        <f>"VI-"&amp;TEXT(E254,"000000")&amp;"-2025"</f>
        <v/>
      </c>
      <c r="G254" s="96" t="n"/>
      <c r="H254">
        <f>F254=G254</f>
        <v/>
      </c>
    </row>
    <row r="255">
      <c r="C255" s="297" t="n"/>
      <c r="D255">
        <f>VLOOKUP(B255,$C$4:$C$482,1,FALSE)</f>
        <v/>
      </c>
      <c r="F255">
        <f>"VI-"&amp;TEXT(E255,"000000")&amp;"-2025"</f>
        <v/>
      </c>
      <c r="G255" s="67" t="n"/>
      <c r="H255">
        <f>F255=G255</f>
        <v/>
      </c>
    </row>
    <row r="256" ht="13.5" customHeight="1" thickBot="1">
      <c r="C256" s="305" t="n"/>
      <c r="D256">
        <f>VLOOKUP(B256,$C$4:$C$482,1,FALSE)</f>
        <v/>
      </c>
      <c r="F256">
        <f>"VI-"&amp;TEXT(E256,"000000")&amp;"-2025"</f>
        <v/>
      </c>
      <c r="G256" s="12" t="n"/>
      <c r="H256">
        <f>F256=G256</f>
        <v/>
      </c>
    </row>
    <row r="257" ht="13.5" customHeight="1" thickBot="1">
      <c r="C257" s="288" t="n"/>
      <c r="D257">
        <f>VLOOKUP(B257,$C$4:$C$482,1,FALSE)</f>
        <v/>
      </c>
      <c r="F257">
        <f>"VI-"&amp;TEXT(E257,"000000")&amp;"-2025"</f>
        <v/>
      </c>
      <c r="G257" s="96" t="n"/>
      <c r="H257">
        <f>F257=G257</f>
        <v/>
      </c>
    </row>
    <row r="258">
      <c r="C258" s="297" t="n"/>
      <c r="D258">
        <f>VLOOKUP(B258,$C$4:$C$482,1,FALSE)</f>
        <v/>
      </c>
      <c r="F258">
        <f>"VI-"&amp;TEXT(E258,"000000")&amp;"-2025"</f>
        <v/>
      </c>
      <c r="G258" s="67" t="n"/>
      <c r="H258">
        <f>F258=G258</f>
        <v/>
      </c>
    </row>
    <row r="259" ht="13.5" customHeight="1" thickBot="1">
      <c r="C259" s="305" t="n"/>
      <c r="D259">
        <f>VLOOKUP(B259,$C$4:$C$482,1,FALSE)</f>
        <v/>
      </c>
      <c r="F259">
        <f>"VI-"&amp;TEXT(E259,"000000")&amp;"-2025"</f>
        <v/>
      </c>
      <c r="G259" s="12" t="n"/>
      <c r="H259">
        <f>F259=G259</f>
        <v/>
      </c>
    </row>
    <row r="260" ht="13.5" customHeight="1" thickBot="1">
      <c r="C260" s="288" t="n"/>
      <c r="D260">
        <f>VLOOKUP(B260,$C$4:$C$482,1,FALSE)</f>
        <v/>
      </c>
      <c r="F260">
        <f>"VI-"&amp;TEXT(E260,"000000")&amp;"-2025"</f>
        <v/>
      </c>
      <c r="G260" s="96" t="n"/>
      <c r="H260">
        <f>F260=G260</f>
        <v/>
      </c>
    </row>
    <row r="261">
      <c r="C261" s="297" t="n"/>
      <c r="D261">
        <f>VLOOKUP(B261,$C$4:$C$482,1,FALSE)</f>
        <v/>
      </c>
      <c r="F261">
        <f>"VI-"&amp;TEXT(E261,"000000")&amp;"-2025"</f>
        <v/>
      </c>
      <c r="G261" s="67" t="n"/>
      <c r="H261">
        <f>F261=G261</f>
        <v/>
      </c>
    </row>
    <row r="262" ht="13.5" customHeight="1" thickBot="1">
      <c r="C262" s="305" t="n"/>
      <c r="D262">
        <f>VLOOKUP(B262,$C$4:$C$482,1,FALSE)</f>
        <v/>
      </c>
      <c r="F262">
        <f>"VI-"&amp;TEXT(E262,"000000")&amp;"-2025"</f>
        <v/>
      </c>
      <c r="G262" s="12" t="n"/>
      <c r="H262">
        <f>F262=G262</f>
        <v/>
      </c>
    </row>
    <row r="263" ht="13.5" customHeight="1" thickBot="1">
      <c r="C263" s="288" t="n"/>
      <c r="D263">
        <f>VLOOKUP(B263,$C$4:$C$482,1,FALSE)</f>
        <v/>
      </c>
      <c r="F263">
        <f>"VI-"&amp;TEXT(E263,"000000")&amp;"-2025"</f>
        <v/>
      </c>
      <c r="G263" s="96" t="n"/>
      <c r="H263">
        <f>F263=G263</f>
        <v/>
      </c>
    </row>
    <row r="264" ht="13.5" customHeight="1" thickBot="1">
      <c r="C264" s="305" t="n"/>
      <c r="D264">
        <f>VLOOKUP(B264,$C$4:$C$482,1,FALSE)</f>
        <v/>
      </c>
      <c r="F264">
        <f>"VI-"&amp;TEXT(E264,"000000")&amp;"-2025"</f>
        <v/>
      </c>
      <c r="G264" s="67" t="n"/>
      <c r="H264">
        <f>F264=G264</f>
        <v/>
      </c>
    </row>
    <row r="265">
      <c r="C265" s="288" t="n"/>
      <c r="D265">
        <f>VLOOKUP(B265,$C$4:$C$482,1,FALSE)</f>
        <v/>
      </c>
      <c r="F265">
        <f>"VI-"&amp;TEXT(E265,"000000")&amp;"-2025"</f>
        <v/>
      </c>
      <c r="G265" s="12" t="n"/>
      <c r="H265">
        <f>F265=G265</f>
        <v/>
      </c>
    </row>
    <row r="266" ht="13.5" customHeight="1" thickBot="1">
      <c r="C266" s="297" t="n"/>
      <c r="D266">
        <f>VLOOKUP(B266,$C$4:$C$482,1,FALSE)</f>
        <v/>
      </c>
      <c r="F266">
        <f>"VI-"&amp;TEXT(E266,"000000")&amp;"-2025"</f>
        <v/>
      </c>
      <c r="G266" s="96" t="n"/>
      <c r="H266">
        <f>F266=G266</f>
        <v/>
      </c>
    </row>
    <row r="267" ht="13.5" customHeight="1" thickBot="1">
      <c r="C267" s="305" t="n"/>
      <c r="D267">
        <f>VLOOKUP(B267,$C$4:$C$482,1,FALSE)</f>
        <v/>
      </c>
      <c r="F267">
        <f>"VI-"&amp;TEXT(E267,"000000")&amp;"-2025"</f>
        <v/>
      </c>
      <c r="G267" s="67" t="n"/>
      <c r="H267">
        <f>F267=G267</f>
        <v/>
      </c>
    </row>
    <row r="268">
      <c r="C268" s="288" t="n"/>
      <c r="D268">
        <f>VLOOKUP(B268,$C$4:$C$482,1,FALSE)</f>
        <v/>
      </c>
      <c r="F268">
        <f>"VI-"&amp;TEXT(E268,"000000")&amp;"-2025"</f>
        <v/>
      </c>
      <c r="G268" s="12" t="n"/>
      <c r="H268">
        <f>F268=G268</f>
        <v/>
      </c>
    </row>
    <row r="269" ht="13.5" customHeight="1" thickBot="1">
      <c r="C269" s="297" t="n"/>
      <c r="D269">
        <f>VLOOKUP(B269,$C$4:$C$482,1,FALSE)</f>
        <v/>
      </c>
      <c r="F269">
        <f>"VI-"&amp;TEXT(E269,"000000")&amp;"-2025"</f>
        <v/>
      </c>
      <c r="G269" s="96" t="n"/>
      <c r="H269">
        <f>F269=G269</f>
        <v/>
      </c>
    </row>
    <row r="270" ht="13.5" customHeight="1" thickBot="1">
      <c r="C270" s="305" t="n"/>
      <c r="D270">
        <f>VLOOKUP(B270,$C$4:$C$482,1,FALSE)</f>
        <v/>
      </c>
      <c r="F270">
        <f>"VI-"&amp;TEXT(E270,"000000")&amp;"-2025"</f>
        <v/>
      </c>
      <c r="G270" s="67" t="n"/>
      <c r="H270">
        <f>F270=G270</f>
        <v/>
      </c>
    </row>
    <row r="271">
      <c r="C271" s="288" t="n"/>
      <c r="D271">
        <f>VLOOKUP(B271,$C$4:$C$482,1,FALSE)</f>
        <v/>
      </c>
      <c r="F271">
        <f>"VI-"&amp;TEXT(E271,"000000")&amp;"-2025"</f>
        <v/>
      </c>
      <c r="G271" s="12" t="n"/>
      <c r="H271">
        <f>F271=G271</f>
        <v/>
      </c>
    </row>
    <row r="272" ht="13.5" customHeight="1" thickBot="1">
      <c r="C272" s="297" t="n"/>
      <c r="D272">
        <f>VLOOKUP(B272,$C$4:$C$482,1,FALSE)</f>
        <v/>
      </c>
      <c r="F272">
        <f>"VI-"&amp;TEXT(E272,"000000")&amp;"-2025"</f>
        <v/>
      </c>
      <c r="G272" s="96" t="n"/>
      <c r="H272">
        <f>F272=G272</f>
        <v/>
      </c>
    </row>
    <row r="273" ht="13.5" customHeight="1" thickBot="1">
      <c r="C273" s="305" t="n"/>
      <c r="D273">
        <f>VLOOKUP(B273,$C$4:$C$482,1,FALSE)</f>
        <v/>
      </c>
      <c r="F273">
        <f>"VI-"&amp;TEXT(E273,"000000")&amp;"-2025"</f>
        <v/>
      </c>
      <c r="G273" s="67" t="n"/>
      <c r="H273">
        <f>F273=G273</f>
        <v/>
      </c>
    </row>
    <row r="274">
      <c r="C274" s="288" t="n"/>
      <c r="D274">
        <f>VLOOKUP(B274,$C$4:$C$482,1,FALSE)</f>
        <v/>
      </c>
      <c r="F274">
        <f>"VI-"&amp;TEXT(E274,"000000")&amp;"-2025"</f>
        <v/>
      </c>
      <c r="G274" s="12" t="n"/>
      <c r="H274">
        <f>F274=G274</f>
        <v/>
      </c>
    </row>
    <row r="275" ht="13.5" customHeight="1" thickBot="1">
      <c r="C275" s="297" t="n"/>
      <c r="D275">
        <f>VLOOKUP(B275,$C$4:$C$482,1,FALSE)</f>
        <v/>
      </c>
      <c r="F275">
        <f>"VI-"&amp;TEXT(E275,"000000")&amp;"-2025"</f>
        <v/>
      </c>
      <c r="G275" s="96" t="n"/>
      <c r="H275">
        <f>F275=G275</f>
        <v/>
      </c>
    </row>
    <row r="276" ht="13.5" customHeight="1" thickBot="1">
      <c r="C276" s="305" t="n"/>
      <c r="D276">
        <f>VLOOKUP(B276,$C$4:$C$482,1,FALSE)</f>
        <v/>
      </c>
      <c r="F276">
        <f>"VI-"&amp;TEXT(E276,"000000")&amp;"-2025"</f>
        <v/>
      </c>
      <c r="G276" s="67" t="n"/>
      <c r="H276">
        <f>F276=G276</f>
        <v/>
      </c>
    </row>
    <row r="277">
      <c r="C277" s="288" t="n"/>
      <c r="D277">
        <f>VLOOKUP(B277,$C$4:$C$482,1,FALSE)</f>
        <v/>
      </c>
      <c r="F277">
        <f>"VI-"&amp;TEXT(E277,"000000")&amp;"-2025"</f>
        <v/>
      </c>
      <c r="G277" s="12" t="n"/>
      <c r="H277">
        <f>F277=G277</f>
        <v/>
      </c>
    </row>
    <row r="278" ht="13.5" customHeight="1" thickBot="1">
      <c r="C278" s="297" t="n"/>
      <c r="D278">
        <f>VLOOKUP(B278,$C$4:$C$482,1,FALSE)</f>
        <v/>
      </c>
      <c r="F278">
        <f>"VI-"&amp;TEXT(E278,"000000")&amp;"-2025"</f>
        <v/>
      </c>
      <c r="G278" s="96" t="n"/>
      <c r="H278">
        <f>F278=G278</f>
        <v/>
      </c>
    </row>
    <row r="279" ht="13.5" customHeight="1" thickBot="1">
      <c r="C279" s="305" t="n"/>
      <c r="D279">
        <f>VLOOKUP(B279,$C$4:$C$482,1,FALSE)</f>
        <v/>
      </c>
      <c r="F279">
        <f>"VI-"&amp;TEXT(E279,"000000")&amp;"-2025"</f>
        <v/>
      </c>
      <c r="G279" s="67" t="n"/>
      <c r="H279">
        <f>F279=G279</f>
        <v/>
      </c>
    </row>
    <row r="280">
      <c r="C280" s="288" t="n"/>
      <c r="D280">
        <f>VLOOKUP(B280,$C$4:$C$482,1,FALSE)</f>
        <v/>
      </c>
      <c r="F280">
        <f>"VI-"&amp;TEXT(E280,"000000")&amp;"-2025"</f>
        <v/>
      </c>
      <c r="G280" s="12" t="n"/>
      <c r="H280">
        <f>F280=G280</f>
        <v/>
      </c>
    </row>
    <row r="281" ht="13.5" customHeight="1" thickBot="1">
      <c r="C281" s="297" t="n"/>
      <c r="D281">
        <f>VLOOKUP(B281,$C$4:$C$482,1,FALSE)</f>
        <v/>
      </c>
      <c r="F281">
        <f>"VI-"&amp;TEXT(E281,"000000")&amp;"-2025"</f>
        <v/>
      </c>
      <c r="G281" s="96" t="n"/>
      <c r="H281">
        <f>F281=G281</f>
        <v/>
      </c>
    </row>
    <row r="282" ht="13.5" customHeight="1" thickBot="1">
      <c r="C282" s="305" t="n"/>
      <c r="D282">
        <f>VLOOKUP(B282,$C$4:$C$482,1,FALSE)</f>
        <v/>
      </c>
      <c r="F282">
        <f>"VI-"&amp;TEXT(E282,"000000")&amp;"-2025"</f>
        <v/>
      </c>
      <c r="G282" s="67" t="n"/>
      <c r="H282">
        <f>F282=G282</f>
        <v/>
      </c>
    </row>
    <row r="283">
      <c r="C283" s="288" t="n"/>
      <c r="D283">
        <f>VLOOKUP(B283,$C$4:$C$482,1,FALSE)</f>
        <v/>
      </c>
      <c r="F283">
        <f>"VI-"&amp;TEXT(E283,"000000")&amp;"-2025"</f>
        <v/>
      </c>
      <c r="G283" s="12" t="n"/>
      <c r="H283">
        <f>F283=G283</f>
        <v/>
      </c>
    </row>
    <row r="284" ht="13.5" customHeight="1" thickBot="1">
      <c r="C284" s="297" t="n"/>
      <c r="D284">
        <f>VLOOKUP(B284,$C$4:$C$482,1,FALSE)</f>
        <v/>
      </c>
      <c r="F284">
        <f>"VI-"&amp;TEXT(E284,"000000")&amp;"-2025"</f>
        <v/>
      </c>
      <c r="G284" s="96" t="n"/>
      <c r="H284">
        <f>F284=G284</f>
        <v/>
      </c>
    </row>
    <row r="285" ht="13.5" customHeight="1" thickBot="1">
      <c r="C285" s="305" t="n"/>
      <c r="D285">
        <f>VLOOKUP(B285,$C$4:$C$482,1,FALSE)</f>
        <v/>
      </c>
      <c r="F285">
        <f>"VI-"&amp;TEXT(E285,"000000")&amp;"-2025"</f>
        <v/>
      </c>
      <c r="G285" s="67" t="n"/>
      <c r="H285">
        <f>F285=G285</f>
        <v/>
      </c>
    </row>
    <row r="286">
      <c r="C286" s="288" t="n"/>
      <c r="D286">
        <f>VLOOKUP(B286,$C$4:$C$482,1,FALSE)</f>
        <v/>
      </c>
      <c r="F286">
        <f>"VI-"&amp;TEXT(E286,"000000")&amp;"-2025"</f>
        <v/>
      </c>
      <c r="G286" s="12" t="n"/>
      <c r="H286">
        <f>F286=G286</f>
        <v/>
      </c>
    </row>
    <row r="287" ht="13.5" customHeight="1" thickBot="1">
      <c r="C287" s="297" t="n"/>
      <c r="D287">
        <f>VLOOKUP(B287,$C$4:$C$482,1,FALSE)</f>
        <v/>
      </c>
      <c r="F287">
        <f>"VI-"&amp;TEXT(E287,"000000")&amp;"-2025"</f>
        <v/>
      </c>
      <c r="G287" s="96" t="n"/>
      <c r="H287">
        <f>F287=G287</f>
        <v/>
      </c>
    </row>
    <row r="288" ht="13.5" customHeight="1" thickBot="1">
      <c r="C288" s="305" t="n"/>
      <c r="D288">
        <f>VLOOKUP(B288,$C$4:$C$482,1,FALSE)</f>
        <v/>
      </c>
      <c r="F288">
        <f>"VI-"&amp;TEXT(E288,"000000")&amp;"-2025"</f>
        <v/>
      </c>
      <c r="G288" s="67" t="n"/>
      <c r="H288">
        <f>F288=G288</f>
        <v/>
      </c>
    </row>
    <row r="289">
      <c r="C289" s="288" t="n"/>
      <c r="D289">
        <f>VLOOKUP(B289,$C$4:$C$482,1,FALSE)</f>
        <v/>
      </c>
      <c r="F289">
        <f>"VI-"&amp;TEXT(E289,"000000")&amp;"-2025"</f>
        <v/>
      </c>
      <c r="G289" s="12" t="n"/>
      <c r="H289">
        <f>F289=G289</f>
        <v/>
      </c>
    </row>
    <row r="290" ht="13.5" customHeight="1" thickBot="1">
      <c r="C290" s="297" t="n"/>
      <c r="D290">
        <f>VLOOKUP(B290,$C$4:$C$482,1,FALSE)</f>
        <v/>
      </c>
      <c r="F290">
        <f>"VI-"&amp;TEXT(E290,"000000")&amp;"-2025"</f>
        <v/>
      </c>
      <c r="G290" s="96" t="n"/>
      <c r="H290">
        <f>F290=G290</f>
        <v/>
      </c>
    </row>
    <row r="291" ht="13.5" customHeight="1" thickBot="1">
      <c r="C291" s="305" t="n"/>
      <c r="D291">
        <f>VLOOKUP(B291,$C$4:$C$482,1,FALSE)</f>
        <v/>
      </c>
      <c r="F291">
        <f>"VI-"&amp;TEXT(E291,"000000")&amp;"-2025"</f>
        <v/>
      </c>
      <c r="G291" s="67" t="n"/>
      <c r="H291">
        <f>F291=G291</f>
        <v/>
      </c>
    </row>
    <row r="292">
      <c r="C292" s="288" t="n"/>
      <c r="D292">
        <f>VLOOKUP(B292,$C$4:$C$482,1,FALSE)</f>
        <v/>
      </c>
      <c r="F292">
        <f>"VI-"&amp;TEXT(E292,"000000")&amp;"-2025"</f>
        <v/>
      </c>
      <c r="G292" s="12" t="n"/>
      <c r="H292">
        <f>F292=G292</f>
        <v/>
      </c>
    </row>
    <row r="293" ht="13.5" customHeight="1" thickBot="1">
      <c r="C293" s="297" t="n"/>
      <c r="D293">
        <f>VLOOKUP(B293,$C$4:$C$482,1,FALSE)</f>
        <v/>
      </c>
      <c r="F293">
        <f>"VI-"&amp;TEXT(E293,"000000")&amp;"-2025"</f>
        <v/>
      </c>
      <c r="G293" s="96" t="n"/>
      <c r="H293">
        <f>F293=G293</f>
        <v/>
      </c>
    </row>
    <row r="294" ht="13.5" customHeight="1" thickBot="1">
      <c r="C294" s="305" t="n"/>
      <c r="D294">
        <f>VLOOKUP(B294,$C$4:$C$482,1,FALSE)</f>
        <v/>
      </c>
      <c r="F294">
        <f>"VI-"&amp;TEXT(E294,"000000")&amp;"-2025"</f>
        <v/>
      </c>
      <c r="G294" s="67" t="n"/>
      <c r="H294">
        <f>F294=G294</f>
        <v/>
      </c>
    </row>
    <row r="295">
      <c r="C295" s="288" t="n"/>
      <c r="D295">
        <f>VLOOKUP(B295,$C$4:$C$482,1,FALSE)</f>
        <v/>
      </c>
      <c r="F295">
        <f>"VI-"&amp;TEXT(E295,"000000")&amp;"-2025"</f>
        <v/>
      </c>
      <c r="G295" s="12" t="n"/>
      <c r="H295">
        <f>F295=G295</f>
        <v/>
      </c>
    </row>
    <row r="296" ht="13.5" customHeight="1" thickBot="1">
      <c r="C296" s="297" t="n"/>
      <c r="D296">
        <f>VLOOKUP(B296,$C$4:$C$482,1,FALSE)</f>
        <v/>
      </c>
      <c r="F296">
        <f>"VI-"&amp;TEXT(E296,"000000")&amp;"-2025"</f>
        <v/>
      </c>
      <c r="G296" s="96" t="n"/>
      <c r="H296">
        <f>F296=G296</f>
        <v/>
      </c>
    </row>
    <row r="297" ht="13.5" customHeight="1" thickBot="1">
      <c r="C297" s="305" t="n"/>
      <c r="D297">
        <f>VLOOKUP(B297,$C$4:$C$482,1,FALSE)</f>
        <v/>
      </c>
      <c r="F297">
        <f>"VI-"&amp;TEXT(E297,"000000")&amp;"-2025"</f>
        <v/>
      </c>
      <c r="G297" s="67" t="n"/>
      <c r="H297">
        <f>F297=G297</f>
        <v/>
      </c>
    </row>
    <row r="298">
      <c r="C298" s="288" t="n"/>
      <c r="D298">
        <f>VLOOKUP(B298,$C$4:$C$482,1,FALSE)</f>
        <v/>
      </c>
      <c r="F298">
        <f>"VI-"&amp;TEXT(E298,"000000")&amp;"-2025"</f>
        <v/>
      </c>
      <c r="G298" s="12" t="n"/>
      <c r="H298">
        <f>F298=G298</f>
        <v/>
      </c>
    </row>
    <row r="299" ht="13.5" customHeight="1" thickBot="1">
      <c r="C299" s="297" t="n"/>
      <c r="D299">
        <f>VLOOKUP(B299,$C$4:$C$482,1,FALSE)</f>
        <v/>
      </c>
      <c r="F299">
        <f>"VI-"&amp;TEXT(E299,"000000")&amp;"-2025"</f>
        <v/>
      </c>
      <c r="G299" s="96" t="n"/>
      <c r="H299">
        <f>F299=G299</f>
        <v/>
      </c>
    </row>
    <row r="300" ht="13.5" customHeight="1" thickBot="1">
      <c r="C300" s="305" t="n"/>
      <c r="D300">
        <f>VLOOKUP(B300,$C$4:$C$482,1,FALSE)</f>
        <v/>
      </c>
      <c r="F300">
        <f>"VI-"&amp;TEXT(E300,"000000")&amp;"-2025"</f>
        <v/>
      </c>
      <c r="G300" s="67" t="n"/>
      <c r="H300">
        <f>F300=G300</f>
        <v/>
      </c>
    </row>
    <row r="301">
      <c r="C301" s="288" t="n"/>
      <c r="D301">
        <f>VLOOKUP(B301,$C$4:$C$482,1,FALSE)</f>
        <v/>
      </c>
      <c r="F301">
        <f>"VI-"&amp;TEXT(E301,"000000")&amp;"-2025"</f>
        <v/>
      </c>
      <c r="G301" s="12" t="n"/>
      <c r="H301">
        <f>F301=G301</f>
        <v/>
      </c>
    </row>
    <row r="302" ht="13.5" customHeight="1" thickBot="1">
      <c r="C302" s="297" t="n"/>
      <c r="D302">
        <f>VLOOKUP(B302,$C$4:$C$482,1,FALSE)</f>
        <v/>
      </c>
      <c r="F302">
        <f>"VI-"&amp;TEXT(E302,"000000")&amp;"-2025"</f>
        <v/>
      </c>
      <c r="G302" s="96" t="n"/>
      <c r="H302">
        <f>F302=G302</f>
        <v/>
      </c>
    </row>
    <row r="303" ht="13.5" customHeight="1" thickBot="1">
      <c r="C303" s="305" t="n"/>
      <c r="D303">
        <f>VLOOKUP(B303,$C$4:$C$482,1,FALSE)</f>
        <v/>
      </c>
      <c r="F303">
        <f>"VI-"&amp;TEXT(E303,"000000")&amp;"-2025"</f>
        <v/>
      </c>
      <c r="G303" s="67" t="n"/>
      <c r="H303">
        <f>F303=G303</f>
        <v/>
      </c>
    </row>
    <row r="304">
      <c r="C304" s="288" t="n"/>
      <c r="D304">
        <f>VLOOKUP(B304,$C$4:$C$482,1,FALSE)</f>
        <v/>
      </c>
      <c r="F304">
        <f>"VI-"&amp;TEXT(E304,"000000")&amp;"-2025"</f>
        <v/>
      </c>
      <c r="G304" s="12" t="n"/>
      <c r="H304">
        <f>F304=G304</f>
        <v/>
      </c>
    </row>
    <row r="305" ht="13.5" customHeight="1" thickBot="1">
      <c r="C305" s="297" t="n"/>
      <c r="D305">
        <f>VLOOKUP(B305,$C$4:$C$482,1,FALSE)</f>
        <v/>
      </c>
      <c r="F305">
        <f>"VI-"&amp;TEXT(E305,"000000")&amp;"-2025"</f>
        <v/>
      </c>
      <c r="G305" s="96" t="n"/>
      <c r="H305">
        <f>F305=G305</f>
        <v/>
      </c>
    </row>
    <row r="306" ht="13.5" customHeight="1" thickBot="1">
      <c r="C306" s="305" t="n"/>
      <c r="D306">
        <f>VLOOKUP(B306,$C$4:$C$482,1,FALSE)</f>
        <v/>
      </c>
      <c r="F306">
        <f>"VI-"&amp;TEXT(E306,"000000")&amp;"-2025"</f>
        <v/>
      </c>
      <c r="G306" s="67" t="n"/>
      <c r="H306">
        <f>F306=G306</f>
        <v/>
      </c>
    </row>
    <row r="307">
      <c r="C307" s="288" t="n"/>
      <c r="D307">
        <f>VLOOKUP(B307,$C$4:$C$482,1,FALSE)</f>
        <v/>
      </c>
      <c r="F307">
        <f>"VI-"&amp;TEXT(E307,"000000")&amp;"-2025"</f>
        <v/>
      </c>
      <c r="G307" s="12" t="n"/>
      <c r="H307">
        <f>F307=G307</f>
        <v/>
      </c>
    </row>
    <row r="308" ht="13.5" customHeight="1" thickBot="1">
      <c r="C308" s="297" t="n"/>
      <c r="D308">
        <f>VLOOKUP(B308,$C$4:$C$482,1,FALSE)</f>
        <v/>
      </c>
      <c r="F308">
        <f>"VI-"&amp;TEXT(E308,"000000")&amp;"-2025"</f>
        <v/>
      </c>
      <c r="G308" s="96" t="n"/>
      <c r="H308">
        <f>F308=G308</f>
        <v/>
      </c>
    </row>
    <row r="309" ht="13.5" customHeight="1" thickBot="1">
      <c r="C309" s="305" t="n"/>
      <c r="D309">
        <f>VLOOKUP(B309,$C$4:$C$482,1,FALSE)</f>
        <v/>
      </c>
      <c r="F309">
        <f>"VI-"&amp;TEXT(E309,"000000")&amp;"-2025"</f>
        <v/>
      </c>
      <c r="G309" s="67" t="n"/>
      <c r="H309">
        <f>F309=G309</f>
        <v/>
      </c>
    </row>
    <row r="310">
      <c r="C310" s="288" t="n"/>
      <c r="D310">
        <f>VLOOKUP(B310,$C$4:$C$482,1,FALSE)</f>
        <v/>
      </c>
      <c r="F310">
        <f>"VI-"&amp;TEXT(E310,"000000")&amp;"-2025"</f>
        <v/>
      </c>
      <c r="G310" s="12" t="n"/>
      <c r="H310">
        <f>F310=G310</f>
        <v/>
      </c>
    </row>
    <row r="311" ht="13.5" customHeight="1" thickBot="1">
      <c r="C311" s="297" t="n"/>
      <c r="D311">
        <f>VLOOKUP(B311,$C$4:$C$482,1,FALSE)</f>
        <v/>
      </c>
      <c r="F311">
        <f>"VI-"&amp;TEXT(E311,"000000")&amp;"-2025"</f>
        <v/>
      </c>
      <c r="G311" s="96" t="n"/>
      <c r="H311">
        <f>F311=G311</f>
        <v/>
      </c>
    </row>
    <row r="312" ht="13.5" customHeight="1" thickBot="1">
      <c r="C312" s="305" t="n"/>
      <c r="D312">
        <f>VLOOKUP(B312,$C$4:$C$482,1,FALSE)</f>
        <v/>
      </c>
      <c r="F312">
        <f>"VI-"&amp;TEXT(E312,"000000")&amp;"-2025"</f>
        <v/>
      </c>
      <c r="G312" s="67" t="n"/>
      <c r="H312">
        <f>F312=G312</f>
        <v/>
      </c>
    </row>
    <row r="313">
      <c r="C313" s="288" t="n"/>
      <c r="D313">
        <f>VLOOKUP(B313,$C$4:$C$482,1,FALSE)</f>
        <v/>
      </c>
      <c r="F313">
        <f>"VI-"&amp;TEXT(E313,"000000")&amp;"-2025"</f>
        <v/>
      </c>
      <c r="G313" s="12" t="n"/>
      <c r="H313">
        <f>F313=G313</f>
        <v/>
      </c>
    </row>
    <row r="314" ht="13.5" customHeight="1" thickBot="1">
      <c r="C314" s="297" t="n"/>
      <c r="D314">
        <f>VLOOKUP(B314,$C$4:$C$482,1,FALSE)</f>
        <v/>
      </c>
      <c r="F314">
        <f>"VI-"&amp;TEXT(E314,"000000")&amp;"-2025"</f>
        <v/>
      </c>
      <c r="G314" s="96" t="n"/>
      <c r="H314">
        <f>F314=G314</f>
        <v/>
      </c>
    </row>
    <row r="315" ht="13.5" customHeight="1" thickBot="1">
      <c r="C315" s="305" t="n"/>
      <c r="D315">
        <f>VLOOKUP(B315,$C$4:$C$482,1,FALSE)</f>
        <v/>
      </c>
      <c r="F315">
        <f>"VI-"&amp;TEXT(E315,"000000")&amp;"-2025"</f>
        <v/>
      </c>
      <c r="G315" s="67" t="n"/>
      <c r="H315">
        <f>F315=G315</f>
        <v/>
      </c>
    </row>
    <row r="316">
      <c r="C316" s="288" t="n"/>
      <c r="D316">
        <f>VLOOKUP(B316,$C$4:$C$482,1,FALSE)</f>
        <v/>
      </c>
      <c r="F316">
        <f>"VI-"&amp;TEXT(E316,"000000")&amp;"-2025"</f>
        <v/>
      </c>
      <c r="G316" s="12" t="n"/>
      <c r="H316">
        <f>F316=G316</f>
        <v/>
      </c>
    </row>
    <row r="317" ht="13.5" customHeight="1" thickBot="1">
      <c r="C317" s="297" t="n"/>
      <c r="D317">
        <f>VLOOKUP(B317,$C$4:$C$482,1,FALSE)</f>
        <v/>
      </c>
      <c r="F317">
        <f>"VI-"&amp;TEXT(E317,"000000")&amp;"-2025"</f>
        <v/>
      </c>
      <c r="G317" s="96" t="n"/>
      <c r="H317">
        <f>F317=G317</f>
        <v/>
      </c>
    </row>
    <row r="318" ht="13.5" customHeight="1" thickBot="1">
      <c r="C318" s="305" t="n"/>
      <c r="D318">
        <f>VLOOKUP(B318,$C$4:$C$482,1,FALSE)</f>
        <v/>
      </c>
      <c r="F318">
        <f>"VI-"&amp;TEXT(E318,"000000")&amp;"-2025"</f>
        <v/>
      </c>
      <c r="G318" s="67" t="n"/>
      <c r="H318">
        <f>F318=G318</f>
        <v/>
      </c>
    </row>
    <row r="319">
      <c r="C319" s="288" t="n"/>
      <c r="D319">
        <f>VLOOKUP(B319,$C$4:$C$482,1,FALSE)</f>
        <v/>
      </c>
      <c r="F319">
        <f>"VI-"&amp;TEXT(E319,"000000")&amp;"-2025"</f>
        <v/>
      </c>
      <c r="G319" s="12" t="n"/>
      <c r="H319">
        <f>F319=G319</f>
        <v/>
      </c>
    </row>
    <row r="320" ht="13.5" customHeight="1" thickBot="1">
      <c r="C320" s="297" t="n"/>
      <c r="D320">
        <f>VLOOKUP(B320,$C$4:$C$482,1,FALSE)</f>
        <v/>
      </c>
      <c r="F320">
        <f>"VI-"&amp;TEXT(E320,"000000")&amp;"-2025"</f>
        <v/>
      </c>
      <c r="G320" s="96" t="n"/>
      <c r="H320">
        <f>F320=G320</f>
        <v/>
      </c>
    </row>
    <row r="321" ht="13.5" customHeight="1" thickBot="1">
      <c r="C321" s="305" t="n"/>
      <c r="D321">
        <f>VLOOKUP(B321,$C$4:$C$482,1,FALSE)</f>
        <v/>
      </c>
      <c r="F321">
        <f>"VI-"&amp;TEXT(E321,"000000")&amp;"-2025"</f>
        <v/>
      </c>
      <c r="G321" s="67" t="n"/>
      <c r="H321">
        <f>F321=G321</f>
        <v/>
      </c>
    </row>
    <row r="322">
      <c r="C322" s="288" t="n"/>
      <c r="D322">
        <f>VLOOKUP(B322,$C$4:$C$482,1,FALSE)</f>
        <v/>
      </c>
      <c r="F322">
        <f>"VI-"&amp;TEXT(E322,"000000")&amp;"-2025"</f>
        <v/>
      </c>
      <c r="G322" s="12" t="n"/>
      <c r="H322">
        <f>F322=G322</f>
        <v/>
      </c>
    </row>
    <row r="323" ht="13.5" customHeight="1" thickBot="1">
      <c r="C323" s="297" t="n"/>
      <c r="D323">
        <f>VLOOKUP(B323,$C$4:$C$482,1,FALSE)</f>
        <v/>
      </c>
      <c r="F323">
        <f>"VI-"&amp;TEXT(E323,"000000")&amp;"-2025"</f>
        <v/>
      </c>
      <c r="G323" s="96" t="n"/>
      <c r="H323">
        <f>F323=G323</f>
        <v/>
      </c>
    </row>
    <row r="324" ht="13.5" customHeight="1" thickBot="1">
      <c r="C324" s="305" t="n"/>
      <c r="D324">
        <f>VLOOKUP(B324,$C$4:$C$482,1,FALSE)</f>
        <v/>
      </c>
      <c r="F324">
        <f>"VI-"&amp;TEXT(E324,"000000")&amp;"-2025"</f>
        <v/>
      </c>
      <c r="G324" s="67" t="n"/>
      <c r="H324">
        <f>F324=G324</f>
        <v/>
      </c>
    </row>
    <row r="325">
      <c r="C325" s="288" t="n"/>
      <c r="D325">
        <f>VLOOKUP(B325,$C$4:$C$482,1,FALSE)</f>
        <v/>
      </c>
      <c r="F325">
        <f>"VI-"&amp;TEXT(E325,"000000")&amp;"-2025"</f>
        <v/>
      </c>
      <c r="G325" s="12" t="n"/>
      <c r="H325">
        <f>F325=G325</f>
        <v/>
      </c>
    </row>
    <row r="326" ht="13.5" customHeight="1" thickBot="1">
      <c r="C326" s="297" t="n"/>
      <c r="D326">
        <f>VLOOKUP(B326,$C$4:$C$482,1,FALSE)</f>
        <v/>
      </c>
      <c r="F326">
        <f>"VI-"&amp;TEXT(E326,"000000")&amp;"-2025"</f>
        <v/>
      </c>
      <c r="G326" s="96" t="n"/>
      <c r="H326">
        <f>F326=G326</f>
        <v/>
      </c>
    </row>
    <row r="327" ht="13.5" customHeight="1" thickBot="1">
      <c r="C327" s="305" t="n"/>
      <c r="D327">
        <f>VLOOKUP(B327,$C$4:$C$482,1,FALSE)</f>
        <v/>
      </c>
      <c r="F327">
        <f>"VI-"&amp;TEXT(E327,"000000")&amp;"-2025"</f>
        <v/>
      </c>
      <c r="G327" s="67" t="n"/>
      <c r="H327">
        <f>F327=G327</f>
        <v/>
      </c>
    </row>
    <row r="328">
      <c r="C328" s="288" t="n"/>
      <c r="D328">
        <f>VLOOKUP(B328,$C$4:$C$482,1,FALSE)</f>
        <v/>
      </c>
      <c r="F328">
        <f>"VI-"&amp;TEXT(E328,"000000")&amp;"-2025"</f>
        <v/>
      </c>
      <c r="G328" s="12" t="n"/>
      <c r="H328">
        <f>F328=G328</f>
        <v/>
      </c>
    </row>
    <row r="329" ht="13.5" customHeight="1" thickBot="1">
      <c r="C329" s="297" t="n"/>
      <c r="D329">
        <f>VLOOKUP(B329,$C$4:$C$482,1,FALSE)</f>
        <v/>
      </c>
      <c r="F329">
        <f>"VI-"&amp;TEXT(E329,"000000")&amp;"-2025"</f>
        <v/>
      </c>
      <c r="G329" s="96" t="n"/>
      <c r="H329">
        <f>F329=G329</f>
        <v/>
      </c>
    </row>
    <row r="330" ht="13.5" customHeight="1" thickBot="1">
      <c r="C330" s="305" t="n"/>
      <c r="D330">
        <f>VLOOKUP(B330,$C$4:$C$482,1,FALSE)</f>
        <v/>
      </c>
      <c r="F330">
        <f>"VI-"&amp;TEXT(E330,"000000")&amp;"-2025"</f>
        <v/>
      </c>
      <c r="G330" s="67" t="n"/>
      <c r="H330">
        <f>F330=G330</f>
        <v/>
      </c>
    </row>
    <row r="331">
      <c r="C331" s="288" t="n"/>
      <c r="D331">
        <f>VLOOKUP(B331,$C$4:$C$482,1,FALSE)</f>
        <v/>
      </c>
      <c r="F331">
        <f>"VI-"&amp;TEXT(E331,"000000")&amp;"-2025"</f>
        <v/>
      </c>
      <c r="G331" s="12" t="n"/>
      <c r="H331">
        <f>F331=G331</f>
        <v/>
      </c>
    </row>
    <row r="332" ht="13.5" customHeight="1" thickBot="1">
      <c r="C332" s="297" t="n"/>
      <c r="D332">
        <f>VLOOKUP(B332,$C$4:$C$482,1,FALSE)</f>
        <v/>
      </c>
      <c r="F332">
        <f>"VI-"&amp;TEXT(E332,"000000")&amp;"-2025"</f>
        <v/>
      </c>
      <c r="G332" s="96" t="n"/>
      <c r="H332">
        <f>F332=G332</f>
        <v/>
      </c>
    </row>
    <row r="333" ht="13.5" customHeight="1" thickBot="1">
      <c r="C333" s="305" t="n"/>
      <c r="D333">
        <f>VLOOKUP(B333,$C$4:$C$482,1,FALSE)</f>
        <v/>
      </c>
      <c r="F333">
        <f>"VI-"&amp;TEXT(E333,"000000")&amp;"-2025"</f>
        <v/>
      </c>
      <c r="G333" s="67" t="n"/>
      <c r="H333">
        <f>F333=G333</f>
        <v/>
      </c>
    </row>
    <row r="334">
      <c r="C334" s="288" t="n"/>
      <c r="D334">
        <f>VLOOKUP(B334,$C$4:$C$482,1,FALSE)</f>
        <v/>
      </c>
      <c r="F334">
        <f>"VI-"&amp;TEXT(E334,"000000")&amp;"-2025"</f>
        <v/>
      </c>
      <c r="G334" s="12" t="n"/>
      <c r="H334">
        <f>F334=G334</f>
        <v/>
      </c>
    </row>
    <row r="335" ht="13.5" customHeight="1" thickBot="1">
      <c r="C335" s="297" t="n"/>
      <c r="D335">
        <f>VLOOKUP(B335,$C$4:$C$482,1,FALSE)</f>
        <v/>
      </c>
      <c r="F335">
        <f>"VI-"&amp;TEXT(E335,"000000")&amp;"-2025"</f>
        <v/>
      </c>
      <c r="G335" s="96" t="n"/>
      <c r="H335">
        <f>F335=G335</f>
        <v/>
      </c>
    </row>
    <row r="336" ht="13.5" customHeight="1" thickBot="1">
      <c r="C336" s="305" t="n"/>
      <c r="D336">
        <f>VLOOKUP(B336,$C$4:$C$482,1,FALSE)</f>
        <v/>
      </c>
      <c r="F336">
        <f>"VI-"&amp;TEXT(E336,"000000")&amp;"-2025"</f>
        <v/>
      </c>
      <c r="G336" s="67" t="n"/>
      <c r="H336">
        <f>F336=G336</f>
        <v/>
      </c>
    </row>
    <row r="337">
      <c r="C337" s="288" t="n"/>
      <c r="D337">
        <f>VLOOKUP(B337,$C$4:$C$482,1,FALSE)</f>
        <v/>
      </c>
      <c r="F337">
        <f>"VI-"&amp;TEXT(E337,"000000")&amp;"-2025"</f>
        <v/>
      </c>
      <c r="G337" s="12" t="n"/>
      <c r="H337">
        <f>F337=G337</f>
        <v/>
      </c>
    </row>
    <row r="338" ht="13.5" customHeight="1" thickBot="1">
      <c r="C338" s="297" t="n"/>
      <c r="D338">
        <f>VLOOKUP(B338,$C$4:$C$482,1,FALSE)</f>
        <v/>
      </c>
      <c r="F338">
        <f>"VI-"&amp;TEXT(E338,"000000")&amp;"-2025"</f>
        <v/>
      </c>
      <c r="G338" s="96" t="n"/>
      <c r="H338">
        <f>F338=G338</f>
        <v/>
      </c>
    </row>
    <row r="339" ht="13.5" customHeight="1" thickBot="1">
      <c r="C339" s="305" t="n"/>
      <c r="D339">
        <f>VLOOKUP(B339,$C$4:$C$482,1,FALSE)</f>
        <v/>
      </c>
      <c r="F339">
        <f>"VI-"&amp;TEXT(E339,"000000")&amp;"-2025"</f>
        <v/>
      </c>
      <c r="G339" s="67" t="n"/>
      <c r="H339">
        <f>F339=G339</f>
        <v/>
      </c>
    </row>
    <row r="340">
      <c r="C340" s="288" t="n"/>
      <c r="D340">
        <f>VLOOKUP(B340,$C$4:$C$482,1,FALSE)</f>
        <v/>
      </c>
      <c r="F340">
        <f>"VI-"&amp;TEXT(E340,"000000")&amp;"-2025"</f>
        <v/>
      </c>
      <c r="G340" s="12" t="n"/>
      <c r="H340">
        <f>F340=G340</f>
        <v/>
      </c>
    </row>
    <row r="341" ht="13.5" customHeight="1" thickBot="1">
      <c r="C341" s="297" t="n"/>
      <c r="D341">
        <f>VLOOKUP(B341,$C$4:$C$482,1,FALSE)</f>
        <v/>
      </c>
      <c r="F341">
        <f>"VI-"&amp;TEXT(E341,"000000")&amp;"-2025"</f>
        <v/>
      </c>
      <c r="G341" s="96" t="n"/>
      <c r="H341">
        <f>F341=G341</f>
        <v/>
      </c>
    </row>
    <row r="342" ht="13.5" customHeight="1" thickBot="1">
      <c r="C342" s="305" t="n"/>
      <c r="D342">
        <f>VLOOKUP(B342,$C$4:$C$482,1,FALSE)</f>
        <v/>
      </c>
      <c r="F342">
        <f>"VI-"&amp;TEXT(E342,"000000")&amp;"-2025"</f>
        <v/>
      </c>
      <c r="G342" s="67" t="n"/>
      <c r="H342">
        <f>F342=G342</f>
        <v/>
      </c>
    </row>
    <row r="343">
      <c r="C343" s="288" t="n"/>
      <c r="D343">
        <f>VLOOKUP(B343,$C$4:$C$482,1,FALSE)</f>
        <v/>
      </c>
      <c r="F343">
        <f>"VI-"&amp;TEXT(E343,"000000")&amp;"-2025"</f>
        <v/>
      </c>
      <c r="G343" s="12" t="n"/>
      <c r="H343">
        <f>F343=G343</f>
        <v/>
      </c>
    </row>
    <row r="344" ht="13.5" customHeight="1" thickBot="1">
      <c r="C344" s="297" t="n"/>
      <c r="D344">
        <f>VLOOKUP(B344,$C$4:$C$482,1,FALSE)</f>
        <v/>
      </c>
      <c r="F344">
        <f>"VI-"&amp;TEXT(E344,"000000")&amp;"-2025"</f>
        <v/>
      </c>
      <c r="G344" s="96" t="n"/>
      <c r="H344">
        <f>F344=G344</f>
        <v/>
      </c>
    </row>
    <row r="345" ht="13.5" customHeight="1" thickBot="1">
      <c r="C345" s="305" t="n"/>
      <c r="D345">
        <f>VLOOKUP(B345,$C$4:$C$482,1,FALSE)</f>
        <v/>
      </c>
      <c r="F345">
        <f>"VI-"&amp;TEXT(E345,"000000")&amp;"-2025"</f>
        <v/>
      </c>
      <c r="G345" s="67" t="n"/>
      <c r="H345">
        <f>F345=G345</f>
        <v/>
      </c>
    </row>
    <row r="346">
      <c r="C346" s="288" t="n"/>
      <c r="D346">
        <f>VLOOKUP(B346,$C$4:$C$482,1,FALSE)</f>
        <v/>
      </c>
      <c r="F346">
        <f>"VI-"&amp;TEXT(E346,"000000")&amp;"-2025"</f>
        <v/>
      </c>
      <c r="G346" s="12" t="n"/>
      <c r="H346">
        <f>F346=G346</f>
        <v/>
      </c>
    </row>
    <row r="347" ht="13.5" customHeight="1" thickBot="1">
      <c r="C347" s="297" t="n"/>
      <c r="D347">
        <f>VLOOKUP(B347,$C$4:$C$482,1,FALSE)</f>
        <v/>
      </c>
      <c r="F347">
        <f>"VI-"&amp;TEXT(E347,"000000")&amp;"-2025"</f>
        <v/>
      </c>
      <c r="G347" s="96" t="n"/>
      <c r="H347">
        <f>F347=G347</f>
        <v/>
      </c>
    </row>
    <row r="348" ht="13.5" customHeight="1" thickBot="1">
      <c r="C348" s="305" t="n"/>
      <c r="D348">
        <f>VLOOKUP(B348,$C$4:$C$482,1,FALSE)</f>
        <v/>
      </c>
      <c r="F348">
        <f>"VI-"&amp;TEXT(E348,"000000")&amp;"-2025"</f>
        <v/>
      </c>
      <c r="G348" s="67" t="n"/>
      <c r="H348">
        <f>F348=G348</f>
        <v/>
      </c>
    </row>
    <row r="349">
      <c r="C349" s="288" t="n"/>
      <c r="D349">
        <f>VLOOKUP(B349,$C$4:$C$482,1,FALSE)</f>
        <v/>
      </c>
      <c r="F349">
        <f>"VI-"&amp;TEXT(E349,"000000")&amp;"-2025"</f>
        <v/>
      </c>
      <c r="G349" s="12" t="n"/>
      <c r="H349">
        <f>F349=G349</f>
        <v/>
      </c>
    </row>
    <row r="350" ht="13.5" customHeight="1" thickBot="1">
      <c r="C350" s="297" t="n"/>
      <c r="D350">
        <f>VLOOKUP(B350,$C$4:$C$482,1,FALSE)</f>
        <v/>
      </c>
      <c r="F350">
        <f>"VI-"&amp;TEXT(E350,"000000")&amp;"-2025"</f>
        <v/>
      </c>
      <c r="G350" s="96" t="n"/>
      <c r="H350">
        <f>F350=G350</f>
        <v/>
      </c>
    </row>
    <row r="351" ht="13.5" customHeight="1" thickBot="1">
      <c r="C351" s="305" t="n"/>
      <c r="D351">
        <f>VLOOKUP(B351,$C$4:$C$482,1,FALSE)</f>
        <v/>
      </c>
      <c r="F351">
        <f>"VI-"&amp;TEXT(E351,"000000")&amp;"-2025"</f>
        <v/>
      </c>
      <c r="G351" s="67" t="n"/>
      <c r="H351">
        <f>F351=G351</f>
        <v/>
      </c>
    </row>
    <row r="352">
      <c r="C352" s="288" t="n"/>
      <c r="D352">
        <f>VLOOKUP(B352,$C$4:$C$482,1,FALSE)</f>
        <v/>
      </c>
      <c r="F352">
        <f>"VI-"&amp;TEXT(E352,"000000")&amp;"-2025"</f>
        <v/>
      </c>
      <c r="G352" s="12" t="n"/>
      <c r="H352">
        <f>F352=G352</f>
        <v/>
      </c>
    </row>
    <row r="353" ht="13.5" customHeight="1" thickBot="1">
      <c r="C353" s="297" t="n"/>
      <c r="D353">
        <f>VLOOKUP(B353,$C$4:$C$482,1,FALSE)</f>
        <v/>
      </c>
      <c r="F353">
        <f>"VI-"&amp;TEXT(E353,"000000")&amp;"-2025"</f>
        <v/>
      </c>
      <c r="G353" s="96" t="n"/>
      <c r="H353">
        <f>F353=G353</f>
        <v/>
      </c>
    </row>
    <row r="354" ht="13.5" customHeight="1" thickBot="1">
      <c r="C354" s="305" t="n"/>
      <c r="D354">
        <f>VLOOKUP(B354,$C$4:$C$482,1,FALSE)</f>
        <v/>
      </c>
      <c r="F354">
        <f>"VI-"&amp;TEXT(E354,"000000")&amp;"-2025"</f>
        <v/>
      </c>
      <c r="G354" s="67" t="n"/>
      <c r="H354">
        <f>F354=G354</f>
        <v/>
      </c>
    </row>
    <row r="355">
      <c r="C355" s="288" t="n"/>
      <c r="D355">
        <f>VLOOKUP(B355,$C$4:$C$482,1,FALSE)</f>
        <v/>
      </c>
      <c r="F355">
        <f>"VI-"&amp;TEXT(E355,"000000")&amp;"-2025"</f>
        <v/>
      </c>
      <c r="G355" s="12" t="n"/>
      <c r="H355">
        <f>F355=G355</f>
        <v/>
      </c>
    </row>
    <row r="356" ht="13.5" customHeight="1" thickBot="1">
      <c r="C356" s="297" t="n"/>
      <c r="D356">
        <f>VLOOKUP(B356,$C$4:$C$482,1,FALSE)</f>
        <v/>
      </c>
      <c r="F356">
        <f>"VI-"&amp;TEXT(E356,"000000")&amp;"-2025"</f>
        <v/>
      </c>
      <c r="G356" s="96" t="n"/>
      <c r="H356">
        <f>F356=G356</f>
        <v/>
      </c>
    </row>
    <row r="357" ht="13.5" customHeight="1" thickBot="1">
      <c r="C357" s="305" t="n"/>
      <c r="D357">
        <f>VLOOKUP(B357,$C$4:$C$482,1,FALSE)</f>
        <v/>
      </c>
      <c r="F357">
        <f>"VI-"&amp;TEXT(E357,"000000")&amp;"-2025"</f>
        <v/>
      </c>
      <c r="G357" s="67" t="n"/>
      <c r="H357">
        <f>F357=G357</f>
        <v/>
      </c>
    </row>
    <row r="358">
      <c r="C358" s="288" t="n"/>
      <c r="D358">
        <f>VLOOKUP(B358,$C$4:$C$482,1,FALSE)</f>
        <v/>
      </c>
      <c r="F358">
        <f>"VI-"&amp;TEXT(E358,"000000")&amp;"-2025"</f>
        <v/>
      </c>
      <c r="G358" s="12" t="n"/>
      <c r="H358">
        <f>F358=G358</f>
        <v/>
      </c>
    </row>
    <row r="359" ht="13.5" customHeight="1" thickBot="1">
      <c r="C359" s="297" t="n"/>
      <c r="D359">
        <f>VLOOKUP(B359,$C$4:$C$482,1,FALSE)</f>
        <v/>
      </c>
      <c r="F359">
        <f>"VI-"&amp;TEXT(E359,"000000")&amp;"-2025"</f>
        <v/>
      </c>
      <c r="G359" s="96" t="n"/>
      <c r="H359">
        <f>F359=G359</f>
        <v/>
      </c>
    </row>
    <row r="360" ht="13.5" customHeight="1" thickBot="1">
      <c r="C360" s="305" t="n"/>
      <c r="D360">
        <f>VLOOKUP(B360,$C$4:$C$482,1,FALSE)</f>
        <v/>
      </c>
      <c r="F360">
        <f>"VI-"&amp;TEXT(E360,"000000")&amp;"-2025"</f>
        <v/>
      </c>
      <c r="G360" s="67" t="n"/>
      <c r="H360">
        <f>F360=G360</f>
        <v/>
      </c>
    </row>
    <row r="361">
      <c r="C361" s="288" t="n"/>
      <c r="D361">
        <f>VLOOKUP(B361,$C$4:$C$482,1,FALSE)</f>
        <v/>
      </c>
      <c r="F361">
        <f>"VI-"&amp;TEXT(E361,"000000")&amp;"-2025"</f>
        <v/>
      </c>
      <c r="G361" s="12" t="n"/>
      <c r="H361">
        <f>F361=G361</f>
        <v/>
      </c>
    </row>
    <row r="362" ht="13.5" customHeight="1" thickBot="1">
      <c r="C362" s="297" t="n"/>
      <c r="D362">
        <f>VLOOKUP(B362,$C$4:$C$482,1,FALSE)</f>
        <v/>
      </c>
      <c r="F362">
        <f>"VI-"&amp;TEXT(E362,"000000")&amp;"-2025"</f>
        <v/>
      </c>
      <c r="G362" s="96" t="n"/>
      <c r="H362">
        <f>F362=G362</f>
        <v/>
      </c>
    </row>
    <row r="363" ht="13.5" customHeight="1" thickBot="1">
      <c r="C363" s="305" t="n"/>
      <c r="D363">
        <f>VLOOKUP(B363,$C$4:$C$482,1,FALSE)</f>
        <v/>
      </c>
      <c r="F363">
        <f>"VI-"&amp;TEXT(E363,"000000")&amp;"-2025"</f>
        <v/>
      </c>
      <c r="G363" s="67" t="n"/>
      <c r="H363">
        <f>F363=G363</f>
        <v/>
      </c>
    </row>
    <row r="364">
      <c r="C364" s="288" t="n"/>
      <c r="D364">
        <f>VLOOKUP(B364,$C$4:$C$482,1,FALSE)</f>
        <v/>
      </c>
      <c r="F364">
        <f>"VI-"&amp;TEXT(E364,"000000")&amp;"-2025"</f>
        <v/>
      </c>
      <c r="G364" s="12" t="n"/>
      <c r="H364">
        <f>F364=G364</f>
        <v/>
      </c>
    </row>
    <row r="365" ht="13.5" customHeight="1" thickBot="1">
      <c r="C365" s="297" t="n"/>
      <c r="D365">
        <f>VLOOKUP(B365,$C$4:$C$482,1,FALSE)</f>
        <v/>
      </c>
      <c r="F365">
        <f>"VI-"&amp;TEXT(E365,"000000")&amp;"-2025"</f>
        <v/>
      </c>
      <c r="G365" s="96" t="n"/>
      <c r="H365">
        <f>F365=G365</f>
        <v/>
      </c>
    </row>
    <row r="366" ht="13.5" customHeight="1" thickBot="1">
      <c r="C366" s="305" t="n"/>
      <c r="D366">
        <f>VLOOKUP(B366,$C$4:$C$482,1,FALSE)</f>
        <v/>
      </c>
      <c r="F366">
        <f>"VI-"&amp;TEXT(E366,"000000")&amp;"-2025"</f>
        <v/>
      </c>
      <c r="G366" s="67" t="n"/>
      <c r="H366">
        <f>F366=G366</f>
        <v/>
      </c>
    </row>
    <row r="367">
      <c r="C367" s="288" t="n"/>
      <c r="D367">
        <f>VLOOKUP(B367,$C$4:$C$482,1,FALSE)</f>
        <v/>
      </c>
      <c r="F367">
        <f>"VI-"&amp;TEXT(E367,"000000")&amp;"-2025"</f>
        <v/>
      </c>
      <c r="G367" s="12" t="n"/>
      <c r="H367">
        <f>F367=G367</f>
        <v/>
      </c>
    </row>
    <row r="368" ht="13.5" customHeight="1" thickBot="1">
      <c r="C368" s="297" t="n"/>
      <c r="D368">
        <f>VLOOKUP(B368,$C$4:$C$482,1,FALSE)</f>
        <v/>
      </c>
      <c r="F368">
        <f>"VI-"&amp;TEXT(E368,"000000")&amp;"-2025"</f>
        <v/>
      </c>
      <c r="G368" s="96" t="n"/>
      <c r="H368">
        <f>F368=G368</f>
        <v/>
      </c>
    </row>
    <row r="369" ht="13.5" customHeight="1" thickBot="1">
      <c r="C369" s="305" t="n"/>
      <c r="D369">
        <f>VLOOKUP(B369,$C$4:$C$482,1,FALSE)</f>
        <v/>
      </c>
      <c r="F369">
        <f>"VI-"&amp;TEXT(E369,"000000")&amp;"-2025"</f>
        <v/>
      </c>
      <c r="G369" s="67" t="n"/>
      <c r="H369">
        <f>F369=G369</f>
        <v/>
      </c>
    </row>
    <row r="370">
      <c r="C370" s="288" t="n"/>
      <c r="D370">
        <f>VLOOKUP(B370,$C$4:$C$482,1,FALSE)</f>
        <v/>
      </c>
      <c r="F370">
        <f>"VI-"&amp;TEXT(E370,"000000")&amp;"-2025"</f>
        <v/>
      </c>
      <c r="G370" s="12" t="n"/>
      <c r="H370">
        <f>F370=G370</f>
        <v/>
      </c>
    </row>
    <row r="371" ht="13.5" customHeight="1" thickBot="1">
      <c r="C371" s="297" t="n"/>
      <c r="D371">
        <f>VLOOKUP(B371,$C$4:$C$482,1,FALSE)</f>
        <v/>
      </c>
      <c r="F371">
        <f>"VI-"&amp;TEXT(E371,"000000")&amp;"-2025"</f>
        <v/>
      </c>
      <c r="G371" s="96" t="n"/>
      <c r="H371">
        <f>F371=G371</f>
        <v/>
      </c>
    </row>
    <row r="372" ht="13.5" customHeight="1" thickBot="1">
      <c r="C372" s="305" t="n"/>
      <c r="D372">
        <f>VLOOKUP(B372,$C$4:$C$482,1,FALSE)</f>
        <v/>
      </c>
      <c r="F372">
        <f>"VI-"&amp;TEXT(E372,"000000")&amp;"-2025"</f>
        <v/>
      </c>
      <c r="G372" s="67" t="n"/>
      <c r="H372">
        <f>F372=G372</f>
        <v/>
      </c>
    </row>
    <row r="373">
      <c r="C373" s="288" t="n"/>
      <c r="D373">
        <f>VLOOKUP(B373,$C$4:$C$482,1,FALSE)</f>
        <v/>
      </c>
      <c r="F373">
        <f>"VI-"&amp;TEXT(E373,"000000")&amp;"-2025"</f>
        <v/>
      </c>
      <c r="G373" s="12" t="n"/>
      <c r="H373">
        <f>F373=G373</f>
        <v/>
      </c>
    </row>
    <row r="374" ht="13.5" customHeight="1" thickBot="1">
      <c r="C374" s="297" t="n"/>
      <c r="D374">
        <f>VLOOKUP(B374,$C$4:$C$482,1,FALSE)</f>
        <v/>
      </c>
      <c r="F374">
        <f>"VI-"&amp;TEXT(E374,"000000")&amp;"-2025"</f>
        <v/>
      </c>
      <c r="G374" s="96" t="n"/>
      <c r="H374">
        <f>F374=G374</f>
        <v/>
      </c>
    </row>
    <row r="375" ht="13.5" customHeight="1" thickBot="1">
      <c r="C375" s="305" t="n"/>
      <c r="D375">
        <f>VLOOKUP(B375,$C$4:$C$482,1,FALSE)</f>
        <v/>
      </c>
      <c r="F375">
        <f>"VI-"&amp;TEXT(E375,"000000")&amp;"-2025"</f>
        <v/>
      </c>
      <c r="G375" s="67" t="n"/>
      <c r="H375">
        <f>F375=G375</f>
        <v/>
      </c>
    </row>
    <row r="376">
      <c r="C376" s="288" t="n"/>
      <c r="D376">
        <f>VLOOKUP(B376,$C$4:$C$482,1,FALSE)</f>
        <v/>
      </c>
      <c r="F376">
        <f>"VI-"&amp;TEXT(E376,"000000")&amp;"-2025"</f>
        <v/>
      </c>
      <c r="G376" s="12" t="n"/>
      <c r="H376">
        <f>F376=G376</f>
        <v/>
      </c>
    </row>
    <row r="377" ht="13.5" customHeight="1" thickBot="1">
      <c r="C377" s="297" t="n"/>
      <c r="D377">
        <f>VLOOKUP(B377,$C$4:$C$482,1,FALSE)</f>
        <v/>
      </c>
      <c r="F377">
        <f>"VI-"&amp;TEXT(E377,"000000")&amp;"-2025"</f>
        <v/>
      </c>
      <c r="G377" s="96" t="n"/>
      <c r="H377">
        <f>F377=G377</f>
        <v/>
      </c>
    </row>
    <row r="378" ht="13.5" customHeight="1" thickBot="1">
      <c r="C378" s="305" t="n"/>
      <c r="D378">
        <f>VLOOKUP(B378,$C$4:$C$482,1,FALSE)</f>
        <v/>
      </c>
      <c r="F378">
        <f>"VI-"&amp;TEXT(E378,"000000")&amp;"-2025"</f>
        <v/>
      </c>
      <c r="G378" s="67" t="n"/>
      <c r="H378">
        <f>F378=G378</f>
        <v/>
      </c>
    </row>
    <row r="379">
      <c r="C379" s="288" t="n"/>
      <c r="D379">
        <f>VLOOKUP(B379,$C$4:$C$482,1,FALSE)</f>
        <v/>
      </c>
      <c r="F379">
        <f>"VI-"&amp;TEXT(E379,"000000")&amp;"-2025"</f>
        <v/>
      </c>
      <c r="G379" s="12" t="n"/>
      <c r="H379">
        <f>F379=G379</f>
        <v/>
      </c>
    </row>
    <row r="380" ht="13.5" customHeight="1" thickBot="1">
      <c r="C380" s="297" t="n"/>
      <c r="D380">
        <f>VLOOKUP(B380,$C$4:$C$482,1,FALSE)</f>
        <v/>
      </c>
      <c r="F380">
        <f>"VI-"&amp;TEXT(E380,"000000")&amp;"-2025"</f>
        <v/>
      </c>
      <c r="G380" s="96" t="n"/>
      <c r="H380">
        <f>F380=G380</f>
        <v/>
      </c>
    </row>
    <row r="381" ht="13.5" customHeight="1" thickBot="1">
      <c r="C381" s="305" t="n"/>
      <c r="D381">
        <f>VLOOKUP(B381,$C$4:$C$482,1,FALSE)</f>
        <v/>
      </c>
      <c r="F381">
        <f>"VI-"&amp;TEXT(E381,"000000")&amp;"-2025"</f>
        <v/>
      </c>
      <c r="G381" s="67" t="n"/>
      <c r="H381">
        <f>F381=G381</f>
        <v/>
      </c>
    </row>
    <row r="382">
      <c r="C382" s="288" t="n"/>
      <c r="D382">
        <f>VLOOKUP(B382,$C$4:$C$482,1,FALSE)</f>
        <v/>
      </c>
      <c r="F382">
        <f>"VI-"&amp;TEXT(E382,"000000")&amp;"-2025"</f>
        <v/>
      </c>
      <c r="G382" s="12" t="n"/>
      <c r="H382">
        <f>F382=G382</f>
        <v/>
      </c>
    </row>
    <row r="383" ht="13.5" customHeight="1" thickBot="1">
      <c r="C383" s="297" t="n"/>
      <c r="D383">
        <f>VLOOKUP(B383,$C$4:$C$482,1,FALSE)</f>
        <v/>
      </c>
      <c r="F383">
        <f>"VI-"&amp;TEXT(E383,"000000")&amp;"-2025"</f>
        <v/>
      </c>
      <c r="G383" s="96" t="n"/>
      <c r="H383">
        <f>F383=G383</f>
        <v/>
      </c>
    </row>
    <row r="384" ht="13.5" customHeight="1" thickBot="1">
      <c r="C384" s="305" t="n"/>
      <c r="D384">
        <f>VLOOKUP(B384,$C$4:$C$482,1,FALSE)</f>
        <v/>
      </c>
      <c r="F384">
        <f>"VI-"&amp;TEXT(E384,"000000")&amp;"-2025"</f>
        <v/>
      </c>
      <c r="G384" s="67" t="n"/>
      <c r="H384">
        <f>F384=G384</f>
        <v/>
      </c>
    </row>
    <row r="385">
      <c r="C385" s="288" t="n"/>
      <c r="D385">
        <f>VLOOKUP(B385,$C$4:$C$482,1,FALSE)</f>
        <v/>
      </c>
      <c r="F385">
        <f>"VI-"&amp;TEXT(E385,"000000")&amp;"-2025"</f>
        <v/>
      </c>
      <c r="G385" s="12" t="n"/>
      <c r="H385">
        <f>F385=G385</f>
        <v/>
      </c>
    </row>
    <row r="386" ht="13.5" customHeight="1" thickBot="1">
      <c r="C386" s="305" t="n"/>
      <c r="D386">
        <f>VLOOKUP(B386,$C$4:$C$482,1,FALSE)</f>
        <v/>
      </c>
      <c r="F386">
        <f>"VI-"&amp;TEXT(E386,"000000")&amp;"-2025"</f>
        <v/>
      </c>
      <c r="G386" s="96" t="n"/>
      <c r="H386">
        <f>F386=G386</f>
        <v/>
      </c>
    </row>
    <row r="387">
      <c r="C387" s="288" t="n"/>
      <c r="D387">
        <f>VLOOKUP(B387,$C$4:$C$482,1,FALSE)</f>
        <v/>
      </c>
      <c r="F387">
        <f>"VI-"&amp;TEXT(E387,"000000")&amp;"-2025"</f>
        <v/>
      </c>
      <c r="G387" s="67" t="n"/>
      <c r="H387">
        <f>F387=G387</f>
        <v/>
      </c>
    </row>
    <row r="388">
      <c r="C388" s="297" t="n"/>
      <c r="D388">
        <f>VLOOKUP(B388,$C$4:$C$482,1,FALSE)</f>
        <v/>
      </c>
      <c r="F388">
        <f>"VI-"&amp;TEXT(E388,"000000")&amp;"-2025"</f>
        <v/>
      </c>
      <c r="G388" s="12" t="n"/>
      <c r="H388">
        <f>F388=G388</f>
        <v/>
      </c>
    </row>
    <row r="389" ht="13.5" customHeight="1" thickBot="1">
      <c r="C389" s="305" t="n"/>
      <c r="D389">
        <f>VLOOKUP(B389,$C$4:$C$482,1,FALSE)</f>
        <v/>
      </c>
      <c r="F389">
        <f>"VI-"&amp;TEXT(E389,"000000")&amp;"-2025"</f>
        <v/>
      </c>
      <c r="G389" s="96" t="n"/>
      <c r="H389">
        <f>F389=G389</f>
        <v/>
      </c>
    </row>
    <row r="390">
      <c r="C390" s="288" t="n"/>
      <c r="D390">
        <f>VLOOKUP(B390,$C$4:$C$482,1,FALSE)</f>
        <v/>
      </c>
      <c r="F390">
        <f>"VI-"&amp;TEXT(E390,"000000")&amp;"-2025"</f>
        <v/>
      </c>
      <c r="G390" s="67" t="n"/>
      <c r="H390">
        <f>F390=G390</f>
        <v/>
      </c>
    </row>
    <row r="391">
      <c r="C391" s="297" t="n"/>
      <c r="D391">
        <f>VLOOKUP(B391,$C$4:$C$482,1,FALSE)</f>
        <v/>
      </c>
      <c r="F391">
        <f>"VI-"&amp;TEXT(E391,"000000")&amp;"-2025"</f>
        <v/>
      </c>
      <c r="G391" s="12" t="n"/>
      <c r="H391">
        <f>F391=G391</f>
        <v/>
      </c>
    </row>
    <row r="392" ht="13.5" customHeight="1" thickBot="1">
      <c r="C392" s="305" t="n"/>
      <c r="D392">
        <f>VLOOKUP(B392,$C$4:$C$482,1,FALSE)</f>
        <v/>
      </c>
      <c r="F392">
        <f>"VI-"&amp;TEXT(E392,"000000")&amp;"-2025"</f>
        <v/>
      </c>
      <c r="G392" s="96" t="n"/>
      <c r="H392">
        <f>F392=G392</f>
        <v/>
      </c>
    </row>
    <row r="393">
      <c r="C393" s="288" t="n"/>
      <c r="D393">
        <f>VLOOKUP(B393,$C$4:$C$482,1,FALSE)</f>
        <v/>
      </c>
      <c r="F393">
        <f>"VI-"&amp;TEXT(E393,"000000")&amp;"-2025"</f>
        <v/>
      </c>
      <c r="G393" s="67" t="n"/>
      <c r="H393">
        <f>F393=G393</f>
        <v/>
      </c>
    </row>
    <row r="394">
      <c r="C394" s="297" t="n"/>
      <c r="D394">
        <f>VLOOKUP(B394,$C$4:$C$482,1,FALSE)</f>
        <v/>
      </c>
      <c r="F394">
        <f>"VI-"&amp;TEXT(E394,"000000")&amp;"-2025"</f>
        <v/>
      </c>
      <c r="G394" s="12" t="n"/>
      <c r="H394">
        <f>F394=G394</f>
        <v/>
      </c>
    </row>
    <row r="395" ht="13.5" customHeight="1" thickBot="1">
      <c r="C395" s="305" t="n"/>
      <c r="D395">
        <f>VLOOKUP(B395,$C$4:$C$482,1,FALSE)</f>
        <v/>
      </c>
      <c r="F395">
        <f>"VI-"&amp;TEXT(E395,"000000")&amp;"-2025"</f>
        <v/>
      </c>
      <c r="G395" s="96" t="n"/>
      <c r="H395">
        <f>F395=G395</f>
        <v/>
      </c>
    </row>
    <row r="396">
      <c r="C396" s="288" t="n"/>
      <c r="D396">
        <f>VLOOKUP(B396,$C$4:$C$482,1,FALSE)</f>
        <v/>
      </c>
      <c r="F396">
        <f>"VI-"&amp;TEXT(E396,"000000")&amp;"-2025"</f>
        <v/>
      </c>
      <c r="G396" s="67" t="n"/>
      <c r="H396">
        <f>F396=G396</f>
        <v/>
      </c>
    </row>
    <row r="397">
      <c r="C397" s="297" t="n"/>
      <c r="D397">
        <f>VLOOKUP(B397,$C$4:$C$482,1,FALSE)</f>
        <v/>
      </c>
      <c r="F397">
        <f>"VI-"&amp;TEXT(E397,"000000")&amp;"-2025"</f>
        <v/>
      </c>
      <c r="G397" s="12" t="n"/>
      <c r="H397">
        <f>F397=G397</f>
        <v/>
      </c>
    </row>
    <row r="398" ht="13.5" customHeight="1" thickBot="1">
      <c r="C398" s="305" t="n"/>
      <c r="D398">
        <f>VLOOKUP(B398,$C$4:$C$482,1,FALSE)</f>
        <v/>
      </c>
      <c r="F398">
        <f>"VI-"&amp;TEXT(E398,"000000")&amp;"-2025"</f>
        <v/>
      </c>
      <c r="G398" s="96" t="n"/>
      <c r="H398">
        <f>F398=G398</f>
        <v/>
      </c>
    </row>
    <row r="399">
      <c r="C399" s="288" t="n"/>
      <c r="D399">
        <f>VLOOKUP(B399,$C$4:$C$482,1,FALSE)</f>
        <v/>
      </c>
      <c r="F399">
        <f>"VI-"&amp;TEXT(E399,"000000")&amp;"-2025"</f>
        <v/>
      </c>
      <c r="G399" s="67" t="n"/>
      <c r="H399">
        <f>F399=G399</f>
        <v/>
      </c>
    </row>
    <row r="400">
      <c r="C400" s="297" t="n"/>
      <c r="D400">
        <f>VLOOKUP(B400,$C$4:$C$482,1,FALSE)</f>
        <v/>
      </c>
      <c r="F400">
        <f>"VI-"&amp;TEXT(E400,"000000")&amp;"-2025"</f>
        <v/>
      </c>
      <c r="G400" s="12" t="n"/>
      <c r="H400">
        <f>F400=G400</f>
        <v/>
      </c>
    </row>
    <row r="401" ht="13.5" customHeight="1" thickBot="1">
      <c r="C401" s="305" t="n"/>
      <c r="D401">
        <f>VLOOKUP(B401,$C$4:$C$482,1,FALSE)</f>
        <v/>
      </c>
      <c r="F401">
        <f>"VI-"&amp;TEXT(E401,"000000")&amp;"-2025"</f>
        <v/>
      </c>
      <c r="G401" s="96" t="n"/>
      <c r="H401">
        <f>F401=G401</f>
        <v/>
      </c>
    </row>
    <row r="402">
      <c r="C402" s="288" t="n"/>
      <c r="D402">
        <f>VLOOKUP(B402,$C$4:$C$482,1,FALSE)</f>
        <v/>
      </c>
      <c r="F402">
        <f>"VI-"&amp;TEXT(E402,"000000")&amp;"-2025"</f>
        <v/>
      </c>
      <c r="G402" s="67" t="n"/>
      <c r="H402">
        <f>F402=G402</f>
        <v/>
      </c>
    </row>
    <row r="403">
      <c r="C403" s="297" t="n"/>
      <c r="D403">
        <f>VLOOKUP(B403,$C$4:$C$482,1,FALSE)</f>
        <v/>
      </c>
      <c r="F403">
        <f>"VI-"&amp;TEXT(E403,"000000")&amp;"-2025"</f>
        <v/>
      </c>
      <c r="G403" s="12" t="n"/>
      <c r="H403">
        <f>F403=G403</f>
        <v/>
      </c>
    </row>
    <row r="404" ht="13.5" customHeight="1" thickBot="1">
      <c r="C404" s="305" t="n"/>
      <c r="D404">
        <f>VLOOKUP(B404,$C$4:$C$482,1,FALSE)</f>
        <v/>
      </c>
      <c r="F404">
        <f>"VI-"&amp;TEXT(E404,"000000")&amp;"-2025"</f>
        <v/>
      </c>
      <c r="G404" s="96" t="n"/>
      <c r="H404">
        <f>F404=G404</f>
        <v/>
      </c>
    </row>
    <row r="405">
      <c r="C405" s="288" t="n"/>
      <c r="D405">
        <f>VLOOKUP(B405,$C$4:$C$482,1,FALSE)</f>
        <v/>
      </c>
      <c r="F405">
        <f>"VI-"&amp;TEXT(E405,"000000")&amp;"-2025"</f>
        <v/>
      </c>
      <c r="G405" s="67" t="n"/>
      <c r="H405">
        <f>F405=G405</f>
        <v/>
      </c>
    </row>
    <row r="406">
      <c r="C406" s="297" t="n"/>
      <c r="D406">
        <f>VLOOKUP(B406,$C$4:$C$482,1,FALSE)</f>
        <v/>
      </c>
      <c r="F406">
        <f>"VI-"&amp;TEXT(E406,"000000")&amp;"-2025"</f>
        <v/>
      </c>
      <c r="G406" s="12" t="n"/>
      <c r="H406">
        <f>F406=G406</f>
        <v/>
      </c>
    </row>
    <row r="407" ht="13.5" customHeight="1" thickBot="1">
      <c r="C407" s="305" t="n"/>
      <c r="D407">
        <f>VLOOKUP(B407,$C$4:$C$482,1,FALSE)</f>
        <v/>
      </c>
      <c r="F407">
        <f>"VI-"&amp;TEXT(E407,"000000")&amp;"-2025"</f>
        <v/>
      </c>
      <c r="G407" s="96" t="n"/>
      <c r="H407">
        <f>F407=G407</f>
        <v/>
      </c>
    </row>
    <row r="408">
      <c r="C408" s="288" t="n"/>
      <c r="D408">
        <f>VLOOKUP(B408,$C$4:$C$482,1,FALSE)</f>
        <v/>
      </c>
      <c r="F408">
        <f>"VI-"&amp;TEXT(E408,"000000")&amp;"-2025"</f>
        <v/>
      </c>
      <c r="G408" s="67" t="n"/>
      <c r="H408">
        <f>F408=G408</f>
        <v/>
      </c>
    </row>
    <row r="409">
      <c r="C409" s="297" t="n"/>
      <c r="D409">
        <f>VLOOKUP(B409,$C$4:$C$482,1,FALSE)</f>
        <v/>
      </c>
      <c r="F409">
        <f>"VI-"&amp;TEXT(E409,"000000")&amp;"-2025"</f>
        <v/>
      </c>
      <c r="G409" s="12" t="n"/>
      <c r="H409">
        <f>F409=G409</f>
        <v/>
      </c>
    </row>
    <row r="410" ht="13.5" customHeight="1" thickBot="1">
      <c r="C410" s="305" t="n"/>
      <c r="D410">
        <f>VLOOKUP(B410,$C$4:$C$482,1,FALSE)</f>
        <v/>
      </c>
      <c r="F410">
        <f>"VI-"&amp;TEXT(E410,"000000")&amp;"-2025"</f>
        <v/>
      </c>
      <c r="G410" s="96" t="n"/>
      <c r="H410">
        <f>F410=G410</f>
        <v/>
      </c>
    </row>
    <row r="411">
      <c r="C411" s="288" t="n"/>
      <c r="D411">
        <f>VLOOKUP(B411,$C$4:$C$482,1,FALSE)</f>
        <v/>
      </c>
      <c r="F411">
        <f>"VI-"&amp;TEXT(E411,"000000")&amp;"-2025"</f>
        <v/>
      </c>
      <c r="G411" s="67" t="n"/>
      <c r="H411">
        <f>F411=G411</f>
        <v/>
      </c>
    </row>
    <row r="412">
      <c r="C412" s="297" t="n"/>
      <c r="D412">
        <f>VLOOKUP(B412,$C$4:$C$482,1,FALSE)</f>
        <v/>
      </c>
      <c r="F412">
        <f>"VI-"&amp;TEXT(E412,"000000")&amp;"-2025"</f>
        <v/>
      </c>
      <c r="G412" s="12" t="n"/>
      <c r="H412">
        <f>F412=G412</f>
        <v/>
      </c>
    </row>
    <row r="413" ht="13.5" customHeight="1" thickBot="1">
      <c r="C413" s="305" t="n"/>
      <c r="D413">
        <f>VLOOKUP(B413,$C$4:$C$482,1,FALSE)</f>
        <v/>
      </c>
      <c r="F413">
        <f>"VI-"&amp;TEXT(E413,"000000")&amp;"-2025"</f>
        <v/>
      </c>
      <c r="G413" s="96" t="n"/>
      <c r="H413">
        <f>F413=G413</f>
        <v/>
      </c>
    </row>
    <row r="414">
      <c r="C414" s="288" t="n"/>
      <c r="D414">
        <f>VLOOKUP(B414,$C$4:$C$482,1,FALSE)</f>
        <v/>
      </c>
      <c r="F414">
        <f>"VI-"&amp;TEXT(E414,"000000")&amp;"-2025"</f>
        <v/>
      </c>
      <c r="G414" s="67" t="n"/>
      <c r="H414">
        <f>F414=G414</f>
        <v/>
      </c>
    </row>
    <row r="415">
      <c r="C415" s="297" t="n"/>
      <c r="D415">
        <f>VLOOKUP(B415,$C$4:$C$482,1,FALSE)</f>
        <v/>
      </c>
      <c r="F415">
        <f>"VI-"&amp;TEXT(E415,"000000")&amp;"-2025"</f>
        <v/>
      </c>
      <c r="G415" s="12" t="n"/>
      <c r="H415">
        <f>F415=G415</f>
        <v/>
      </c>
    </row>
    <row r="416" ht="13.5" customHeight="1" thickBot="1">
      <c r="C416" s="305" t="n"/>
      <c r="D416">
        <f>VLOOKUP(B416,$C$4:$C$482,1,FALSE)</f>
        <v/>
      </c>
      <c r="F416">
        <f>"VI-"&amp;TEXT(E416,"000000")&amp;"-2025"</f>
        <v/>
      </c>
      <c r="G416" s="96" t="n"/>
      <c r="H416">
        <f>F416=G416</f>
        <v/>
      </c>
    </row>
    <row r="417">
      <c r="C417" s="288" t="n"/>
      <c r="D417">
        <f>VLOOKUP(B417,$C$4:$C$482,1,FALSE)</f>
        <v/>
      </c>
      <c r="F417">
        <f>"VI-"&amp;TEXT(E417,"000000")&amp;"-2025"</f>
        <v/>
      </c>
      <c r="G417" s="67" t="n"/>
      <c r="H417">
        <f>F417=G417</f>
        <v/>
      </c>
    </row>
    <row r="418">
      <c r="C418" s="297" t="n"/>
      <c r="D418">
        <f>VLOOKUP(B418,$C$4:$C$482,1,FALSE)</f>
        <v/>
      </c>
      <c r="F418">
        <f>"VI-"&amp;TEXT(E418,"000000")&amp;"-2025"</f>
        <v/>
      </c>
      <c r="G418" s="12" t="n"/>
      <c r="H418">
        <f>F418=G418</f>
        <v/>
      </c>
    </row>
    <row r="419" ht="13.5" customHeight="1" thickBot="1">
      <c r="C419" s="305" t="n"/>
      <c r="D419">
        <f>VLOOKUP(B419,$C$4:$C$482,1,FALSE)</f>
        <v/>
      </c>
      <c r="F419">
        <f>"VI-"&amp;TEXT(E419,"000000")&amp;"-2025"</f>
        <v/>
      </c>
      <c r="G419" s="96" t="n"/>
      <c r="H419">
        <f>F419=G419</f>
        <v/>
      </c>
    </row>
    <row r="420">
      <c r="C420" s="288" t="n"/>
      <c r="D420">
        <f>VLOOKUP(B420,$C$4:$C$482,1,FALSE)</f>
        <v/>
      </c>
      <c r="F420">
        <f>"VI-"&amp;TEXT(E420,"000000")&amp;"-2025"</f>
        <v/>
      </c>
      <c r="G420" s="67" t="n"/>
      <c r="H420">
        <f>F420=G420</f>
        <v/>
      </c>
    </row>
    <row r="421">
      <c r="C421" s="297" t="n"/>
      <c r="D421">
        <f>VLOOKUP(B421,$C$4:$C$482,1,FALSE)</f>
        <v/>
      </c>
      <c r="F421">
        <f>"VI-"&amp;TEXT(E421,"000000")&amp;"-2025"</f>
        <v/>
      </c>
      <c r="G421" s="12" t="n"/>
      <c r="H421">
        <f>F421=G421</f>
        <v/>
      </c>
    </row>
    <row r="422" ht="13.5" customHeight="1" thickBot="1">
      <c r="C422" s="305" t="n"/>
      <c r="D422">
        <f>VLOOKUP(B422,$C$4:$C$482,1,FALSE)</f>
        <v/>
      </c>
      <c r="F422">
        <f>"VI-"&amp;TEXT(E422,"000000")&amp;"-2025"</f>
        <v/>
      </c>
      <c r="G422" s="96" t="n"/>
      <c r="H422">
        <f>F422=G422</f>
        <v/>
      </c>
    </row>
    <row r="423">
      <c r="C423" s="288" t="n"/>
      <c r="D423">
        <f>VLOOKUP(B423,$C$4:$C$482,1,FALSE)</f>
        <v/>
      </c>
      <c r="F423">
        <f>"VI-"&amp;TEXT(E423,"000000")&amp;"-2025"</f>
        <v/>
      </c>
      <c r="G423" s="67" t="n"/>
      <c r="H423">
        <f>F423=G423</f>
        <v/>
      </c>
    </row>
    <row r="424">
      <c r="C424" s="297" t="n"/>
      <c r="D424">
        <f>VLOOKUP(B424,$C$4:$C$482,1,FALSE)</f>
        <v/>
      </c>
      <c r="F424">
        <f>"VI-"&amp;TEXT(E424,"000000")&amp;"-2025"</f>
        <v/>
      </c>
      <c r="G424" s="12" t="n"/>
      <c r="H424">
        <f>F424=G424</f>
        <v/>
      </c>
    </row>
    <row r="425" ht="13.5" customHeight="1" thickBot="1">
      <c r="C425" s="305" t="n"/>
      <c r="D425">
        <f>VLOOKUP(B425,$C$4:$C$482,1,FALSE)</f>
        <v/>
      </c>
      <c r="F425">
        <f>"VI-"&amp;TEXT(E425,"000000")&amp;"-2025"</f>
        <v/>
      </c>
      <c r="G425" s="96" t="n"/>
      <c r="H425">
        <f>F425=G425</f>
        <v/>
      </c>
    </row>
    <row r="426">
      <c r="C426" s="288" t="n"/>
      <c r="D426">
        <f>VLOOKUP(B426,$C$4:$C$482,1,FALSE)</f>
        <v/>
      </c>
      <c r="F426">
        <f>"VI-"&amp;TEXT(E426,"000000")&amp;"-2025"</f>
        <v/>
      </c>
      <c r="G426" s="67" t="n"/>
      <c r="H426">
        <f>F426=G426</f>
        <v/>
      </c>
    </row>
    <row r="427">
      <c r="C427" s="297" t="n"/>
      <c r="D427">
        <f>VLOOKUP(B427,$C$4:$C$482,1,FALSE)</f>
        <v/>
      </c>
      <c r="F427">
        <f>"VI-"&amp;TEXT(E427,"000000")&amp;"-2025"</f>
        <v/>
      </c>
      <c r="G427" s="12" t="n"/>
      <c r="H427">
        <f>F427=G427</f>
        <v/>
      </c>
    </row>
    <row r="428" ht="13.5" customHeight="1" thickBot="1">
      <c r="C428" s="305" t="n"/>
      <c r="D428">
        <f>VLOOKUP(B428,$C$4:$C$482,1,FALSE)</f>
        <v/>
      </c>
      <c r="F428">
        <f>"VI-"&amp;TEXT(E428,"000000")&amp;"-2025"</f>
        <v/>
      </c>
      <c r="G428" s="96" t="n"/>
      <c r="H428">
        <f>F428=G428</f>
        <v/>
      </c>
    </row>
    <row r="429">
      <c r="C429" s="288" t="n"/>
      <c r="D429">
        <f>VLOOKUP(B429,$C$4:$C$482,1,FALSE)</f>
        <v/>
      </c>
      <c r="F429">
        <f>"VI-"&amp;TEXT(E429,"000000")&amp;"-2025"</f>
        <v/>
      </c>
      <c r="G429" s="67" t="n"/>
      <c r="H429">
        <f>F429=G429</f>
        <v/>
      </c>
    </row>
    <row r="430">
      <c r="C430" s="297" t="n"/>
      <c r="D430">
        <f>VLOOKUP(B430,$C$4:$C$482,1,FALSE)</f>
        <v/>
      </c>
      <c r="F430">
        <f>"VI-"&amp;TEXT(E430,"000000")&amp;"-2025"</f>
        <v/>
      </c>
      <c r="G430" s="12" t="n"/>
      <c r="H430">
        <f>F430=G430</f>
        <v/>
      </c>
    </row>
    <row r="431" ht="13.5" customHeight="1" thickBot="1">
      <c r="C431" s="305" t="n"/>
      <c r="D431">
        <f>VLOOKUP(B431,$C$4:$C$482,1,FALSE)</f>
        <v/>
      </c>
      <c r="F431">
        <f>"VI-"&amp;TEXT(E431,"000000")&amp;"-2025"</f>
        <v/>
      </c>
      <c r="G431" s="96" t="n"/>
      <c r="H431">
        <f>F431=G431</f>
        <v/>
      </c>
    </row>
    <row r="432">
      <c r="C432" s="288" t="n"/>
      <c r="D432">
        <f>VLOOKUP(B432,$C$4:$C$482,1,FALSE)</f>
        <v/>
      </c>
      <c r="F432">
        <f>"VI-"&amp;TEXT(E432,"000000")&amp;"-2025"</f>
        <v/>
      </c>
      <c r="G432" s="67" t="n"/>
      <c r="H432">
        <f>F432=G432</f>
        <v/>
      </c>
    </row>
    <row r="433">
      <c r="C433" s="297" t="n"/>
      <c r="D433">
        <f>VLOOKUP(B433,$C$4:$C$482,1,FALSE)</f>
        <v/>
      </c>
      <c r="F433">
        <f>"VI-"&amp;TEXT(E433,"000000")&amp;"-2025"</f>
        <v/>
      </c>
      <c r="G433" s="12" t="n"/>
      <c r="H433">
        <f>F433=G433</f>
        <v/>
      </c>
    </row>
    <row r="434" ht="13.5" customHeight="1" thickBot="1">
      <c r="C434" s="305" t="n"/>
      <c r="D434">
        <f>VLOOKUP(B434,$C$4:$C$482,1,FALSE)</f>
        <v/>
      </c>
      <c r="F434">
        <f>"VI-"&amp;TEXT(E434,"000000")&amp;"-2025"</f>
        <v/>
      </c>
      <c r="G434" s="96" t="n"/>
      <c r="H434">
        <f>F434=G434</f>
        <v/>
      </c>
    </row>
    <row r="435">
      <c r="C435" s="288" t="n"/>
      <c r="D435">
        <f>VLOOKUP(B435,$C$4:$C$482,1,FALSE)</f>
        <v/>
      </c>
      <c r="F435">
        <f>"VI-"&amp;TEXT(E435,"000000")&amp;"-2025"</f>
        <v/>
      </c>
      <c r="G435" s="67" t="n"/>
      <c r="H435">
        <f>F435=G435</f>
        <v/>
      </c>
    </row>
    <row r="436">
      <c r="C436" s="297" t="n"/>
      <c r="D436">
        <f>VLOOKUP(B436,$C$4:$C$482,1,FALSE)</f>
        <v/>
      </c>
      <c r="F436">
        <f>"VI-"&amp;TEXT(E436,"000000")&amp;"-2025"</f>
        <v/>
      </c>
      <c r="G436" s="12" t="n"/>
      <c r="H436">
        <f>F436=G436</f>
        <v/>
      </c>
    </row>
    <row r="437" ht="13.5" customHeight="1" thickBot="1">
      <c r="C437" s="305" t="n"/>
      <c r="D437">
        <f>VLOOKUP(B437,$C$4:$C$482,1,FALSE)</f>
        <v/>
      </c>
      <c r="F437">
        <f>"VI-"&amp;TEXT(E437,"000000")&amp;"-2025"</f>
        <v/>
      </c>
      <c r="G437" s="96" t="n"/>
      <c r="H437">
        <f>F437=G437</f>
        <v/>
      </c>
    </row>
    <row r="438">
      <c r="C438" s="288" t="n"/>
      <c r="D438">
        <f>VLOOKUP(B438,$C$4:$C$482,1,FALSE)</f>
        <v/>
      </c>
      <c r="F438">
        <f>"VI-"&amp;TEXT(E438,"000000")&amp;"-2025"</f>
        <v/>
      </c>
      <c r="G438" s="67" t="n"/>
      <c r="H438">
        <f>F438=G438</f>
        <v/>
      </c>
    </row>
    <row r="439">
      <c r="C439" s="297" t="n"/>
      <c r="D439">
        <f>VLOOKUP(B439,$C$4:$C$482,1,FALSE)</f>
        <v/>
      </c>
      <c r="F439">
        <f>"VI-"&amp;TEXT(E439,"000000")&amp;"-2025"</f>
        <v/>
      </c>
      <c r="G439" s="12" t="n"/>
      <c r="H439">
        <f>F439=G439</f>
        <v/>
      </c>
    </row>
    <row r="440" ht="13.5" customHeight="1" thickBot="1">
      <c r="C440" s="305" t="n"/>
      <c r="D440">
        <f>VLOOKUP(B440,$C$4:$C$482,1,FALSE)</f>
        <v/>
      </c>
      <c r="F440">
        <f>"VI-"&amp;TEXT(E440,"000000")&amp;"-2025"</f>
        <v/>
      </c>
      <c r="G440" s="96" t="n"/>
      <c r="H440">
        <f>F440=G440</f>
        <v/>
      </c>
    </row>
    <row r="441">
      <c r="C441" s="288" t="n"/>
      <c r="D441">
        <f>VLOOKUP(B441,$C$4:$C$482,1,FALSE)</f>
        <v/>
      </c>
      <c r="F441">
        <f>"VI-"&amp;TEXT(E441,"000000")&amp;"-2025"</f>
        <v/>
      </c>
      <c r="G441" s="67" t="n"/>
      <c r="H441">
        <f>F441=G441</f>
        <v/>
      </c>
    </row>
    <row r="442">
      <c r="C442" s="297" t="n"/>
      <c r="D442">
        <f>VLOOKUP(B442,$C$4:$C$482,1,FALSE)</f>
        <v/>
      </c>
      <c r="F442">
        <f>"VI-"&amp;TEXT(E442,"000000")&amp;"-2025"</f>
        <v/>
      </c>
      <c r="G442" s="12" t="n"/>
      <c r="H442">
        <f>F442=G442</f>
        <v/>
      </c>
    </row>
    <row r="443" ht="13.5" customHeight="1" thickBot="1">
      <c r="C443" s="305" t="n"/>
      <c r="D443">
        <f>VLOOKUP(B443,$C$4:$C$482,1,FALSE)</f>
        <v/>
      </c>
      <c r="F443">
        <f>"VI-"&amp;TEXT(E443,"000000")&amp;"-2025"</f>
        <v/>
      </c>
      <c r="G443" s="96" t="n"/>
      <c r="H443">
        <f>F443=G443</f>
        <v/>
      </c>
    </row>
    <row r="444">
      <c r="C444" s="288" t="n"/>
      <c r="D444">
        <f>VLOOKUP(B444,$C$4:$C$482,1,FALSE)</f>
        <v/>
      </c>
      <c r="F444">
        <f>"VI-"&amp;TEXT(E444,"000000")&amp;"-2025"</f>
        <v/>
      </c>
      <c r="G444" s="67" t="n"/>
      <c r="H444">
        <f>F444=G444</f>
        <v/>
      </c>
    </row>
    <row r="445">
      <c r="C445" s="297" t="n"/>
      <c r="D445">
        <f>VLOOKUP(B445,$C$4:$C$482,1,FALSE)</f>
        <v/>
      </c>
      <c r="F445">
        <f>"VI-"&amp;TEXT(E445,"000000")&amp;"-2025"</f>
        <v/>
      </c>
      <c r="G445" s="12" t="n"/>
      <c r="H445">
        <f>F445=G445</f>
        <v/>
      </c>
    </row>
    <row r="446" ht="13.5" customHeight="1" thickBot="1">
      <c r="C446" s="305" t="n"/>
      <c r="D446">
        <f>VLOOKUP(B446,$C$4:$C$482,1,FALSE)</f>
        <v/>
      </c>
      <c r="F446">
        <f>"VI-"&amp;TEXT(E446,"000000")&amp;"-2025"</f>
        <v/>
      </c>
      <c r="G446" s="96" t="n"/>
      <c r="H446">
        <f>F446=G446</f>
        <v/>
      </c>
    </row>
    <row r="447">
      <c r="C447" s="288" t="n"/>
      <c r="D447">
        <f>VLOOKUP(B447,$C$4:$C$482,1,FALSE)</f>
        <v/>
      </c>
      <c r="F447">
        <f>"VI-"&amp;TEXT(E447,"000000")&amp;"-2025"</f>
        <v/>
      </c>
      <c r="G447" s="67" t="n"/>
      <c r="H447">
        <f>F447=G447</f>
        <v/>
      </c>
    </row>
    <row r="448">
      <c r="C448" s="297" t="n"/>
      <c r="D448">
        <f>VLOOKUP(B448,$C$4:$C$482,1,FALSE)</f>
        <v/>
      </c>
      <c r="F448">
        <f>"VI-"&amp;TEXT(E448,"000000")&amp;"-2025"</f>
        <v/>
      </c>
      <c r="G448" s="12" t="n"/>
      <c r="H448">
        <f>F448=G448</f>
        <v/>
      </c>
    </row>
    <row r="449" ht="13.5" customHeight="1" thickBot="1">
      <c r="C449" s="305" t="n"/>
      <c r="D449">
        <f>VLOOKUP(B449,$C$4:$C$482,1,FALSE)</f>
        <v/>
      </c>
      <c r="F449">
        <f>"VI-"&amp;TEXT(E449,"000000")&amp;"-2025"</f>
        <v/>
      </c>
      <c r="G449" s="96" t="n"/>
      <c r="H449">
        <f>F449=G449</f>
        <v/>
      </c>
    </row>
    <row r="450">
      <c r="C450" s="288" t="n"/>
      <c r="D450">
        <f>VLOOKUP(B450,$C$4:$C$482,1,FALSE)</f>
        <v/>
      </c>
      <c r="F450">
        <f>"VI-"&amp;TEXT(E450,"000000")&amp;"-2025"</f>
        <v/>
      </c>
      <c r="G450" s="67" t="n"/>
      <c r="H450">
        <f>F450=G450</f>
        <v/>
      </c>
    </row>
    <row r="451">
      <c r="C451" s="297" t="n"/>
      <c r="D451">
        <f>VLOOKUP(B451,$C$4:$C$482,1,FALSE)</f>
        <v/>
      </c>
      <c r="F451">
        <f>"VI-"&amp;TEXT(E451,"000000")&amp;"-2025"</f>
        <v/>
      </c>
      <c r="G451" s="12" t="n"/>
      <c r="H451">
        <f>F451=G451</f>
        <v/>
      </c>
    </row>
    <row r="452" ht="13.5" customHeight="1" thickBot="1">
      <c r="C452" s="305" t="n"/>
      <c r="D452">
        <f>VLOOKUP(B452,$C$4:$C$482,1,FALSE)</f>
        <v/>
      </c>
      <c r="F452">
        <f>"VI-"&amp;TEXT(E452,"000000")&amp;"-2025"</f>
        <v/>
      </c>
      <c r="G452" s="96" t="n"/>
      <c r="H452">
        <f>F452=G452</f>
        <v/>
      </c>
    </row>
    <row r="453">
      <c r="C453" s="288" t="n"/>
      <c r="D453">
        <f>VLOOKUP(B453,$C$4:$C$482,1,FALSE)</f>
        <v/>
      </c>
      <c r="F453">
        <f>"VI-"&amp;TEXT(E453,"000000")&amp;"-2025"</f>
        <v/>
      </c>
      <c r="G453" s="67" t="n"/>
      <c r="H453">
        <f>F453=G453</f>
        <v/>
      </c>
    </row>
    <row r="454">
      <c r="C454" s="297" t="n"/>
      <c r="D454">
        <f>VLOOKUP(B454,$C$4:$C$482,1,FALSE)</f>
        <v/>
      </c>
      <c r="F454">
        <f>"VI-"&amp;TEXT(E454,"000000")&amp;"-2025"</f>
        <v/>
      </c>
      <c r="G454" s="12" t="n"/>
      <c r="H454">
        <f>F454=G454</f>
        <v/>
      </c>
    </row>
    <row r="455" ht="13.5" customHeight="1" thickBot="1">
      <c r="C455" s="305" t="n"/>
      <c r="D455">
        <f>VLOOKUP(B455,$C$4:$C$482,1,FALSE)</f>
        <v/>
      </c>
      <c r="F455">
        <f>"VI-"&amp;TEXT(E455,"000000")&amp;"-2025"</f>
        <v/>
      </c>
      <c r="G455" s="96" t="n"/>
      <c r="H455">
        <f>F455=G455</f>
        <v/>
      </c>
    </row>
    <row r="456">
      <c r="C456" s="288" t="n"/>
      <c r="D456">
        <f>VLOOKUP(B456,$C$4:$C$482,1,FALSE)</f>
        <v/>
      </c>
      <c r="F456">
        <f>"VI-"&amp;TEXT(E456,"000000")&amp;"-2025"</f>
        <v/>
      </c>
      <c r="G456" s="67" t="n"/>
      <c r="H456">
        <f>F456=G456</f>
        <v/>
      </c>
    </row>
    <row r="457">
      <c r="C457" s="297" t="n"/>
      <c r="D457">
        <f>VLOOKUP(B457,$C$4:$C$482,1,FALSE)</f>
        <v/>
      </c>
      <c r="F457">
        <f>"VI-"&amp;TEXT(E457,"000000")&amp;"-2025"</f>
        <v/>
      </c>
      <c r="G457" s="12" t="n"/>
      <c r="H457">
        <f>F457=G457</f>
        <v/>
      </c>
    </row>
    <row r="458" ht="13.5" customHeight="1" thickBot="1">
      <c r="C458" s="305" t="n"/>
      <c r="D458">
        <f>VLOOKUP(B458,$C$4:$C$482,1,FALSE)</f>
        <v/>
      </c>
      <c r="F458">
        <f>"VI-"&amp;TEXT(E458,"000000")&amp;"-2025"</f>
        <v/>
      </c>
      <c r="G458" s="96" t="n"/>
      <c r="H458">
        <f>F458=G458</f>
        <v/>
      </c>
    </row>
    <row r="459">
      <c r="C459" s="288" t="n"/>
      <c r="D459">
        <f>VLOOKUP(B459,$C$4:$C$482,1,FALSE)</f>
        <v/>
      </c>
      <c r="F459">
        <f>"VI-"&amp;TEXT(E459,"000000")&amp;"-2025"</f>
        <v/>
      </c>
      <c r="G459" s="67" t="n"/>
      <c r="H459">
        <f>F459=G459</f>
        <v/>
      </c>
    </row>
    <row r="460">
      <c r="C460" s="297" t="n"/>
      <c r="D460">
        <f>VLOOKUP(B460,$C$4:$C$482,1,FALSE)</f>
        <v/>
      </c>
      <c r="F460">
        <f>"VI-"&amp;TEXT(E460,"000000")&amp;"-2025"</f>
        <v/>
      </c>
      <c r="G460" s="12" t="n"/>
      <c r="H460">
        <f>F460=G460</f>
        <v/>
      </c>
    </row>
    <row r="461" ht="13.5" customHeight="1" thickBot="1">
      <c r="C461" s="305" t="n"/>
      <c r="D461">
        <f>VLOOKUP(B461,$C$4:$C$482,1,FALSE)</f>
        <v/>
      </c>
      <c r="F461">
        <f>"VI-"&amp;TEXT(E461,"000000")&amp;"-2025"</f>
        <v/>
      </c>
      <c r="G461" s="96" t="n"/>
      <c r="H461">
        <f>F461=G461</f>
        <v/>
      </c>
    </row>
    <row r="462">
      <c r="C462" s="288" t="n"/>
      <c r="D462">
        <f>VLOOKUP(B462,$C$4:$C$482,1,FALSE)</f>
        <v/>
      </c>
      <c r="F462">
        <f>"VI-"&amp;TEXT(E462,"000000")&amp;"-2025"</f>
        <v/>
      </c>
      <c r="G462" s="67" t="n"/>
      <c r="H462">
        <f>F462=G462</f>
        <v/>
      </c>
    </row>
    <row r="463">
      <c r="C463" s="297" t="n"/>
      <c r="D463">
        <f>VLOOKUP(B463,$C$4:$C$482,1,FALSE)</f>
        <v/>
      </c>
      <c r="F463">
        <f>"VI-"&amp;TEXT(E463,"000000")&amp;"-2025"</f>
        <v/>
      </c>
      <c r="G463" s="12" t="n"/>
      <c r="H463">
        <f>F463=G463</f>
        <v/>
      </c>
    </row>
    <row r="464" ht="13.5" customHeight="1" thickBot="1">
      <c r="C464" s="305" t="n"/>
      <c r="D464">
        <f>VLOOKUP(B464,$C$4:$C$482,1,FALSE)</f>
        <v/>
      </c>
      <c r="F464">
        <f>"VI-"&amp;TEXT(E464,"000000")&amp;"-2025"</f>
        <v/>
      </c>
      <c r="G464" s="96" t="n"/>
      <c r="H464">
        <f>F464=G464</f>
        <v/>
      </c>
    </row>
    <row r="465">
      <c r="C465" s="288" t="n"/>
      <c r="D465">
        <f>VLOOKUP(B465,$C$4:$C$482,1,FALSE)</f>
        <v/>
      </c>
      <c r="F465">
        <f>"VI-"&amp;TEXT(E465,"000000")&amp;"-2025"</f>
        <v/>
      </c>
      <c r="G465" s="67" t="n"/>
      <c r="H465">
        <f>F465=G465</f>
        <v/>
      </c>
    </row>
    <row r="466">
      <c r="C466" s="297" t="n"/>
      <c r="D466">
        <f>VLOOKUP(B466,$C$4:$C$482,1,FALSE)</f>
        <v/>
      </c>
      <c r="F466">
        <f>"VI-"&amp;TEXT(E466,"000000")&amp;"-2025"</f>
        <v/>
      </c>
      <c r="G466" s="12" t="n"/>
      <c r="H466">
        <f>F466=G466</f>
        <v/>
      </c>
    </row>
    <row r="467" ht="13.5" customHeight="1" thickBot="1">
      <c r="C467" s="305" t="n"/>
      <c r="D467">
        <f>VLOOKUP(B467,$C$4:$C$482,1,FALSE)</f>
        <v/>
      </c>
      <c r="F467">
        <f>"VI-"&amp;TEXT(E467,"000000")&amp;"-2025"</f>
        <v/>
      </c>
      <c r="G467" s="96" t="n"/>
      <c r="H467">
        <f>F467=G467</f>
        <v/>
      </c>
    </row>
    <row r="468">
      <c r="C468" s="288" t="n"/>
      <c r="D468">
        <f>VLOOKUP(B468,$C$4:$C$482,1,FALSE)</f>
        <v/>
      </c>
      <c r="F468">
        <f>"VI-"&amp;TEXT(E468,"000000")&amp;"-2025"</f>
        <v/>
      </c>
      <c r="G468" s="67" t="n"/>
      <c r="H468">
        <f>F468=G468</f>
        <v/>
      </c>
    </row>
    <row r="469">
      <c r="C469" s="297" t="n"/>
      <c r="D469">
        <f>VLOOKUP(B469,$C$4:$C$482,1,FALSE)</f>
        <v/>
      </c>
      <c r="F469">
        <f>"VI-"&amp;TEXT(E469,"000000")&amp;"-2025"</f>
        <v/>
      </c>
      <c r="G469" s="12" t="n"/>
      <c r="H469">
        <f>F469=G469</f>
        <v/>
      </c>
    </row>
    <row r="470" ht="13.5" customHeight="1" thickBot="1">
      <c r="C470" s="305" t="n"/>
      <c r="D470">
        <f>VLOOKUP(B470,$C$4:$C$482,1,FALSE)</f>
        <v/>
      </c>
      <c r="F470">
        <f>"VI-"&amp;TEXT(E470,"000000")&amp;"-2025"</f>
        <v/>
      </c>
      <c r="G470" s="96" t="n"/>
      <c r="H470">
        <f>F470=G470</f>
        <v/>
      </c>
    </row>
    <row r="471">
      <c r="C471" s="288" t="n"/>
      <c r="D471">
        <f>VLOOKUP(B471,$C$4:$C$482,1,FALSE)</f>
        <v/>
      </c>
      <c r="F471">
        <f>"VI-"&amp;TEXT(E471,"000000")&amp;"-2025"</f>
        <v/>
      </c>
      <c r="G471" s="67" t="n"/>
      <c r="H471">
        <f>F471=G471</f>
        <v/>
      </c>
    </row>
    <row r="472">
      <c r="C472" s="297" t="n"/>
      <c r="D472">
        <f>VLOOKUP(B472,$C$4:$C$482,1,FALSE)</f>
        <v/>
      </c>
      <c r="F472">
        <f>"VI-"&amp;TEXT(E472,"000000")&amp;"-2025"</f>
        <v/>
      </c>
      <c r="G472" s="12" t="n"/>
      <c r="H472">
        <f>F472=G472</f>
        <v/>
      </c>
    </row>
    <row r="473" ht="13.5" customHeight="1" thickBot="1">
      <c r="C473" s="305" t="n"/>
      <c r="D473">
        <f>VLOOKUP(B473,$C$4:$C$482,1,FALSE)</f>
        <v/>
      </c>
      <c r="F473">
        <f>"VI-"&amp;TEXT(E473,"000000")&amp;"-2025"</f>
        <v/>
      </c>
      <c r="G473" s="96" t="n"/>
      <c r="H473">
        <f>F473=G473</f>
        <v/>
      </c>
    </row>
    <row r="474">
      <c r="C474" s="288" t="n"/>
      <c r="D474">
        <f>VLOOKUP(B474,$C$4:$C$482,1,FALSE)</f>
        <v/>
      </c>
      <c r="F474">
        <f>"VI-"&amp;TEXT(E474,"000000")&amp;"-2025"</f>
        <v/>
      </c>
      <c r="G474" s="67" t="n"/>
      <c r="H474">
        <f>F474=G474</f>
        <v/>
      </c>
    </row>
    <row r="475">
      <c r="C475" s="297" t="n"/>
      <c r="D475">
        <f>VLOOKUP(B475,$C$4:$C$482,1,FALSE)</f>
        <v/>
      </c>
      <c r="F475">
        <f>"VI-"&amp;TEXT(E475,"000000")&amp;"-2025"</f>
        <v/>
      </c>
      <c r="G475" s="12" t="n"/>
      <c r="H475">
        <f>F475=G475</f>
        <v/>
      </c>
    </row>
    <row r="476" ht="13.5" customHeight="1" thickBot="1">
      <c r="C476" s="305" t="n"/>
      <c r="D476">
        <f>VLOOKUP(B476,$C$4:$C$482,1,FALSE)</f>
        <v/>
      </c>
      <c r="F476">
        <f>"VI-"&amp;TEXT(E476,"000000")&amp;"-2025"</f>
        <v/>
      </c>
      <c r="G476" s="96" t="n"/>
      <c r="H476">
        <f>F476=G476</f>
        <v/>
      </c>
    </row>
    <row r="477">
      <c r="C477" s="288" t="n"/>
      <c r="D477">
        <f>VLOOKUP(B477,$C$4:$C$482,1,FALSE)</f>
        <v/>
      </c>
      <c r="F477">
        <f>"VI-"&amp;TEXT(E477,"000000")&amp;"-2025"</f>
        <v/>
      </c>
      <c r="G477" s="67" t="n"/>
      <c r="H477">
        <f>F477=G477</f>
        <v/>
      </c>
    </row>
    <row r="478">
      <c r="C478" s="297" t="n"/>
      <c r="D478">
        <f>VLOOKUP(B478,$C$4:$C$482,1,FALSE)</f>
        <v/>
      </c>
      <c r="F478">
        <f>"VI-"&amp;TEXT(E478,"000000")&amp;"-2025"</f>
        <v/>
      </c>
      <c r="G478" s="12" t="n"/>
      <c r="H478">
        <f>F478=G478</f>
        <v/>
      </c>
    </row>
    <row r="479" ht="13.5" customHeight="1" thickBot="1">
      <c r="C479" s="305" t="n"/>
      <c r="D479">
        <f>VLOOKUP(B479,$C$4:$C$482,1,FALSE)</f>
        <v/>
      </c>
      <c r="F479">
        <f>"VI-"&amp;TEXT(E479,"000000")&amp;"-2025"</f>
        <v/>
      </c>
      <c r="G479" s="96" t="n"/>
      <c r="H479">
        <f>F479=G479</f>
        <v/>
      </c>
    </row>
    <row r="480">
      <c r="C480" s="288" t="n"/>
      <c r="D480">
        <f>VLOOKUP(B480,$C$4:$C$482,1,FALSE)</f>
        <v/>
      </c>
      <c r="F480">
        <f>"VI-"&amp;TEXT(E480,"000000")&amp;"-2025"</f>
        <v/>
      </c>
      <c r="G480" s="67" t="n"/>
      <c r="H480">
        <f>F480=G480</f>
        <v/>
      </c>
    </row>
    <row r="481">
      <c r="C481" s="297" t="n"/>
      <c r="D481">
        <f>VLOOKUP(B481,$C$4:$C$482,1,FALSE)</f>
        <v/>
      </c>
      <c r="F481">
        <f>"VI-"&amp;TEXT(E481,"000000")&amp;"-2025"</f>
        <v/>
      </c>
      <c r="G481" s="12" t="n"/>
      <c r="H481">
        <f>F481=G481</f>
        <v/>
      </c>
    </row>
    <row r="482">
      <c r="C482" s="305" t="n"/>
      <c r="D482">
        <f>VLOOKUP(B482,$C$4:$C$482,1,FALSE)</f>
        <v/>
      </c>
      <c r="F482">
        <f>"VI-"&amp;TEXT(E482,"000000")&amp;"-2025"</f>
        <v/>
      </c>
      <c r="G482" s="96" t="n"/>
      <c r="H482">
        <f>F482=G482</f>
        <v/>
      </c>
    </row>
  </sheetData>
  <autoFilter ref="B3:H3"/>
  <conditionalFormatting sqref="B1:B1048576">
    <cfRule type="duplicateValues" priority="1" dxfId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F20" sqref="F20"/>
    </sheetView>
  </sheetViews>
  <sheetFormatPr baseColWidth="10" defaultRowHeight="12.75"/>
  <cols>
    <col width="11.85546875" bestFit="1" customWidth="1" min="1" max="1"/>
  </cols>
  <sheetData>
    <row r="1" ht="20.25" customHeight="1">
      <c r="A1" s="208" t="n"/>
    </row>
    <row r="2" ht="13.5" customHeight="1" thickBot="1"/>
    <row r="3">
      <c r="A3" s="310" t="inlineStr">
        <is>
          <t>Item</t>
        </is>
      </c>
      <c r="B3" s="311" t="inlineStr">
        <is>
          <t>N° de banco de ensayo</t>
        </is>
      </c>
      <c r="C3" s="312" t="inlineStr">
        <is>
          <t># Medidor</t>
        </is>
      </c>
      <c r="D3" s="215" t="inlineStr">
        <is>
          <t>Presión Estática
(Estado)</t>
        </is>
      </c>
      <c r="E3" s="204" t="inlineStr">
        <is>
          <t>Q3
E %</t>
        </is>
      </c>
      <c r="F3" s="204" t="inlineStr">
        <is>
          <t>Q2
E %</t>
        </is>
      </c>
      <c r="G3" s="204" t="inlineStr">
        <is>
          <t>Q1
E %</t>
        </is>
      </c>
      <c r="H3" s="313" t="inlineStr">
        <is>
          <t>Estado</t>
        </is>
      </c>
      <c r="I3" s="313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  <row r="6">
      <c r="A6" s="80">
        <f>'ERROR FINAL'!A9</f>
        <v/>
      </c>
      <c r="B6" s="81">
        <f>'ERROR FINAL'!D9</f>
        <v/>
      </c>
      <c r="C6" s="314">
        <f>'ERROR FINAL'!G9</f>
        <v/>
      </c>
      <c r="D6" s="83">
        <f>'ERROR FINAL'!I9</f>
        <v/>
      </c>
      <c r="E6" s="315">
        <f>'ERROR FINAL'!U9</f>
        <v/>
      </c>
      <c r="F6" s="316">
        <f>'ERROR FINAL'!AG9</f>
        <v/>
      </c>
      <c r="G6" s="316">
        <f>'ERROR FINAL'!AS9</f>
        <v/>
      </c>
      <c r="H6" s="86">
        <f>IF('ERROR FINAL'!AT9="CONFORME","CONFORME","NO CONFORME")</f>
        <v/>
      </c>
      <c r="I6" s="87">
        <f>IF(D6=0,"Medición",IF(D6=1,"Daño físico",IF(D6=2,"Fuga",IF(D6=3,"Picado",IF(D6=4,"Desfasado",IF(D6=5,"Paralizado","¿?"))))))</f>
        <v/>
      </c>
    </row>
    <row r="7">
      <c r="A7" s="80">
        <f>'ERROR FINAL'!A10</f>
        <v/>
      </c>
      <c r="B7" s="81">
        <f>'ERROR FINAL'!D10</f>
        <v/>
      </c>
      <c r="C7" s="314">
        <f>'ERROR FINAL'!G10</f>
        <v/>
      </c>
      <c r="D7" s="83">
        <f>'ERROR FINAL'!I10</f>
        <v/>
      </c>
      <c r="E7" s="315">
        <f>'ERROR FINAL'!U10</f>
        <v/>
      </c>
      <c r="F7" s="316">
        <f>'ERROR FINAL'!AG10</f>
        <v/>
      </c>
      <c r="G7" s="316">
        <f>'ERROR FINAL'!AS10</f>
        <v/>
      </c>
      <c r="H7" s="86">
        <f>IF('ERROR FINAL'!AT10="CONFORME","CONFORME","NO CONFORME")</f>
        <v/>
      </c>
      <c r="I7" s="87">
        <f>IF(D7=0,"Medición",IF(D7=1,"Daño físico",IF(D7=2,"Fuga",IF(D7=3,"Picado",IF(D7=4,"Desfasado",IF(D7=5,"Paralizado","¿?"))))))</f>
        <v/>
      </c>
    </row>
    <row r="8">
      <c r="A8" s="80">
        <f>'ERROR FINAL'!A11</f>
        <v/>
      </c>
      <c r="B8" s="81">
        <f>'ERROR FINAL'!D11</f>
        <v/>
      </c>
      <c r="C8" s="314">
        <f>'ERROR FINAL'!G11</f>
        <v/>
      </c>
      <c r="D8" s="83">
        <f>'ERROR FINAL'!I11</f>
        <v/>
      </c>
      <c r="E8" s="315">
        <f>'ERROR FINAL'!U11</f>
        <v/>
      </c>
      <c r="F8" s="316">
        <f>'ERROR FINAL'!AG11</f>
        <v/>
      </c>
      <c r="G8" s="316">
        <f>'ERROR FINAL'!AS11</f>
        <v/>
      </c>
      <c r="H8" s="86">
        <f>IF('ERROR FINAL'!AT11="CONFORME","CONFORME","NO CONFORME")</f>
        <v/>
      </c>
      <c r="I8" s="87">
        <f>IF(D8=0,"Medición",IF(D8=1,"Daño físico",IF(D8=2,"Fuga",IF(D8=3,"Picado",IF(D8=4,"Desfasado",IF(D8=5,"Paralizado","¿?"))))))</f>
        <v/>
      </c>
    </row>
    <row r="9">
      <c r="A9" s="80">
        <f>'ERROR FINAL'!A12</f>
        <v/>
      </c>
      <c r="B9" s="81">
        <f>'ERROR FINAL'!D12</f>
        <v/>
      </c>
      <c r="C9" s="314">
        <f>'ERROR FINAL'!G12</f>
        <v/>
      </c>
      <c r="D9" s="83">
        <f>'ERROR FINAL'!I12</f>
        <v/>
      </c>
      <c r="E9" s="315">
        <f>'ERROR FINAL'!U12</f>
        <v/>
      </c>
      <c r="F9" s="316">
        <f>'ERROR FINAL'!AG12</f>
        <v/>
      </c>
      <c r="G9" s="316">
        <f>'ERROR FINAL'!AS12</f>
        <v/>
      </c>
      <c r="H9" s="86">
        <f>IF('ERROR FINAL'!AT12="CONFORME","CONFORME","NO CONFORME")</f>
        <v/>
      </c>
      <c r="I9" s="87">
        <f>IF(D9=0,"Medición",IF(D9=1,"Daño físico",IF(D9=2,"Fuga",IF(D9=3,"Picado",IF(D9=4,"Desfasado",IF(D9=5,"Paralizado","¿?"))))))</f>
        <v/>
      </c>
    </row>
    <row r="10">
      <c r="A10" s="80">
        <f>'ERROR FINAL'!A13</f>
        <v/>
      </c>
      <c r="B10" s="81">
        <f>'ERROR FINAL'!D13</f>
        <v/>
      </c>
      <c r="C10" s="314">
        <f>'ERROR FINAL'!G13</f>
        <v/>
      </c>
      <c r="D10" s="83">
        <f>'ERROR FINAL'!I13</f>
        <v/>
      </c>
      <c r="E10" s="315">
        <f>'ERROR FINAL'!U13</f>
        <v/>
      </c>
      <c r="F10" s="316">
        <f>'ERROR FINAL'!AG13</f>
        <v/>
      </c>
      <c r="G10" s="316">
        <f>'ERROR FINAL'!AS13</f>
        <v/>
      </c>
      <c r="H10" s="86">
        <f>IF('ERROR FINAL'!AT13="CONFORME","CONFORME","NO CONFORME")</f>
        <v/>
      </c>
      <c r="I10" s="87">
        <f>IF(D10=0,"Medición",IF(D10=1,"Daño físico",IF(D10=2,"Fuga",IF(D10=3,"Picado",IF(D10=4,"Desfasado",IF(D10=5,"Paralizado","¿?"))))))</f>
        <v/>
      </c>
    </row>
    <row r="11">
      <c r="A11" s="80">
        <f>'ERROR FINAL'!A14</f>
        <v/>
      </c>
      <c r="B11" s="81">
        <f>'ERROR FINAL'!D14</f>
        <v/>
      </c>
      <c r="C11" s="314">
        <f>'ERROR FINAL'!G14</f>
        <v/>
      </c>
      <c r="D11" s="83">
        <f>'ERROR FINAL'!I14</f>
        <v/>
      </c>
      <c r="E11" s="315">
        <f>'ERROR FINAL'!U14</f>
        <v/>
      </c>
      <c r="F11" s="316">
        <f>'ERROR FINAL'!AG14</f>
        <v/>
      </c>
      <c r="G11" s="316">
        <f>'ERROR FINAL'!AS14</f>
        <v/>
      </c>
      <c r="H11" s="86">
        <f>IF('ERROR FINAL'!AT14="CONFORME","CONFORME","NO CONFORME")</f>
        <v/>
      </c>
      <c r="I11" s="87">
        <f>IF(D11=0,"Medición",IF(D11=1,"Daño físico",IF(D11=2,"Fuga",IF(D11=3,"Picado",IF(D11=4,"Desfasado",IF(D11=5,"Paralizado","¿?"))))))</f>
        <v/>
      </c>
    </row>
    <row r="12">
      <c r="A12" s="80">
        <f>'ERROR FINAL'!A15</f>
        <v/>
      </c>
      <c r="B12" s="81">
        <f>'ERROR FINAL'!D15</f>
        <v/>
      </c>
      <c r="C12" s="314">
        <f>'ERROR FINAL'!G15</f>
        <v/>
      </c>
      <c r="D12" s="83">
        <f>'ERROR FINAL'!I15</f>
        <v/>
      </c>
      <c r="E12" s="315">
        <f>'ERROR FINAL'!U15</f>
        <v/>
      </c>
      <c r="F12" s="316">
        <f>'ERROR FINAL'!AG15</f>
        <v/>
      </c>
      <c r="G12" s="316">
        <f>'ERROR FINAL'!AS15</f>
        <v/>
      </c>
      <c r="H12" s="86">
        <f>IF('ERROR FINAL'!AT15="CONFORME","CONFORME","NO CONFORME")</f>
        <v/>
      </c>
      <c r="I12" s="87">
        <f>IF(D12=0,"Medición",IF(D12=1,"Daño físico",IF(D12=2,"Fuga",IF(D12=3,"Picado",IF(D12=4,"Desfasado",IF(D12=5,"Paralizado","¿?"))))))</f>
        <v/>
      </c>
    </row>
    <row r="13">
      <c r="A13" s="80">
        <f>'ERROR FINAL'!A16</f>
        <v/>
      </c>
      <c r="B13" s="81">
        <f>'ERROR FINAL'!D16</f>
        <v/>
      </c>
      <c r="C13" s="314">
        <f>'ERROR FINAL'!G16</f>
        <v/>
      </c>
      <c r="D13" s="83">
        <f>'ERROR FINAL'!I16</f>
        <v/>
      </c>
      <c r="E13" s="315">
        <f>'ERROR FINAL'!U16</f>
        <v/>
      </c>
      <c r="F13" s="316">
        <f>'ERROR FINAL'!AG16</f>
        <v/>
      </c>
      <c r="G13" s="316">
        <f>'ERROR FINAL'!AS16</f>
        <v/>
      </c>
      <c r="H13" s="86">
        <f>IF('ERROR FINAL'!AT16="CONFORME","CONFORME","NO CONFORME")</f>
        <v/>
      </c>
      <c r="I13" s="87">
        <f>IF(D13=0,"Medición",IF(D13=1,"Daño físico",IF(D13=2,"Fuga",IF(D13=3,"Picado",IF(D13=4,"Desfasado",IF(D13=5,"Paralizado","¿?"))))))</f>
        <v/>
      </c>
    </row>
    <row r="14">
      <c r="A14" s="80">
        <f>'ERROR FINAL'!A17</f>
        <v/>
      </c>
      <c r="B14" s="81">
        <f>'ERROR FINAL'!D17</f>
        <v/>
      </c>
      <c r="C14" s="314">
        <f>'ERROR FINAL'!G17</f>
        <v/>
      </c>
      <c r="D14" s="83">
        <f>'ERROR FINAL'!I17</f>
        <v/>
      </c>
      <c r="E14" s="315">
        <f>'ERROR FINAL'!U17</f>
        <v/>
      </c>
      <c r="F14" s="316">
        <f>'ERROR FINAL'!AG17</f>
        <v/>
      </c>
      <c r="G14" s="316">
        <f>'ERROR FINAL'!AS17</f>
        <v/>
      </c>
      <c r="H14" s="86">
        <f>IF('ERROR FINAL'!AT17="CONFORME","CONFORME","NO CONFORME")</f>
        <v/>
      </c>
      <c r="I14" s="87">
        <f>IF(D14=0,"Medición",IF(D14=1,"Daño físico",IF(D14=2,"Fuga",IF(D14=3,"Picado",IF(D14=4,"Desfasado",IF(D14=5,"Paralizado","¿?"))))))</f>
        <v/>
      </c>
    </row>
    <row r="15">
      <c r="A15" s="80">
        <f>'ERROR FINAL'!A18</f>
        <v/>
      </c>
      <c r="B15" s="81">
        <f>'ERROR FINAL'!D18</f>
        <v/>
      </c>
      <c r="C15" s="314">
        <f>'ERROR FINAL'!G18</f>
        <v/>
      </c>
      <c r="D15" s="83">
        <f>'ERROR FINAL'!I18</f>
        <v/>
      </c>
      <c r="E15" s="315">
        <f>'ERROR FINAL'!U18</f>
        <v/>
      </c>
      <c r="F15" s="316">
        <f>'ERROR FINAL'!AG18</f>
        <v/>
      </c>
      <c r="G15" s="316">
        <f>'ERROR FINAL'!AS18</f>
        <v/>
      </c>
      <c r="H15" s="86">
        <f>IF('ERROR FINAL'!AT18="CONFORME","CONFORME","NO CONFORME")</f>
        <v/>
      </c>
      <c r="I15" s="87">
        <f>IF(D15=0,"Medición",IF(D15=1,"Daño físico",IF(D15=2,"Fuga",IF(D15=3,"Picado",IF(D15=4,"Desfasado",IF(D15=5,"Paralizado","¿?"))))))</f>
        <v/>
      </c>
    </row>
    <row r="16">
      <c r="A16" s="80">
        <f>'ERROR FINAL'!A19</f>
        <v/>
      </c>
      <c r="B16" s="81">
        <f>'ERROR FINAL'!D19</f>
        <v/>
      </c>
      <c r="C16" s="314">
        <f>'ERROR FINAL'!G19</f>
        <v/>
      </c>
      <c r="D16" s="83">
        <f>'ERROR FINAL'!I19</f>
        <v/>
      </c>
      <c r="E16" s="315">
        <f>'ERROR FINAL'!U19</f>
        <v/>
      </c>
      <c r="F16" s="316">
        <f>'ERROR FINAL'!AG19</f>
        <v/>
      </c>
      <c r="G16" s="316">
        <f>'ERROR FINAL'!AS19</f>
        <v/>
      </c>
      <c r="H16" s="86">
        <f>IF('ERROR FINAL'!AT19="CONFORME","CONFORME","NO CONFORME")</f>
        <v/>
      </c>
      <c r="I16" s="87">
        <f>IF(D16=0,"Medición",IF(D16=1,"Daño físico",IF(D16=2,"Fuga",IF(D16=3,"Picado",IF(D16=4,"Desfasado",IF(D16=5,"Paralizado","¿?"))))))</f>
        <v/>
      </c>
    </row>
    <row r="17">
      <c r="A17" s="80">
        <f>'ERROR FINAL'!A20</f>
        <v/>
      </c>
      <c r="B17" s="81">
        <f>'ERROR FINAL'!D20</f>
        <v/>
      </c>
      <c r="C17" s="314">
        <f>'ERROR FINAL'!G20</f>
        <v/>
      </c>
      <c r="D17" s="83">
        <f>'ERROR FINAL'!I20</f>
        <v/>
      </c>
      <c r="E17" s="315">
        <f>'ERROR FINAL'!U20</f>
        <v/>
      </c>
      <c r="F17" s="316">
        <f>'ERROR FINAL'!AG20</f>
        <v/>
      </c>
      <c r="G17" s="316">
        <f>'ERROR FINAL'!AS20</f>
        <v/>
      </c>
      <c r="H17" s="86">
        <f>IF('ERROR FINAL'!AT20="CONFORME","CONFORME","NO CONFORME")</f>
        <v/>
      </c>
      <c r="I17" s="87">
        <f>IF(D17=0,"Medición",IF(D17=1,"Daño físico",IF(D17=2,"Fuga",IF(D17=3,"Picado",IF(D17=4,"Desfasado",IF(D17=5,"Paralizado","¿?"))))))</f>
        <v/>
      </c>
    </row>
    <row r="18">
      <c r="A18" s="80">
        <f>'ERROR FINAL'!A21</f>
        <v/>
      </c>
      <c r="B18" s="81">
        <f>'ERROR FINAL'!D21</f>
        <v/>
      </c>
      <c r="C18" s="314">
        <f>'ERROR FINAL'!G21</f>
        <v/>
      </c>
      <c r="D18" s="83">
        <f>'ERROR FINAL'!I21</f>
        <v/>
      </c>
      <c r="E18" s="315">
        <f>'ERROR FINAL'!U21</f>
        <v/>
      </c>
      <c r="F18" s="316">
        <f>'ERROR FINAL'!AG21</f>
        <v/>
      </c>
      <c r="G18" s="316">
        <f>'ERROR FINAL'!AS21</f>
        <v/>
      </c>
      <c r="H18" s="86">
        <f>IF('ERROR FINAL'!AT21="CONFORME","CONFORME","NO CONFORME")</f>
        <v/>
      </c>
      <c r="I18" s="87">
        <f>IF(D18=0,"Medición",IF(D18=1,"Daño físico",IF(D18=2,"Fuga",IF(D18=3,"Picado",IF(D18=4,"Desfasado",IF(D18=5,"Paralizado","¿?"))))))</f>
        <v/>
      </c>
    </row>
    <row r="19">
      <c r="A19" s="80">
        <f>'ERROR FINAL'!A22</f>
        <v/>
      </c>
      <c r="B19" s="81">
        <f>'ERROR FINAL'!D22</f>
        <v/>
      </c>
      <c r="C19" s="314">
        <f>'ERROR FINAL'!G22</f>
        <v/>
      </c>
      <c r="D19" s="83">
        <f>'ERROR FINAL'!I22</f>
        <v/>
      </c>
      <c r="E19" s="315">
        <f>'ERROR FINAL'!U22</f>
        <v/>
      </c>
      <c r="F19" s="316">
        <f>'ERROR FINAL'!AG22</f>
        <v/>
      </c>
      <c r="G19" s="316">
        <f>'ERROR FINAL'!AS22</f>
        <v/>
      </c>
      <c r="H19" s="86">
        <f>IF('ERROR FINAL'!AT22="CONFORME","CONFORME","NO CONFORME")</f>
        <v/>
      </c>
      <c r="I19" s="87">
        <f>IF(D19=0,"Medición",IF(D19=1,"Daño físico",IF(D19=2,"Fuga",IF(D19=3,"Picado",IF(D19=4,"Desfasado",IF(D19=5,"Paralizado","¿?"))))))</f>
        <v/>
      </c>
    </row>
    <row r="20">
      <c r="A20" s="80">
        <f>'ERROR FINAL'!A23</f>
        <v/>
      </c>
      <c r="B20" s="81">
        <f>'ERROR FINAL'!D23</f>
        <v/>
      </c>
      <c r="C20" s="314">
        <f>'ERROR FINAL'!G23</f>
        <v/>
      </c>
      <c r="D20" s="83">
        <f>'ERROR FINAL'!I23</f>
        <v/>
      </c>
      <c r="E20" s="315">
        <f>'ERROR FINAL'!U23</f>
        <v/>
      </c>
      <c r="F20" s="316">
        <f>'ERROR FINAL'!AG23</f>
        <v/>
      </c>
      <c r="G20" s="316">
        <f>'ERROR FINAL'!AS23</f>
        <v/>
      </c>
      <c r="H20" s="86">
        <f>IF('ERROR FINAL'!AT23="CONFORME","CONFORME","NO CONFORME")</f>
        <v/>
      </c>
      <c r="I20" s="87">
        <f>IF(D20=0,"Medición",IF(D20=1,"Daño físico",IF(D20=2,"Fuga",IF(D20=3,"Picado",IF(D20=4,"Desfasado",IF(D20=5,"Paralizado","¿?"))))))</f>
        <v/>
      </c>
    </row>
    <row r="21">
      <c r="A21" s="80">
        <f>'ERROR FINAL'!A24</f>
        <v/>
      </c>
      <c r="B21" s="81">
        <f>'ERROR FINAL'!D24</f>
        <v/>
      </c>
      <c r="C21" s="314">
        <f>'ERROR FINAL'!G24</f>
        <v/>
      </c>
      <c r="D21" s="83">
        <f>'ERROR FINAL'!I24</f>
        <v/>
      </c>
      <c r="E21" s="315">
        <f>'ERROR FINAL'!U24</f>
        <v/>
      </c>
      <c r="F21" s="316">
        <f>'ERROR FINAL'!AG24</f>
        <v/>
      </c>
      <c r="G21" s="316">
        <f>'ERROR FINAL'!AS24</f>
        <v/>
      </c>
      <c r="H21" s="86">
        <f>IF('ERROR FINAL'!AT24="CONFORME","CONFORME","NO CONFORME")</f>
        <v/>
      </c>
      <c r="I21" s="87">
        <f>IF(D21=0,"Medición",IF(D21=1,"Daño físico",IF(D21=2,"Fuga",IF(D21=3,"Picado",IF(D21=4,"Desfasado",IF(D21=5,"Paralizado","¿?"))))))</f>
        <v/>
      </c>
    </row>
    <row r="22">
      <c r="A22" s="80">
        <f>'ERROR FINAL'!A25</f>
        <v/>
      </c>
      <c r="B22" s="81">
        <f>'ERROR FINAL'!D25</f>
        <v/>
      </c>
      <c r="C22" s="314">
        <f>'ERROR FINAL'!G25</f>
        <v/>
      </c>
      <c r="D22" s="83">
        <f>'ERROR FINAL'!I25</f>
        <v/>
      </c>
      <c r="E22" s="315">
        <f>'ERROR FINAL'!U25</f>
        <v/>
      </c>
      <c r="F22" s="316">
        <f>'ERROR FINAL'!AG25</f>
        <v/>
      </c>
      <c r="G22" s="316">
        <f>'ERROR FINAL'!AS25</f>
        <v/>
      </c>
      <c r="H22" s="86">
        <f>IF('ERROR FINAL'!AT25="CONFORME","CONFORME","NO CONFORME")</f>
        <v/>
      </c>
      <c r="I22" s="87">
        <f>IF(D22=0,"Medición",IF(D22=1,"Daño físico",IF(D22=2,"Fuga",IF(D22=3,"Picado",IF(D22=4,"Desfasado",IF(D22=5,"Paralizado","¿?"))))))</f>
        <v/>
      </c>
    </row>
    <row r="23">
      <c r="A23" s="80">
        <f>'ERROR FINAL'!A26</f>
        <v/>
      </c>
      <c r="B23" s="81">
        <f>'ERROR FINAL'!D26</f>
        <v/>
      </c>
      <c r="C23" s="314">
        <f>'ERROR FINAL'!G26</f>
        <v/>
      </c>
      <c r="D23" s="83">
        <f>'ERROR FINAL'!I26</f>
        <v/>
      </c>
      <c r="E23" s="315">
        <f>'ERROR FINAL'!U26</f>
        <v/>
      </c>
      <c r="F23" s="316">
        <f>'ERROR FINAL'!AG26</f>
        <v/>
      </c>
      <c r="G23" s="316">
        <f>'ERROR FINAL'!AS26</f>
        <v/>
      </c>
      <c r="H23" s="86">
        <f>IF('ERROR FINAL'!AT26="CONFORME","CONFORME","NO CONFORME")</f>
        <v/>
      </c>
      <c r="I23" s="87">
        <f>IF(D23=0,"Medición",IF(D23=1,"Daño físico",IF(D23=2,"Fuga",IF(D23=3,"Picado",IF(D23=4,"Desfasado",IF(D23=5,"Paralizado","¿?"))))))</f>
        <v/>
      </c>
    </row>
    <row r="24">
      <c r="A24" s="80">
        <f>'ERROR FINAL'!A27</f>
        <v/>
      </c>
      <c r="B24" s="81">
        <f>'ERROR FINAL'!D27</f>
        <v/>
      </c>
      <c r="C24" s="314">
        <f>'ERROR FINAL'!G27</f>
        <v/>
      </c>
      <c r="D24" s="83">
        <f>'ERROR FINAL'!I27</f>
        <v/>
      </c>
      <c r="E24" s="315">
        <f>'ERROR FINAL'!U27</f>
        <v/>
      </c>
      <c r="F24" s="316">
        <f>'ERROR FINAL'!AG27</f>
        <v/>
      </c>
      <c r="G24" s="316">
        <f>'ERROR FINAL'!AS27</f>
        <v/>
      </c>
      <c r="H24" s="86">
        <f>IF('ERROR FINAL'!AT27="CONFORME","CONFORME","NO CONFORME")</f>
        <v/>
      </c>
      <c r="I24" s="87">
        <f>IF(D24=0,"Medición",IF(D24=1,"Daño físico",IF(D24=2,"Fuga",IF(D24=3,"Picado",IF(D24=4,"Desfasado",IF(D24=5,"Paralizado","¿?"))))))</f>
        <v/>
      </c>
    </row>
    <row r="25">
      <c r="A25" s="80">
        <f>'ERROR FINAL'!A28</f>
        <v/>
      </c>
      <c r="B25" s="81">
        <f>'ERROR FINAL'!D28</f>
        <v/>
      </c>
      <c r="C25" s="314">
        <f>'ERROR FINAL'!G28</f>
        <v/>
      </c>
      <c r="D25" s="83">
        <f>'ERROR FINAL'!I28</f>
        <v/>
      </c>
      <c r="E25" s="315">
        <f>'ERROR FINAL'!U28</f>
        <v/>
      </c>
      <c r="F25" s="316">
        <f>'ERROR FINAL'!AG28</f>
        <v/>
      </c>
      <c r="G25" s="316">
        <f>'ERROR FINAL'!AS28</f>
        <v/>
      </c>
      <c r="H25" s="86">
        <f>IF('ERROR FINAL'!AT28="CONFORME","CONFORME","NO CONFORME")</f>
        <v/>
      </c>
      <c r="I25" s="87">
        <f>IF(D25=0,"Medición",IF(D25=1,"Daño físico",IF(D25=2,"Fuga",IF(D25=3,"Picado",IF(D25=4,"Desfasado",IF(D25=5,"Paralizado","¿?"))))))</f>
        <v/>
      </c>
    </row>
    <row r="26">
      <c r="A26" s="80">
        <f>'ERROR FINAL'!A29</f>
        <v/>
      </c>
      <c r="B26" s="81">
        <f>'ERROR FINAL'!D29</f>
        <v/>
      </c>
      <c r="C26" s="314">
        <f>'ERROR FINAL'!G29</f>
        <v/>
      </c>
      <c r="D26" s="83">
        <f>'ERROR FINAL'!I29</f>
        <v/>
      </c>
      <c r="E26" s="315">
        <f>'ERROR FINAL'!U29</f>
        <v/>
      </c>
      <c r="F26" s="316">
        <f>'ERROR FINAL'!AG29</f>
        <v/>
      </c>
      <c r="G26" s="316">
        <f>'ERROR FINAL'!AS29</f>
        <v/>
      </c>
      <c r="H26" s="86">
        <f>IF('ERROR FINAL'!AT29="CONFORME","CONFORME","NO CONFORME")</f>
        <v/>
      </c>
      <c r="I26" s="87">
        <f>IF(D26=0,"Medición",IF(D26=1,"Daño físico",IF(D26=2,"Fuga",IF(D26=3,"Picado",IF(D26=4,"Desfasado",IF(D26=5,"Paralizado","¿?"))))))</f>
        <v/>
      </c>
    </row>
    <row r="27">
      <c r="A27" s="80">
        <f>'ERROR FINAL'!A30</f>
        <v/>
      </c>
      <c r="B27" s="81">
        <f>'ERROR FINAL'!D30</f>
        <v/>
      </c>
      <c r="C27" s="314">
        <f>'ERROR FINAL'!G30</f>
        <v/>
      </c>
      <c r="D27" s="83">
        <f>'ERROR FINAL'!I30</f>
        <v/>
      </c>
      <c r="E27" s="315">
        <f>'ERROR FINAL'!U30</f>
        <v/>
      </c>
      <c r="F27" s="316">
        <f>'ERROR FINAL'!AG30</f>
        <v/>
      </c>
      <c r="G27" s="316">
        <f>'ERROR FINAL'!AS30</f>
        <v/>
      </c>
      <c r="H27" s="86">
        <f>IF('ERROR FINAL'!AT30="CONFORME","CONFORME","NO CONFORME")</f>
        <v/>
      </c>
      <c r="I27" s="87">
        <f>IF(D27=0,"Medición",IF(D27=1,"Daño físico",IF(D27=2,"Fuga",IF(D27=3,"Picado",IF(D27=4,"Desfasado",IF(D27=5,"Paralizado","¿?"))))))</f>
        <v/>
      </c>
    </row>
    <row r="28">
      <c r="A28" s="80">
        <f>'ERROR FINAL'!A31</f>
        <v/>
      </c>
      <c r="B28" s="81">
        <f>'ERROR FINAL'!D31</f>
        <v/>
      </c>
      <c r="C28" s="314">
        <f>'ERROR FINAL'!G31</f>
        <v/>
      </c>
      <c r="D28" s="83">
        <f>'ERROR FINAL'!I31</f>
        <v/>
      </c>
      <c r="E28" s="315">
        <f>'ERROR FINAL'!U31</f>
        <v/>
      </c>
      <c r="F28" s="316">
        <f>'ERROR FINAL'!AG31</f>
        <v/>
      </c>
      <c r="G28" s="316">
        <f>'ERROR FINAL'!AS31</f>
        <v/>
      </c>
      <c r="H28" s="86">
        <f>IF('ERROR FINAL'!AT31="CONFORME","CONFORME","NO CONFORME")</f>
        <v/>
      </c>
      <c r="I28" s="87">
        <f>IF(D28=0,"Medición",IF(D28=1,"Daño físico",IF(D28=2,"Fuga",IF(D28=3,"Picado",IF(D28=4,"Desfasado",IF(D28=5,"Paralizado","¿?"))))))</f>
        <v/>
      </c>
    </row>
    <row r="29">
      <c r="A29" s="80">
        <f>'ERROR FINAL'!A32</f>
        <v/>
      </c>
      <c r="B29" s="81">
        <f>'ERROR FINAL'!D32</f>
        <v/>
      </c>
      <c r="C29" s="314">
        <f>'ERROR FINAL'!G32</f>
        <v/>
      </c>
      <c r="D29" s="83">
        <f>'ERROR FINAL'!I32</f>
        <v/>
      </c>
      <c r="E29" s="315">
        <f>'ERROR FINAL'!U32</f>
        <v/>
      </c>
      <c r="F29" s="316">
        <f>'ERROR FINAL'!AG32</f>
        <v/>
      </c>
      <c r="G29" s="316">
        <f>'ERROR FINAL'!AS32</f>
        <v/>
      </c>
      <c r="H29" s="86">
        <f>IF('ERROR FINAL'!AT32="CONFORME","CONFORME","NO CONFORME")</f>
        <v/>
      </c>
      <c r="I29" s="87">
        <f>IF(D29=0,"Medición",IF(D29=1,"Daño físico",IF(D29=2,"Fuga",IF(D29=3,"Picado",IF(D29=4,"Desfasado",IF(D29=5,"Paralizado","¿?"))))))</f>
        <v/>
      </c>
    </row>
    <row r="30">
      <c r="A30" s="80">
        <f>'ERROR FINAL'!A33</f>
        <v/>
      </c>
      <c r="B30" s="81">
        <f>'ERROR FINAL'!D33</f>
        <v/>
      </c>
      <c r="C30" s="314">
        <f>'ERROR FINAL'!G33</f>
        <v/>
      </c>
      <c r="D30" s="83">
        <f>'ERROR FINAL'!I33</f>
        <v/>
      </c>
      <c r="E30" s="315">
        <f>'ERROR FINAL'!U33</f>
        <v/>
      </c>
      <c r="F30" s="316">
        <f>'ERROR FINAL'!AG33</f>
        <v/>
      </c>
      <c r="G30" s="316">
        <f>'ERROR FINAL'!AS33</f>
        <v/>
      </c>
      <c r="H30" s="86">
        <f>IF('ERROR FINAL'!AT33="CONFORME","CONFORME","NO CONFORME")</f>
        <v/>
      </c>
      <c r="I30" s="87">
        <f>IF(D30=0,"Medición",IF(D30=1,"Daño físico",IF(D30=2,"Fuga",IF(D30=3,"Picado",IF(D30=4,"Desfasado",IF(D30=5,"Paralizado","¿?"))))))</f>
        <v/>
      </c>
    </row>
    <row r="31">
      <c r="A31" s="80">
        <f>'ERROR FINAL'!A34</f>
        <v/>
      </c>
      <c r="B31" s="81">
        <f>'ERROR FINAL'!D34</f>
        <v/>
      </c>
      <c r="C31" s="314">
        <f>'ERROR FINAL'!G34</f>
        <v/>
      </c>
      <c r="D31" s="83">
        <f>'ERROR FINAL'!I34</f>
        <v/>
      </c>
      <c r="E31" s="315">
        <f>'ERROR FINAL'!U34</f>
        <v/>
      </c>
      <c r="F31" s="316">
        <f>'ERROR FINAL'!AG34</f>
        <v/>
      </c>
      <c r="G31" s="316">
        <f>'ERROR FINAL'!AS34</f>
        <v/>
      </c>
      <c r="H31" s="86">
        <f>IF('ERROR FINAL'!AT34="CONFORME","CONFORME","NO CONFORME")</f>
        <v/>
      </c>
      <c r="I31" s="87">
        <f>IF(D31=0,"Medición",IF(D31=1,"Daño físico",IF(D31=2,"Fuga",IF(D31=3,"Picado",IF(D31=4,"Desfasado",IF(D31=5,"Paralizado","¿?"))))))</f>
        <v/>
      </c>
    </row>
    <row r="32">
      <c r="A32" s="80">
        <f>'ERROR FINAL'!A35</f>
        <v/>
      </c>
      <c r="B32" s="81">
        <f>'ERROR FINAL'!D35</f>
        <v/>
      </c>
      <c r="C32" s="314">
        <f>'ERROR FINAL'!G35</f>
        <v/>
      </c>
      <c r="D32" s="83">
        <f>'ERROR FINAL'!I35</f>
        <v/>
      </c>
      <c r="E32" s="315">
        <f>'ERROR FINAL'!U35</f>
        <v/>
      </c>
      <c r="F32" s="316">
        <f>'ERROR FINAL'!AG35</f>
        <v/>
      </c>
      <c r="G32" s="316">
        <f>'ERROR FINAL'!AS35</f>
        <v/>
      </c>
      <c r="H32" s="86">
        <f>IF('ERROR FINAL'!AT35="CONFORME","CONFORME","NO CONFORME")</f>
        <v/>
      </c>
      <c r="I32" s="87">
        <f>IF(D32=0,"Medición",IF(D32=1,"Daño físico",IF(D32=2,"Fuga",IF(D32=3,"Picado",IF(D32=4,"Desfasado",IF(D32=5,"Paralizado","¿?"))))))</f>
        <v/>
      </c>
    </row>
    <row r="33">
      <c r="A33" s="80">
        <f>'ERROR FINAL'!A36</f>
        <v/>
      </c>
      <c r="B33" s="81">
        <f>'ERROR FINAL'!D36</f>
        <v/>
      </c>
      <c r="C33" s="314">
        <f>'ERROR FINAL'!G36</f>
        <v/>
      </c>
      <c r="D33" s="83">
        <f>'ERROR FINAL'!I36</f>
        <v/>
      </c>
      <c r="E33" s="315">
        <f>'ERROR FINAL'!U36</f>
        <v/>
      </c>
      <c r="F33" s="316">
        <f>'ERROR FINAL'!AG36</f>
        <v/>
      </c>
      <c r="G33" s="316">
        <f>'ERROR FINAL'!AS36</f>
        <v/>
      </c>
      <c r="H33" s="86">
        <f>IF('ERROR FINAL'!AT36="CONFORME","CONFORME","NO CONFORME")</f>
        <v/>
      </c>
      <c r="I33" s="87">
        <f>IF(D33=0,"Medición",IF(D33=1,"Daño físico",IF(D33=2,"Fuga",IF(D33=3,"Picado",IF(D33=4,"Desfasado",IF(D33=5,"Paralizado","¿?"))))))</f>
        <v/>
      </c>
    </row>
    <row r="34">
      <c r="A34" s="80">
        <f>'ERROR FINAL'!A37</f>
        <v/>
      </c>
      <c r="B34" s="81">
        <f>'ERROR FINAL'!D37</f>
        <v/>
      </c>
      <c r="C34" s="314">
        <f>'ERROR FINAL'!G37</f>
        <v/>
      </c>
      <c r="D34" s="83">
        <f>'ERROR FINAL'!I37</f>
        <v/>
      </c>
      <c r="E34" s="315">
        <f>'ERROR FINAL'!U37</f>
        <v/>
      </c>
      <c r="F34" s="316">
        <f>'ERROR FINAL'!AG37</f>
        <v/>
      </c>
      <c r="G34" s="316">
        <f>'ERROR FINAL'!AS37</f>
        <v/>
      </c>
      <c r="H34" s="86">
        <f>IF('ERROR FINAL'!AT37="CONFORME","CONFORME","NO CONFORME")</f>
        <v/>
      </c>
      <c r="I34" s="87">
        <f>IF(D34=0,"Medición",IF(D34=1,"Daño físico",IF(D34=2,"Fuga",IF(D34=3,"Picado",IF(D34=4,"Desfasado",IF(D34=5,"Paralizado","¿?"))))))</f>
        <v/>
      </c>
    </row>
    <row r="35">
      <c r="A35" s="80">
        <f>'ERROR FINAL'!A38</f>
        <v/>
      </c>
      <c r="B35" s="81">
        <f>'ERROR FINAL'!D38</f>
        <v/>
      </c>
      <c r="C35" s="314">
        <f>'ERROR FINAL'!G38</f>
        <v/>
      </c>
      <c r="D35" s="83">
        <f>'ERROR FINAL'!I38</f>
        <v/>
      </c>
      <c r="E35" s="315">
        <f>'ERROR FINAL'!U38</f>
        <v/>
      </c>
      <c r="F35" s="316">
        <f>'ERROR FINAL'!AG38</f>
        <v/>
      </c>
      <c r="G35" s="316">
        <f>'ERROR FINAL'!AS38</f>
        <v/>
      </c>
      <c r="H35" s="86">
        <f>IF('ERROR FINAL'!AT38="CONFORME","CONFORME","NO CONFORME")</f>
        <v/>
      </c>
      <c r="I35" s="87">
        <f>IF(D35=0,"Medición",IF(D35=1,"Daño físico",IF(D35=2,"Fuga",IF(D35=3,"Picado",IF(D35=4,"Desfasado",IF(D35=5,"Paralizado","¿?"))))))</f>
        <v/>
      </c>
    </row>
    <row r="36">
      <c r="A36" s="80">
        <f>'ERROR FINAL'!A39</f>
        <v/>
      </c>
      <c r="B36" s="81">
        <f>'ERROR FINAL'!D39</f>
        <v/>
      </c>
      <c r="C36" s="314">
        <f>'ERROR FINAL'!G39</f>
        <v/>
      </c>
      <c r="D36" s="83">
        <f>'ERROR FINAL'!I39</f>
        <v/>
      </c>
      <c r="E36" s="315">
        <f>'ERROR FINAL'!U39</f>
        <v/>
      </c>
      <c r="F36" s="316">
        <f>'ERROR FINAL'!AG39</f>
        <v/>
      </c>
      <c r="G36" s="316">
        <f>'ERROR FINAL'!AS39</f>
        <v/>
      </c>
      <c r="H36" s="86">
        <f>IF('ERROR FINAL'!AT39="CONFORME","CONFORME","NO CONFORME")</f>
        <v/>
      </c>
      <c r="I36" s="87">
        <f>IF(D36=0,"Medición",IF(D36=1,"Daño físico",IF(D36=2,"Fuga",IF(D36=3,"Picado",IF(D36=4,"Desfasado",IF(D36=5,"Paralizado","¿?"))))))</f>
        <v/>
      </c>
    </row>
    <row r="37">
      <c r="A37" s="80">
        <f>'ERROR FINAL'!A40</f>
        <v/>
      </c>
      <c r="B37" s="81">
        <f>'ERROR FINAL'!D40</f>
        <v/>
      </c>
      <c r="C37" s="314">
        <f>'ERROR FINAL'!G40</f>
        <v/>
      </c>
      <c r="D37" s="83">
        <f>'ERROR FINAL'!I40</f>
        <v/>
      </c>
      <c r="E37" s="315">
        <f>'ERROR FINAL'!U40</f>
        <v/>
      </c>
      <c r="F37" s="316">
        <f>'ERROR FINAL'!AG40</f>
        <v/>
      </c>
      <c r="G37" s="316">
        <f>'ERROR FINAL'!AS40</f>
        <v/>
      </c>
      <c r="H37" s="86">
        <f>IF('ERROR FINAL'!AT40="CONFORME","CONFORME","NO CONFORME")</f>
        <v/>
      </c>
      <c r="I37" s="87">
        <f>IF(D37=0,"Medición",IF(D37=1,"Daño físico",IF(D37=2,"Fuga",IF(D37=3,"Picado",IF(D37=4,"Desfasado",IF(D37=5,"Paralizado","¿?"))))))</f>
        <v/>
      </c>
    </row>
    <row r="38">
      <c r="A38" s="80">
        <f>'ERROR FINAL'!A41</f>
        <v/>
      </c>
      <c r="B38" s="81">
        <f>'ERROR FINAL'!D41</f>
        <v/>
      </c>
      <c r="C38" s="314">
        <f>'ERROR FINAL'!G41</f>
        <v/>
      </c>
      <c r="D38" s="83">
        <f>'ERROR FINAL'!I41</f>
        <v/>
      </c>
      <c r="E38" s="315">
        <f>'ERROR FINAL'!U41</f>
        <v/>
      </c>
      <c r="F38" s="316">
        <f>'ERROR FINAL'!AG41</f>
        <v/>
      </c>
      <c r="G38" s="316">
        <f>'ERROR FINAL'!AS41</f>
        <v/>
      </c>
      <c r="H38" s="86">
        <f>IF('ERROR FINAL'!AT41="CONFORME","CONFORME","NO CONFORME")</f>
        <v/>
      </c>
      <c r="I38" s="87">
        <f>IF(D38=0,"Medición",IF(D38=1,"Daño físico",IF(D38=2,"Fuga",IF(D38=3,"Picado",IF(D38=4,"Desfasado",IF(D38=5,"Paralizado","¿?"))))))</f>
        <v/>
      </c>
    </row>
    <row r="39">
      <c r="A39" s="80">
        <f>'ERROR FINAL'!A42</f>
        <v/>
      </c>
      <c r="B39" s="81">
        <f>'ERROR FINAL'!D42</f>
        <v/>
      </c>
      <c r="C39" s="314">
        <f>'ERROR FINAL'!G42</f>
        <v/>
      </c>
      <c r="D39" s="83">
        <f>'ERROR FINAL'!I42</f>
        <v/>
      </c>
      <c r="E39" s="315">
        <f>'ERROR FINAL'!U42</f>
        <v/>
      </c>
      <c r="F39" s="316">
        <f>'ERROR FINAL'!AG42</f>
        <v/>
      </c>
      <c r="G39" s="316">
        <f>'ERROR FINAL'!AS42</f>
        <v/>
      </c>
      <c r="H39" s="86">
        <f>IF('ERROR FINAL'!AT42="CONFORME","CONFORME","NO CONFORME")</f>
        <v/>
      </c>
      <c r="I39" s="87">
        <f>IF(D39=0,"Medición",IF(D39=1,"Daño físico",IF(D39=2,"Fuga",IF(D39=3,"Picado",IF(D39=4,"Desfasado",IF(D39=5,"Paralizado","¿?"))))))</f>
        <v/>
      </c>
    </row>
    <row r="40">
      <c r="A40" s="80">
        <f>'ERROR FINAL'!A43</f>
        <v/>
      </c>
      <c r="B40" s="81">
        <f>'ERROR FINAL'!D43</f>
        <v/>
      </c>
      <c r="C40" s="314">
        <f>'ERROR FINAL'!G43</f>
        <v/>
      </c>
      <c r="D40" s="83">
        <f>'ERROR FINAL'!I43</f>
        <v/>
      </c>
      <c r="E40" s="315">
        <f>'ERROR FINAL'!U43</f>
        <v/>
      </c>
      <c r="F40" s="316">
        <f>'ERROR FINAL'!AG43</f>
        <v/>
      </c>
      <c r="G40" s="316">
        <f>'ERROR FINAL'!AS43</f>
        <v/>
      </c>
      <c r="H40" s="86">
        <f>IF('ERROR FINAL'!AT43="CONFORME","CONFORME","NO CONFORME")</f>
        <v/>
      </c>
      <c r="I40" s="87">
        <f>IF(D40=0,"Medición",IF(D40=1,"Daño físico",IF(D40=2,"Fuga",IF(D40=3,"Picado",IF(D40=4,"Desfasado",IF(D40=5,"Paralizado","¿?"))))))</f>
        <v/>
      </c>
    </row>
    <row r="41">
      <c r="A41" s="80">
        <f>'ERROR FINAL'!A44</f>
        <v/>
      </c>
      <c r="B41" s="81">
        <f>'ERROR FINAL'!D44</f>
        <v/>
      </c>
      <c r="C41" s="314">
        <f>'ERROR FINAL'!G44</f>
        <v/>
      </c>
      <c r="D41" s="83">
        <f>'ERROR FINAL'!I44</f>
        <v/>
      </c>
      <c r="E41" s="315">
        <f>'ERROR FINAL'!U44</f>
        <v/>
      </c>
      <c r="F41" s="316">
        <f>'ERROR FINAL'!AG44</f>
        <v/>
      </c>
      <c r="G41" s="316">
        <f>'ERROR FINAL'!AS44</f>
        <v/>
      </c>
      <c r="H41" s="86">
        <f>IF('ERROR FINAL'!AT44="CONFORME","CONFORME","NO CONFORME")</f>
        <v/>
      </c>
      <c r="I41" s="87">
        <f>IF(D41=0,"Medición",IF(D41=1,"Daño físico",IF(D41=2,"Fuga",IF(D41=3,"Picado",IF(D41=4,"Desfasado",IF(D41=5,"Paralizado","¿?"))))))</f>
        <v/>
      </c>
    </row>
    <row r="42">
      <c r="A42" s="80">
        <f>'ERROR FINAL'!A45</f>
        <v/>
      </c>
      <c r="B42" s="81">
        <f>'ERROR FINAL'!D45</f>
        <v/>
      </c>
      <c r="C42" s="314">
        <f>'ERROR FINAL'!G45</f>
        <v/>
      </c>
      <c r="D42" s="83">
        <f>'ERROR FINAL'!I45</f>
        <v/>
      </c>
      <c r="E42" s="315">
        <f>'ERROR FINAL'!U45</f>
        <v/>
      </c>
      <c r="F42" s="316">
        <f>'ERROR FINAL'!AG45</f>
        <v/>
      </c>
      <c r="G42" s="316">
        <f>'ERROR FINAL'!AS45</f>
        <v/>
      </c>
      <c r="H42" s="86">
        <f>IF('ERROR FINAL'!AT45="CONFORME","CONFORME","NO CONFORME")</f>
        <v/>
      </c>
      <c r="I42" s="87">
        <f>IF(D42=0,"Medición",IF(D42=1,"Daño físico",IF(D42=2,"Fuga",IF(D42=3,"Picado",IF(D42=4,"Desfasado",IF(D42=5,"Paralizado","¿?"))))))</f>
        <v/>
      </c>
    </row>
    <row r="43">
      <c r="A43" s="80">
        <f>'ERROR FINAL'!A46</f>
        <v/>
      </c>
      <c r="B43" s="81">
        <f>'ERROR FINAL'!D46</f>
        <v/>
      </c>
      <c r="C43" s="314">
        <f>'ERROR FINAL'!G46</f>
        <v/>
      </c>
      <c r="D43" s="83">
        <f>'ERROR FINAL'!I46</f>
        <v/>
      </c>
      <c r="E43" s="315">
        <f>'ERROR FINAL'!U46</f>
        <v/>
      </c>
      <c r="F43" s="316">
        <f>'ERROR FINAL'!AG46</f>
        <v/>
      </c>
      <c r="G43" s="316">
        <f>'ERROR FINAL'!AS46</f>
        <v/>
      </c>
      <c r="H43" s="86">
        <f>IF('ERROR FINAL'!AT46="CONFORME","CONFORME","NO CONFORME")</f>
        <v/>
      </c>
      <c r="I43" s="87">
        <f>IF(D43=0,"Medición",IF(D43=1,"Daño físico",IF(D43=2,"Fuga",IF(D43=3,"Picado",IF(D43=4,"Desfasado",IF(D43=5,"Paralizado","¿?"))))))</f>
        <v/>
      </c>
    </row>
    <row r="44">
      <c r="A44" s="80">
        <f>'ERROR FINAL'!A47</f>
        <v/>
      </c>
      <c r="B44" s="81">
        <f>'ERROR FINAL'!D47</f>
        <v/>
      </c>
      <c r="C44" s="314">
        <f>'ERROR FINAL'!G47</f>
        <v/>
      </c>
      <c r="D44" s="83">
        <f>'ERROR FINAL'!I47</f>
        <v/>
      </c>
      <c r="E44" s="315">
        <f>'ERROR FINAL'!U47</f>
        <v/>
      </c>
      <c r="F44" s="316">
        <f>'ERROR FINAL'!AG47</f>
        <v/>
      </c>
      <c r="G44" s="316">
        <f>'ERROR FINAL'!AS47</f>
        <v/>
      </c>
      <c r="H44" s="86">
        <f>IF('ERROR FINAL'!AT47="CONFORME","CONFORME","NO CONFORME")</f>
        <v/>
      </c>
      <c r="I44" s="87">
        <f>IF(D44=0,"Medición",IF(D44=1,"Daño físico",IF(D44=2,"Fuga",IF(D44=3,"Picado",IF(D44=4,"Desfasado",IF(D44=5,"Paralizado","¿?"))))))</f>
        <v/>
      </c>
    </row>
    <row r="45">
      <c r="A45" s="80">
        <f>'ERROR FINAL'!A48</f>
        <v/>
      </c>
      <c r="B45" s="81">
        <f>'ERROR FINAL'!D48</f>
        <v/>
      </c>
      <c r="C45" s="314">
        <f>'ERROR FINAL'!G48</f>
        <v/>
      </c>
      <c r="D45" s="83">
        <f>'ERROR FINAL'!I48</f>
        <v/>
      </c>
      <c r="E45" s="315">
        <f>'ERROR FINAL'!U48</f>
        <v/>
      </c>
      <c r="F45" s="316">
        <f>'ERROR FINAL'!AG48</f>
        <v/>
      </c>
      <c r="G45" s="316">
        <f>'ERROR FINAL'!AS48</f>
        <v/>
      </c>
      <c r="H45" s="86">
        <f>IF('ERROR FINAL'!AT48="CONFORME","CONFORME","NO CONFORME")</f>
        <v/>
      </c>
      <c r="I45" s="87">
        <f>IF(D45=0,"Medición",IF(D45=1,"Daño físico",IF(D45=2,"Fuga",IF(D45=3,"Picado",IF(D45=4,"Desfasado",IF(D45=5,"Paralizado","¿?"))))))</f>
        <v/>
      </c>
    </row>
    <row r="46">
      <c r="A46" s="80">
        <f>'ERROR FINAL'!A49</f>
        <v/>
      </c>
      <c r="B46" s="81">
        <f>'ERROR FINAL'!D49</f>
        <v/>
      </c>
      <c r="C46" s="314">
        <f>'ERROR FINAL'!G49</f>
        <v/>
      </c>
      <c r="D46" s="83">
        <f>'ERROR FINAL'!I49</f>
        <v/>
      </c>
      <c r="E46" s="315">
        <f>'ERROR FINAL'!U49</f>
        <v/>
      </c>
      <c r="F46" s="316">
        <f>'ERROR FINAL'!AG49</f>
        <v/>
      </c>
      <c r="G46" s="316">
        <f>'ERROR FINAL'!AS49</f>
        <v/>
      </c>
      <c r="H46" s="86">
        <f>IF('ERROR FINAL'!AT49="CONFORME","CONFORME","NO CONFORME")</f>
        <v/>
      </c>
      <c r="I46" s="87">
        <f>IF(D46=0,"Medición",IF(D46=1,"Daño físico",IF(D46=2,"Fuga",IF(D46=3,"Picado",IF(D46=4,"Desfasado",IF(D46=5,"Paralizado","¿?"))))))</f>
        <v/>
      </c>
    </row>
    <row r="47">
      <c r="A47" s="80">
        <f>'ERROR FINAL'!A50</f>
        <v/>
      </c>
      <c r="B47" s="81">
        <f>'ERROR FINAL'!D50</f>
        <v/>
      </c>
      <c r="C47" s="314">
        <f>'ERROR FINAL'!G50</f>
        <v/>
      </c>
      <c r="D47" s="83">
        <f>'ERROR FINAL'!I50</f>
        <v/>
      </c>
      <c r="E47" s="315">
        <f>'ERROR FINAL'!U50</f>
        <v/>
      </c>
      <c r="F47" s="316">
        <f>'ERROR FINAL'!AG50</f>
        <v/>
      </c>
      <c r="G47" s="316">
        <f>'ERROR FINAL'!AS50</f>
        <v/>
      </c>
      <c r="H47" s="86">
        <f>IF('ERROR FINAL'!AT50="CONFORME","CONFORME","NO CONFORME")</f>
        <v/>
      </c>
      <c r="I47" s="87">
        <f>IF(D47=0,"Medición",IF(D47=1,"Daño físico",IF(D47=2,"Fuga",IF(D47=3,"Picado",IF(D47=4,"Desfasado",IF(D47=5,"Paralizado","¿?"))))))</f>
        <v/>
      </c>
    </row>
    <row r="48">
      <c r="A48" s="80">
        <f>'ERROR FINAL'!A51</f>
        <v/>
      </c>
      <c r="B48" s="81">
        <f>'ERROR FINAL'!D51</f>
        <v/>
      </c>
      <c r="C48" s="314">
        <f>'ERROR FINAL'!G51</f>
        <v/>
      </c>
      <c r="D48" s="83">
        <f>'ERROR FINAL'!I51</f>
        <v/>
      </c>
      <c r="E48" s="315">
        <f>'ERROR FINAL'!U51</f>
        <v/>
      </c>
      <c r="F48" s="316">
        <f>'ERROR FINAL'!AG51</f>
        <v/>
      </c>
      <c r="G48" s="316">
        <f>'ERROR FINAL'!AS51</f>
        <v/>
      </c>
      <c r="H48" s="86">
        <f>IF('ERROR FINAL'!AT51="CONFORME","CONFORME","NO CONFORME")</f>
        <v/>
      </c>
      <c r="I48" s="87">
        <f>IF(D48=0,"Medición",IF(D48=1,"Daño físico",IF(D48=2,"Fuga",IF(D48=3,"Picado",IF(D48=4,"Desfasado",IF(D48=5,"Paralizado","¿?"))))))</f>
        <v/>
      </c>
    </row>
    <row r="49">
      <c r="A49" s="80">
        <f>'ERROR FINAL'!A52</f>
        <v/>
      </c>
      <c r="B49" s="81">
        <f>'ERROR FINAL'!D52</f>
        <v/>
      </c>
      <c r="C49" s="314">
        <f>'ERROR FINAL'!G52</f>
        <v/>
      </c>
      <c r="D49" s="83">
        <f>'ERROR FINAL'!I52</f>
        <v/>
      </c>
      <c r="E49" s="315">
        <f>'ERROR FINAL'!U52</f>
        <v/>
      </c>
      <c r="F49" s="316">
        <f>'ERROR FINAL'!AG52</f>
        <v/>
      </c>
      <c r="G49" s="316">
        <f>'ERROR FINAL'!AS52</f>
        <v/>
      </c>
      <c r="H49" s="86">
        <f>IF('ERROR FINAL'!AT52="CONFORME","CONFORME","NO CONFORME")</f>
        <v/>
      </c>
      <c r="I49" s="87">
        <f>IF(D49=0,"Medición",IF(D49=1,"Daño físico",IF(D49=2,"Fuga",IF(D49=3,"Picado",IF(D49=4,"Desfasado",IF(D49=5,"Paralizado","¿?"))))))</f>
        <v/>
      </c>
    </row>
    <row r="50">
      <c r="A50" s="80">
        <f>'ERROR FINAL'!A53</f>
        <v/>
      </c>
      <c r="B50" s="81">
        <f>'ERROR FINAL'!D53</f>
        <v/>
      </c>
      <c r="C50" s="314">
        <f>'ERROR FINAL'!G53</f>
        <v/>
      </c>
      <c r="D50" s="83">
        <f>'ERROR FINAL'!I53</f>
        <v/>
      </c>
      <c r="E50" s="315">
        <f>'ERROR FINAL'!U53</f>
        <v/>
      </c>
      <c r="F50" s="316">
        <f>'ERROR FINAL'!AG53</f>
        <v/>
      </c>
      <c r="G50" s="316">
        <f>'ERROR FINAL'!AS53</f>
        <v/>
      </c>
      <c r="H50" s="86">
        <f>IF('ERROR FINAL'!AT53="CONFORME","CONFORME","NO CONFORME")</f>
        <v/>
      </c>
      <c r="I50" s="87">
        <f>IF(D50=0,"Medición",IF(D50=1,"Daño físico",IF(D50=2,"Fuga",IF(D50=3,"Picado",IF(D50=4,"Desfasado",IF(D50=5,"Paralizado","¿?"))))))</f>
        <v/>
      </c>
    </row>
    <row r="51">
      <c r="A51" s="80">
        <f>'ERROR FINAL'!A54</f>
        <v/>
      </c>
      <c r="B51" s="81">
        <f>'ERROR FINAL'!D54</f>
        <v/>
      </c>
      <c r="C51" s="314">
        <f>'ERROR FINAL'!G54</f>
        <v/>
      </c>
      <c r="D51" s="83">
        <f>'ERROR FINAL'!I54</f>
        <v/>
      </c>
      <c r="E51" s="315">
        <f>'ERROR FINAL'!U54</f>
        <v/>
      </c>
      <c r="F51" s="316">
        <f>'ERROR FINAL'!AG54</f>
        <v/>
      </c>
      <c r="G51" s="316">
        <f>'ERROR FINAL'!AS54</f>
        <v/>
      </c>
      <c r="H51" s="86">
        <f>IF('ERROR FINAL'!AT54="CONFORME","CONFORME","NO CONFORME")</f>
        <v/>
      </c>
      <c r="I51" s="87">
        <f>IF(D51=0,"Medición",IF(D51=1,"Daño físico",IF(D51=2,"Fuga",IF(D51=3,"Picado",IF(D51=4,"Desfasado",IF(D51=5,"Paralizado","¿?"))))))</f>
        <v/>
      </c>
    </row>
    <row r="52">
      <c r="A52" s="80">
        <f>'ERROR FINAL'!A55</f>
        <v/>
      </c>
      <c r="B52" s="81">
        <f>'ERROR FINAL'!D55</f>
        <v/>
      </c>
      <c r="C52" s="314">
        <f>'ERROR FINAL'!G55</f>
        <v/>
      </c>
      <c r="D52" s="83">
        <f>'ERROR FINAL'!I55</f>
        <v/>
      </c>
      <c r="E52" s="315">
        <f>'ERROR FINAL'!U55</f>
        <v/>
      </c>
      <c r="F52" s="316">
        <f>'ERROR FINAL'!AG55</f>
        <v/>
      </c>
      <c r="G52" s="316">
        <f>'ERROR FINAL'!AS55</f>
        <v/>
      </c>
      <c r="H52" s="86">
        <f>IF('ERROR FINAL'!AT55="CONFORME","CONFORME","NO CONFORME")</f>
        <v/>
      </c>
      <c r="I52" s="87">
        <f>IF(D52=0,"Medición",IF(D52=1,"Daño físico",IF(D52=2,"Fuga",IF(D52=3,"Picado",IF(D52=4,"Desfasado",IF(D52=5,"Paralizado","¿?"))))))</f>
        <v/>
      </c>
    </row>
    <row r="53">
      <c r="A53" s="80">
        <f>'ERROR FINAL'!A56</f>
        <v/>
      </c>
      <c r="B53" s="81">
        <f>'ERROR FINAL'!D56</f>
        <v/>
      </c>
      <c r="C53" s="314">
        <f>'ERROR FINAL'!G56</f>
        <v/>
      </c>
      <c r="D53" s="83">
        <f>'ERROR FINAL'!I56</f>
        <v/>
      </c>
      <c r="E53" s="315">
        <f>'ERROR FINAL'!U56</f>
        <v/>
      </c>
      <c r="F53" s="316">
        <f>'ERROR FINAL'!AG56</f>
        <v/>
      </c>
      <c r="G53" s="316">
        <f>'ERROR FINAL'!AS56</f>
        <v/>
      </c>
      <c r="H53" s="86">
        <f>IF('ERROR FINAL'!AT56="CONFORME","CONFORME","NO CONFORME")</f>
        <v/>
      </c>
      <c r="I53" s="87">
        <f>IF(D53=0,"Medición",IF(D53=1,"Daño físico",IF(D53=2,"Fuga",IF(D53=3,"Picado",IF(D53=4,"Desfasado",IF(D53=5,"Paralizado","¿?"))))))</f>
        <v/>
      </c>
    </row>
    <row r="54">
      <c r="A54" s="80">
        <f>'ERROR FINAL'!A57</f>
        <v/>
      </c>
      <c r="B54" s="81">
        <f>'ERROR FINAL'!D57</f>
        <v/>
      </c>
      <c r="C54" s="314">
        <f>'ERROR FINAL'!G57</f>
        <v/>
      </c>
      <c r="D54" s="83">
        <f>'ERROR FINAL'!I57</f>
        <v/>
      </c>
      <c r="E54" s="315">
        <f>'ERROR FINAL'!U57</f>
        <v/>
      </c>
      <c r="F54" s="316">
        <f>'ERROR FINAL'!AG57</f>
        <v/>
      </c>
      <c r="G54" s="316">
        <f>'ERROR FINAL'!AS57</f>
        <v/>
      </c>
      <c r="H54" s="86">
        <f>IF('ERROR FINAL'!AT57="CONFORME","CONFORME","NO CONFORME")</f>
        <v/>
      </c>
      <c r="I54" s="87">
        <f>IF(D54=0,"Medición",IF(D54=1,"Daño físico",IF(D54=2,"Fuga",IF(D54=3,"Picado",IF(D54=4,"Desfasado",IF(D54=5,"Paralizado","¿?"))))))</f>
        <v/>
      </c>
    </row>
    <row r="55">
      <c r="A55" s="80">
        <f>'ERROR FINAL'!A58</f>
        <v/>
      </c>
      <c r="B55" s="81">
        <f>'ERROR FINAL'!D58</f>
        <v/>
      </c>
      <c r="C55" s="314">
        <f>'ERROR FINAL'!G58</f>
        <v/>
      </c>
      <c r="D55" s="83">
        <f>'ERROR FINAL'!I58</f>
        <v/>
      </c>
      <c r="E55" s="315">
        <f>'ERROR FINAL'!U58</f>
        <v/>
      </c>
      <c r="F55" s="316">
        <f>'ERROR FINAL'!AG58</f>
        <v/>
      </c>
      <c r="G55" s="316">
        <f>'ERROR FINAL'!AS58</f>
        <v/>
      </c>
      <c r="H55" s="86">
        <f>IF('ERROR FINAL'!AT58="CONFORME","CONFORME","NO CONFORME")</f>
        <v/>
      </c>
      <c r="I55" s="87">
        <f>IF(D55=0,"Medición",IF(D55=1,"Daño físico",IF(D55=2,"Fuga",IF(D55=3,"Picado",IF(D55=4,"Desfasado",IF(D55=5,"Paralizado","¿?"))))))</f>
        <v/>
      </c>
    </row>
    <row r="56">
      <c r="A56" s="80">
        <f>'ERROR FINAL'!A59</f>
        <v/>
      </c>
      <c r="B56" s="81">
        <f>'ERROR FINAL'!D59</f>
        <v/>
      </c>
      <c r="C56" s="314">
        <f>'ERROR FINAL'!G59</f>
        <v/>
      </c>
      <c r="D56" s="83">
        <f>'ERROR FINAL'!I59</f>
        <v/>
      </c>
      <c r="E56" s="315">
        <f>'ERROR FINAL'!U59</f>
        <v/>
      </c>
      <c r="F56" s="316">
        <f>'ERROR FINAL'!AG59</f>
        <v/>
      </c>
      <c r="G56" s="316">
        <f>'ERROR FINAL'!AS59</f>
        <v/>
      </c>
      <c r="H56" s="86">
        <f>IF('ERROR FINAL'!AT59="CONFORME","CONFORME","NO CONFORME")</f>
        <v/>
      </c>
      <c r="I56" s="87">
        <f>IF(D56=0,"Medición",IF(D56=1,"Daño físico",IF(D56=2,"Fuga",IF(D56=3,"Picado",IF(D56=4,"Desfasado",IF(D56=5,"Paralizado","¿?"))))))</f>
        <v/>
      </c>
    </row>
    <row r="57">
      <c r="A57" s="80">
        <f>'ERROR FINAL'!A60</f>
        <v/>
      </c>
      <c r="B57" s="81">
        <f>'ERROR FINAL'!D60</f>
        <v/>
      </c>
      <c r="C57" s="314">
        <f>'ERROR FINAL'!G60</f>
        <v/>
      </c>
      <c r="D57" s="83">
        <f>'ERROR FINAL'!I60</f>
        <v/>
      </c>
      <c r="E57" s="315">
        <f>'ERROR FINAL'!U60</f>
        <v/>
      </c>
      <c r="F57" s="316">
        <f>'ERROR FINAL'!AG60</f>
        <v/>
      </c>
      <c r="G57" s="316">
        <f>'ERROR FINAL'!AS60</f>
        <v/>
      </c>
      <c r="H57" s="86">
        <f>IF('ERROR FINAL'!AT60="CONFORME","CONFORME","NO CONFORME")</f>
        <v/>
      </c>
      <c r="I57" s="87">
        <f>IF(D57=0,"Medición",IF(D57=1,"Daño físico",IF(D57=2,"Fuga",IF(D57=3,"Picado",IF(D57=4,"Desfasado",IF(D57=5,"Paralizado","¿?"))))))</f>
        <v/>
      </c>
    </row>
    <row r="58">
      <c r="A58" s="80">
        <f>'ERROR FINAL'!A61</f>
        <v/>
      </c>
      <c r="B58" s="81">
        <f>'ERROR FINAL'!D61</f>
        <v/>
      </c>
      <c r="C58" s="314">
        <f>'ERROR FINAL'!G61</f>
        <v/>
      </c>
      <c r="D58" s="83">
        <f>'ERROR FINAL'!I61</f>
        <v/>
      </c>
      <c r="E58" s="315">
        <f>'ERROR FINAL'!U61</f>
        <v/>
      </c>
      <c r="F58" s="316">
        <f>'ERROR FINAL'!AG61</f>
        <v/>
      </c>
      <c r="G58" s="316">
        <f>'ERROR FINAL'!AS61</f>
        <v/>
      </c>
      <c r="H58" s="86">
        <f>IF('ERROR FINAL'!AT61="CONFORME","CONFORME","NO CONFORME")</f>
        <v/>
      </c>
      <c r="I58" s="87">
        <f>IF(D58=0,"Medición",IF(D58=1,"Daño físico",IF(D58=2,"Fuga",IF(D58=3,"Picado",IF(D58=4,"Desfasado",IF(D58=5,"Paralizado","¿?"))))))</f>
        <v/>
      </c>
    </row>
    <row r="59">
      <c r="A59" s="80">
        <f>'ERROR FINAL'!A62</f>
        <v/>
      </c>
      <c r="B59" s="81">
        <f>'ERROR FINAL'!D62</f>
        <v/>
      </c>
      <c r="C59" s="314">
        <f>'ERROR FINAL'!G62</f>
        <v/>
      </c>
      <c r="D59" s="83">
        <f>'ERROR FINAL'!I62</f>
        <v/>
      </c>
      <c r="E59" s="315">
        <f>'ERROR FINAL'!U62</f>
        <v/>
      </c>
      <c r="F59" s="316">
        <f>'ERROR FINAL'!AG62</f>
        <v/>
      </c>
      <c r="G59" s="316">
        <f>'ERROR FINAL'!AS62</f>
        <v/>
      </c>
      <c r="H59" s="86">
        <f>IF('ERROR FINAL'!AT62="CONFORME","CONFORME","NO CONFORME")</f>
        <v/>
      </c>
      <c r="I59" s="87">
        <f>IF(D59=0,"Medición",IF(D59=1,"Daño físico",IF(D59=2,"Fuga",IF(D59=3,"Picado",IF(D59=4,"Desfasado",IF(D59=5,"Paralizado","¿?"))))))</f>
        <v/>
      </c>
    </row>
    <row r="60">
      <c r="A60" s="80">
        <f>'ERROR FINAL'!A63</f>
        <v/>
      </c>
      <c r="B60" s="81">
        <f>'ERROR FINAL'!D63</f>
        <v/>
      </c>
      <c r="C60" s="314">
        <f>'ERROR FINAL'!G63</f>
        <v/>
      </c>
      <c r="D60" s="83">
        <f>'ERROR FINAL'!I63</f>
        <v/>
      </c>
      <c r="E60" s="315">
        <f>'ERROR FINAL'!U63</f>
        <v/>
      </c>
      <c r="F60" s="316">
        <f>'ERROR FINAL'!AG63</f>
        <v/>
      </c>
      <c r="G60" s="316">
        <f>'ERROR FINAL'!AS63</f>
        <v/>
      </c>
      <c r="H60" s="86">
        <f>IF('ERROR FINAL'!AT63="CONFORME","CONFORME","NO CONFORME")</f>
        <v/>
      </c>
      <c r="I60" s="87">
        <f>IF(D60=0,"Medición",IF(D60=1,"Daño físico",IF(D60=2,"Fuga",IF(D60=3,"Picado",IF(D60=4,"Desfasado",IF(D60=5,"Paralizado","¿?"))))))</f>
        <v/>
      </c>
    </row>
    <row r="61">
      <c r="A61" s="80">
        <f>'ERROR FINAL'!A64</f>
        <v/>
      </c>
      <c r="B61" s="81">
        <f>'ERROR FINAL'!D64</f>
        <v/>
      </c>
      <c r="C61" s="314">
        <f>'ERROR FINAL'!G64</f>
        <v/>
      </c>
      <c r="D61" s="83">
        <f>'ERROR FINAL'!I64</f>
        <v/>
      </c>
      <c r="E61" s="315">
        <f>'ERROR FINAL'!U64</f>
        <v/>
      </c>
      <c r="F61" s="316">
        <f>'ERROR FINAL'!AG64</f>
        <v/>
      </c>
      <c r="G61" s="316">
        <f>'ERROR FINAL'!AS64</f>
        <v/>
      </c>
      <c r="H61" s="86">
        <f>IF('ERROR FINAL'!AT64="CONFORME","CONFORME","NO CONFORME")</f>
        <v/>
      </c>
      <c r="I61" s="87">
        <f>IF(D61=0,"Medición",IF(D61=1,"Daño físico",IF(D61=2,"Fuga",IF(D61=3,"Picado",IF(D61=4,"Desfasado",IF(D61=5,"Paralizado","¿?"))))))</f>
        <v/>
      </c>
    </row>
    <row r="62">
      <c r="A62" s="80">
        <f>'ERROR FINAL'!A65</f>
        <v/>
      </c>
      <c r="B62" s="81">
        <f>'ERROR FINAL'!D65</f>
        <v/>
      </c>
      <c r="C62" s="314">
        <f>'ERROR FINAL'!G65</f>
        <v/>
      </c>
      <c r="D62" s="83">
        <f>'ERROR FINAL'!I65</f>
        <v/>
      </c>
      <c r="E62" s="315">
        <f>'ERROR FINAL'!U65</f>
        <v/>
      </c>
      <c r="F62" s="316">
        <f>'ERROR FINAL'!AG65</f>
        <v/>
      </c>
      <c r="G62" s="316">
        <f>'ERROR FINAL'!AS65</f>
        <v/>
      </c>
      <c r="H62" s="86">
        <f>IF('ERROR FINAL'!AT65="CONFORME","CONFORME","NO CONFORME")</f>
        <v/>
      </c>
      <c r="I62" s="87">
        <f>IF(D62=0,"Medición",IF(D62=1,"Daño físico",IF(D62=2,"Fuga",IF(D62=3,"Picado",IF(D62=4,"Desfasado",IF(D62=5,"Paralizado","¿?"))))))</f>
        <v/>
      </c>
    </row>
    <row r="63">
      <c r="A63" s="80">
        <f>'ERROR FINAL'!A66</f>
        <v/>
      </c>
      <c r="B63" s="81">
        <f>'ERROR FINAL'!D66</f>
        <v/>
      </c>
      <c r="C63" s="314">
        <f>'ERROR FINAL'!G66</f>
        <v/>
      </c>
      <c r="D63" s="83">
        <f>'ERROR FINAL'!I66</f>
        <v/>
      </c>
      <c r="E63" s="315">
        <f>'ERROR FINAL'!U66</f>
        <v/>
      </c>
      <c r="F63" s="316">
        <f>'ERROR FINAL'!AG66</f>
        <v/>
      </c>
      <c r="G63" s="316">
        <f>'ERROR FINAL'!AS66</f>
        <v/>
      </c>
      <c r="H63" s="86">
        <f>IF('ERROR FINAL'!AT66="CONFORME","CONFORME","NO CONFORME")</f>
        <v/>
      </c>
      <c r="I63" s="87">
        <f>IF(D63=0,"Medición",IF(D63=1,"Daño físico",IF(D63=2,"Fuga",IF(D63=3,"Picado",IF(D63=4,"Desfasado",IF(D63=5,"Paralizado","¿?"))))))</f>
        <v/>
      </c>
    </row>
    <row r="64">
      <c r="A64" s="80">
        <f>'ERROR FINAL'!A67</f>
        <v/>
      </c>
      <c r="B64" s="81">
        <f>'ERROR FINAL'!D67</f>
        <v/>
      </c>
      <c r="C64" s="314">
        <f>'ERROR FINAL'!G67</f>
        <v/>
      </c>
      <c r="D64" s="83">
        <f>'ERROR FINAL'!I67</f>
        <v/>
      </c>
      <c r="E64" s="315">
        <f>'ERROR FINAL'!U67</f>
        <v/>
      </c>
      <c r="F64" s="316">
        <f>'ERROR FINAL'!AG67</f>
        <v/>
      </c>
      <c r="G64" s="316">
        <f>'ERROR FINAL'!AS67</f>
        <v/>
      </c>
      <c r="H64" s="86">
        <f>IF('ERROR FINAL'!AT67="CONFORME","CONFORME","NO CONFORME")</f>
        <v/>
      </c>
      <c r="I64" s="87">
        <f>IF(D64=0,"Medición",IF(D64=1,"Daño físico",IF(D64=2,"Fuga",IF(D64=3,"Picado",IF(D64=4,"Desfasado",IF(D64=5,"Paralizado","¿?"))))))</f>
        <v/>
      </c>
    </row>
    <row r="65">
      <c r="A65" s="80">
        <f>'ERROR FINAL'!A68</f>
        <v/>
      </c>
      <c r="B65" s="81">
        <f>'ERROR FINAL'!D68</f>
        <v/>
      </c>
      <c r="C65" s="314">
        <f>'ERROR FINAL'!G68</f>
        <v/>
      </c>
      <c r="D65" s="83">
        <f>'ERROR FINAL'!I68</f>
        <v/>
      </c>
      <c r="E65" s="315">
        <f>'ERROR FINAL'!U68</f>
        <v/>
      </c>
      <c r="F65" s="316">
        <f>'ERROR FINAL'!AG68</f>
        <v/>
      </c>
      <c r="G65" s="316">
        <f>'ERROR FINAL'!AS68</f>
        <v/>
      </c>
      <c r="H65" s="86">
        <f>IF('ERROR FINAL'!AT68="CONFORME","CONFORME","NO CONFORME")</f>
        <v/>
      </c>
      <c r="I65" s="87">
        <f>IF(D65=0,"Medición",IF(D65=1,"Daño físico",IF(D65=2,"Fuga",IF(D65=3,"Picado",IF(D65=4,"Desfasado",IF(D65=5,"Paralizado","¿?"))))))</f>
        <v/>
      </c>
    </row>
    <row r="66">
      <c r="A66" s="80">
        <f>'ERROR FINAL'!A69</f>
        <v/>
      </c>
      <c r="B66" s="81">
        <f>'ERROR FINAL'!D69</f>
        <v/>
      </c>
      <c r="C66" s="314">
        <f>'ERROR FINAL'!G69</f>
        <v/>
      </c>
      <c r="D66" s="83">
        <f>'ERROR FINAL'!I69</f>
        <v/>
      </c>
      <c r="E66" s="315">
        <f>'ERROR FINAL'!U69</f>
        <v/>
      </c>
      <c r="F66" s="316">
        <f>'ERROR FINAL'!AG69</f>
        <v/>
      </c>
      <c r="G66" s="316">
        <f>'ERROR FINAL'!AS69</f>
        <v/>
      </c>
      <c r="H66" s="86">
        <f>IF('ERROR FINAL'!AT69="CONFORME","CONFORME","NO CONFORME")</f>
        <v/>
      </c>
      <c r="I66" s="87">
        <f>IF(D66=0,"Medición",IF(D66=1,"Daño físico",IF(D66=2,"Fuga",IF(D66=3,"Picado",IF(D66=4,"Desfasado",IF(D66=5,"Paralizado","¿?"))))))</f>
        <v/>
      </c>
    </row>
    <row r="67">
      <c r="A67" s="80">
        <f>'ERROR FINAL'!A70</f>
        <v/>
      </c>
      <c r="B67" s="81">
        <f>'ERROR FINAL'!D70</f>
        <v/>
      </c>
      <c r="C67" s="314">
        <f>'ERROR FINAL'!G70</f>
        <v/>
      </c>
      <c r="D67" s="83">
        <f>'ERROR FINAL'!I70</f>
        <v/>
      </c>
      <c r="E67" s="315">
        <f>'ERROR FINAL'!U70</f>
        <v/>
      </c>
      <c r="F67" s="316">
        <f>'ERROR FINAL'!AG70</f>
        <v/>
      </c>
      <c r="G67" s="316">
        <f>'ERROR FINAL'!AS70</f>
        <v/>
      </c>
      <c r="H67" s="86">
        <f>IF('ERROR FINAL'!AT70="CONFORME","CONFORME","NO CONFORME")</f>
        <v/>
      </c>
      <c r="I67" s="87">
        <f>IF(D67=0,"Medición",IF(D67=1,"Daño físico",IF(D67=2,"Fuga",IF(D67=3,"Picado",IF(D67=4,"Desfasado",IF(D67=5,"Paralizado","¿?"))))))</f>
        <v/>
      </c>
    </row>
    <row r="68">
      <c r="A68" s="80">
        <f>'ERROR FINAL'!A71</f>
        <v/>
      </c>
      <c r="B68" s="81">
        <f>'ERROR FINAL'!D71</f>
        <v/>
      </c>
      <c r="C68" s="314">
        <f>'ERROR FINAL'!G71</f>
        <v/>
      </c>
      <c r="D68" s="83">
        <f>'ERROR FINAL'!I71</f>
        <v/>
      </c>
      <c r="E68" s="315">
        <f>'ERROR FINAL'!U71</f>
        <v/>
      </c>
      <c r="F68" s="316">
        <f>'ERROR FINAL'!AG71</f>
        <v/>
      </c>
      <c r="G68" s="316">
        <f>'ERROR FINAL'!AS71</f>
        <v/>
      </c>
      <c r="H68" s="86">
        <f>IF('ERROR FINAL'!AT71="CONFORME","CONFORME","NO CONFORME")</f>
        <v/>
      </c>
      <c r="I68" s="87">
        <f>IF(D68=0,"Medición",IF(D68=1,"Daño físico",IF(D68=2,"Fuga",IF(D68=3,"Picado",IF(D68=4,"Desfasado",IF(D68=5,"Paralizado","¿?"))))))</f>
        <v/>
      </c>
    </row>
    <row r="69">
      <c r="A69" s="80">
        <f>'ERROR FINAL'!A72</f>
        <v/>
      </c>
      <c r="B69" s="81">
        <f>'ERROR FINAL'!D72</f>
        <v/>
      </c>
      <c r="C69" s="314">
        <f>'ERROR FINAL'!G72</f>
        <v/>
      </c>
      <c r="D69" s="83">
        <f>'ERROR FINAL'!I72</f>
        <v/>
      </c>
      <c r="E69" s="315">
        <f>'ERROR FINAL'!U72</f>
        <v/>
      </c>
      <c r="F69" s="316">
        <f>'ERROR FINAL'!AG72</f>
        <v/>
      </c>
      <c r="G69" s="316">
        <f>'ERROR FINAL'!AS72</f>
        <v/>
      </c>
      <c r="H69" s="86">
        <f>IF('ERROR FINAL'!AT72="CONFORME","CONFORME","NO CONFORME")</f>
        <v/>
      </c>
      <c r="I69" s="87">
        <f>IF(D69=0,"Medición",IF(D69=1,"Daño físico",IF(D69=2,"Fuga",IF(D69=3,"Picado",IF(D69=4,"Desfasado",IF(D69=5,"Paralizado","¿?"))))))</f>
        <v/>
      </c>
    </row>
    <row r="70">
      <c r="A70" s="80">
        <f>'ERROR FINAL'!A73</f>
        <v/>
      </c>
      <c r="B70" s="81">
        <f>'ERROR FINAL'!D73</f>
        <v/>
      </c>
      <c r="C70" s="314">
        <f>'ERROR FINAL'!G73</f>
        <v/>
      </c>
      <c r="D70" s="83">
        <f>'ERROR FINAL'!I73</f>
        <v/>
      </c>
      <c r="E70" s="315">
        <f>'ERROR FINAL'!U73</f>
        <v/>
      </c>
      <c r="F70" s="316">
        <f>'ERROR FINAL'!AG73</f>
        <v/>
      </c>
      <c r="G70" s="316">
        <f>'ERROR FINAL'!AS73</f>
        <v/>
      </c>
      <c r="H70" s="86">
        <f>IF('ERROR FINAL'!AT73="CONFORME","CONFORME","NO CONFORME")</f>
        <v/>
      </c>
      <c r="I70" s="87">
        <f>IF(D70=0,"Medición",IF(D70=1,"Daño físico",IF(D70=2,"Fuga",IF(D70=3,"Picado",IF(D70=4,"Desfasado",IF(D70=5,"Paralizado","¿?"))))))</f>
        <v/>
      </c>
    </row>
    <row r="71">
      <c r="A71" s="80">
        <f>'ERROR FINAL'!A74</f>
        <v/>
      </c>
      <c r="B71" s="81">
        <f>'ERROR FINAL'!D74</f>
        <v/>
      </c>
      <c r="C71" s="314">
        <f>'ERROR FINAL'!G74</f>
        <v/>
      </c>
      <c r="D71" s="83">
        <f>'ERROR FINAL'!I74</f>
        <v/>
      </c>
      <c r="E71" s="315">
        <f>'ERROR FINAL'!U74</f>
        <v/>
      </c>
      <c r="F71" s="316">
        <f>'ERROR FINAL'!AG74</f>
        <v/>
      </c>
      <c r="G71" s="316">
        <f>'ERROR FINAL'!AS74</f>
        <v/>
      </c>
      <c r="H71" s="86">
        <f>IF('ERROR FINAL'!AT74="CONFORME","CONFORME","NO CONFORME")</f>
        <v/>
      </c>
      <c r="I71" s="87">
        <f>IF(D71=0,"Medición",IF(D71=1,"Daño físico",IF(D71=2,"Fuga",IF(D71=3,"Picado",IF(D71=4,"Desfasado",IF(D71=5,"Paralizado","¿?"))))))</f>
        <v/>
      </c>
    </row>
    <row r="72">
      <c r="A72" s="80">
        <f>'ERROR FINAL'!A75</f>
        <v/>
      </c>
      <c r="B72" s="81">
        <f>'ERROR FINAL'!D75</f>
        <v/>
      </c>
      <c r="C72" s="314">
        <f>'ERROR FINAL'!G75</f>
        <v/>
      </c>
      <c r="D72" s="83">
        <f>'ERROR FINAL'!I75</f>
        <v/>
      </c>
      <c r="E72" s="315">
        <f>'ERROR FINAL'!U75</f>
        <v/>
      </c>
      <c r="F72" s="316">
        <f>'ERROR FINAL'!AG75</f>
        <v/>
      </c>
      <c r="G72" s="316">
        <f>'ERROR FINAL'!AS75</f>
        <v/>
      </c>
      <c r="H72" s="86">
        <f>IF('ERROR FINAL'!AT75="CONFORME","CONFORME","NO CONFORME")</f>
        <v/>
      </c>
      <c r="I72" s="87">
        <f>IF(D72=0,"Medición",IF(D72=1,"Daño físico",IF(D72=2,"Fuga",IF(D72=3,"Picado",IF(D72=4,"Desfasado",IF(D72=5,"Paralizado","¿?"))))))</f>
        <v/>
      </c>
    </row>
    <row r="73">
      <c r="A73" s="80">
        <f>'ERROR FINAL'!A76</f>
        <v/>
      </c>
      <c r="B73" s="81">
        <f>'ERROR FINAL'!D76</f>
        <v/>
      </c>
      <c r="C73" s="314">
        <f>'ERROR FINAL'!G76</f>
        <v/>
      </c>
      <c r="D73" s="83">
        <f>'ERROR FINAL'!I76</f>
        <v/>
      </c>
      <c r="E73" s="315">
        <f>'ERROR FINAL'!U76</f>
        <v/>
      </c>
      <c r="F73" s="316">
        <f>'ERROR FINAL'!AG76</f>
        <v/>
      </c>
      <c r="G73" s="316">
        <f>'ERROR FINAL'!AS76</f>
        <v/>
      </c>
      <c r="H73" s="86">
        <f>IF('ERROR FINAL'!AT76="CONFORME","CONFORME","NO CONFORME")</f>
        <v/>
      </c>
      <c r="I73" s="87">
        <f>IF(D73=0,"Medición",IF(D73=1,"Daño físico",IF(D73=2,"Fuga",IF(D73=3,"Picado",IF(D73=4,"Desfasado",IF(D73=5,"Paralizado","¿?"))))))</f>
        <v/>
      </c>
    </row>
    <row r="74">
      <c r="A74" s="80">
        <f>'ERROR FINAL'!A77</f>
        <v/>
      </c>
      <c r="B74" s="81">
        <f>'ERROR FINAL'!D77</f>
        <v/>
      </c>
      <c r="C74" s="314">
        <f>'ERROR FINAL'!G77</f>
        <v/>
      </c>
      <c r="D74" s="83">
        <f>'ERROR FINAL'!I77</f>
        <v/>
      </c>
      <c r="E74" s="315">
        <f>'ERROR FINAL'!U77</f>
        <v/>
      </c>
      <c r="F74" s="316">
        <f>'ERROR FINAL'!AG77</f>
        <v/>
      </c>
      <c r="G74" s="316">
        <f>'ERROR FINAL'!AS77</f>
        <v/>
      </c>
      <c r="H74" s="86">
        <f>IF('ERROR FINAL'!AT77="CONFORME","CONFORME","NO CONFORME")</f>
        <v/>
      </c>
      <c r="I74" s="87">
        <f>IF(D74=0,"Medición",IF(D74=1,"Daño físico",IF(D74=2,"Fuga",IF(D74=3,"Picado",IF(D74=4,"Desfasado",IF(D74=5,"Paralizado","¿?"))))))</f>
        <v/>
      </c>
    </row>
    <row r="75">
      <c r="A75" s="80">
        <f>'ERROR FINAL'!A78</f>
        <v/>
      </c>
      <c r="B75" s="81">
        <f>'ERROR FINAL'!D78</f>
        <v/>
      </c>
      <c r="C75" s="314">
        <f>'ERROR FINAL'!G78</f>
        <v/>
      </c>
      <c r="D75" s="83">
        <f>'ERROR FINAL'!I78</f>
        <v/>
      </c>
      <c r="E75" s="315">
        <f>'ERROR FINAL'!U78</f>
        <v/>
      </c>
      <c r="F75" s="316">
        <f>'ERROR FINAL'!AG78</f>
        <v/>
      </c>
      <c r="G75" s="316">
        <f>'ERROR FINAL'!AS78</f>
        <v/>
      </c>
      <c r="H75" s="86">
        <f>IF('ERROR FINAL'!AT78="CONFORME","CONFORME","NO CONFORME")</f>
        <v/>
      </c>
      <c r="I75" s="87">
        <f>IF(D75=0,"Medición",IF(D75=1,"Daño físico",IF(D75=2,"Fuga",IF(D75=3,"Picado",IF(D75=4,"Desfasado",IF(D75=5,"Paralizado","¿?"))))))</f>
        <v/>
      </c>
    </row>
    <row r="76">
      <c r="A76" s="80">
        <f>'ERROR FINAL'!A79</f>
        <v/>
      </c>
      <c r="B76" s="81">
        <f>'ERROR FINAL'!D79</f>
        <v/>
      </c>
      <c r="C76" s="314">
        <f>'ERROR FINAL'!G79</f>
        <v/>
      </c>
      <c r="D76" s="83">
        <f>'ERROR FINAL'!I79</f>
        <v/>
      </c>
      <c r="E76" s="315">
        <f>'ERROR FINAL'!U79</f>
        <v/>
      </c>
      <c r="F76" s="316">
        <f>'ERROR FINAL'!AG79</f>
        <v/>
      </c>
      <c r="G76" s="316">
        <f>'ERROR FINAL'!AS79</f>
        <v/>
      </c>
      <c r="H76" s="86">
        <f>IF('ERROR FINAL'!AT79="CONFORME","CONFORME","NO CONFORME")</f>
        <v/>
      </c>
      <c r="I76" s="87">
        <f>IF(D76=0,"Medición",IF(D76=1,"Daño físico",IF(D76=2,"Fuga",IF(D76=3,"Picado",IF(D76=4,"Desfasado",IF(D76=5,"Paralizado","¿?"))))))</f>
        <v/>
      </c>
    </row>
    <row r="77">
      <c r="A77" s="80">
        <f>'ERROR FINAL'!A80</f>
        <v/>
      </c>
      <c r="B77" s="81">
        <f>'ERROR FINAL'!D80</f>
        <v/>
      </c>
      <c r="C77" s="314">
        <f>'ERROR FINAL'!G80</f>
        <v/>
      </c>
      <c r="D77" s="83">
        <f>'ERROR FINAL'!I80</f>
        <v/>
      </c>
      <c r="E77" s="315">
        <f>'ERROR FINAL'!U80</f>
        <v/>
      </c>
      <c r="F77" s="316">
        <f>'ERROR FINAL'!AG80</f>
        <v/>
      </c>
      <c r="G77" s="316">
        <f>'ERROR FINAL'!AS80</f>
        <v/>
      </c>
      <c r="H77" s="86">
        <f>IF('ERROR FINAL'!AT80="CONFORME","CONFORME","NO CONFORME")</f>
        <v/>
      </c>
      <c r="I77" s="87">
        <f>IF(D77=0,"Medición",IF(D77=1,"Daño físico",IF(D77=2,"Fuga",IF(D77=3,"Picado",IF(D77=4,"Desfasado",IF(D77=5,"Paralizado","¿?"))))))</f>
        <v/>
      </c>
    </row>
    <row r="78">
      <c r="A78" s="80">
        <f>'ERROR FINAL'!A81</f>
        <v/>
      </c>
      <c r="B78" s="81">
        <f>'ERROR FINAL'!D81</f>
        <v/>
      </c>
      <c r="C78" s="314">
        <f>'ERROR FINAL'!G81</f>
        <v/>
      </c>
      <c r="D78" s="83">
        <f>'ERROR FINAL'!I81</f>
        <v/>
      </c>
      <c r="E78" s="315">
        <f>'ERROR FINAL'!U81</f>
        <v/>
      </c>
      <c r="F78" s="316">
        <f>'ERROR FINAL'!AG81</f>
        <v/>
      </c>
      <c r="G78" s="316">
        <f>'ERROR FINAL'!AS81</f>
        <v/>
      </c>
      <c r="H78" s="86">
        <f>IF('ERROR FINAL'!AT81="CONFORME","CONFORME","NO CONFORME")</f>
        <v/>
      </c>
      <c r="I78" s="87">
        <f>IF(D78=0,"Medición",IF(D78=1,"Daño físico",IF(D78=2,"Fuga",IF(D78=3,"Picado",IF(D78=4,"Desfasado",IF(D78=5,"Paralizado","¿?"))))))</f>
        <v/>
      </c>
    </row>
    <row r="79">
      <c r="A79" s="80">
        <f>'ERROR FINAL'!A82</f>
        <v/>
      </c>
      <c r="B79" s="81">
        <f>'ERROR FINAL'!D82</f>
        <v/>
      </c>
      <c r="C79" s="314">
        <f>'ERROR FINAL'!G82</f>
        <v/>
      </c>
      <c r="D79" s="83">
        <f>'ERROR FINAL'!I82</f>
        <v/>
      </c>
      <c r="E79" s="315">
        <f>'ERROR FINAL'!U82</f>
        <v/>
      </c>
      <c r="F79" s="316">
        <f>'ERROR FINAL'!AG82</f>
        <v/>
      </c>
      <c r="G79" s="316">
        <f>'ERROR FINAL'!AS82</f>
        <v/>
      </c>
      <c r="H79" s="86">
        <f>IF('ERROR FINAL'!AT82="CONFORME","CONFORME","NO CONFORME")</f>
        <v/>
      </c>
      <c r="I79" s="87">
        <f>IF(D79=0,"Medición",IF(D79=1,"Daño físico",IF(D79=2,"Fuga",IF(D79=3,"Picado",IF(D79=4,"Desfasado",IF(D79=5,"Paralizado","¿?"))))))</f>
        <v/>
      </c>
    </row>
    <row r="80">
      <c r="A80" s="80">
        <f>'ERROR FINAL'!A83</f>
        <v/>
      </c>
      <c r="B80" s="81">
        <f>'ERROR FINAL'!D83</f>
        <v/>
      </c>
      <c r="C80" s="314">
        <f>'ERROR FINAL'!G83</f>
        <v/>
      </c>
      <c r="D80" s="83">
        <f>'ERROR FINAL'!I83</f>
        <v/>
      </c>
      <c r="E80" s="315">
        <f>'ERROR FINAL'!U83</f>
        <v/>
      </c>
      <c r="F80" s="316">
        <f>'ERROR FINAL'!AG83</f>
        <v/>
      </c>
      <c r="G80" s="316">
        <f>'ERROR FINAL'!AS83</f>
        <v/>
      </c>
      <c r="H80" s="86">
        <f>IF('ERROR FINAL'!AT83="CONFORME","CONFORME","NO CONFORME")</f>
        <v/>
      </c>
      <c r="I80" s="87">
        <f>IF(D80=0,"Medición",IF(D80=1,"Daño físico",IF(D80=2,"Fuga",IF(D80=3,"Picado",IF(D80=4,"Desfasado",IF(D80=5,"Paralizado","¿?"))))))</f>
        <v/>
      </c>
    </row>
    <row r="81">
      <c r="A81" s="80">
        <f>'ERROR FINAL'!A84</f>
        <v/>
      </c>
      <c r="B81" s="81">
        <f>'ERROR FINAL'!D84</f>
        <v/>
      </c>
      <c r="C81" s="314">
        <f>'ERROR FINAL'!G84</f>
        <v/>
      </c>
      <c r="D81" s="83">
        <f>'ERROR FINAL'!I84</f>
        <v/>
      </c>
      <c r="E81" s="315">
        <f>'ERROR FINAL'!U84</f>
        <v/>
      </c>
      <c r="F81" s="316">
        <f>'ERROR FINAL'!AG84</f>
        <v/>
      </c>
      <c r="G81" s="316">
        <f>'ERROR FINAL'!AS84</f>
        <v/>
      </c>
      <c r="H81" s="86">
        <f>IF('ERROR FINAL'!AT84="CONFORME","CONFORME","NO CONFORME")</f>
        <v/>
      </c>
      <c r="I81" s="87">
        <f>IF(D81=0,"Medición",IF(D81=1,"Daño físico",IF(D81=2,"Fuga",IF(D81=3,"Picado",IF(D81=4,"Desfasado",IF(D81=5,"Paralizado","¿?"))))))</f>
        <v/>
      </c>
    </row>
    <row r="82">
      <c r="A82" s="80">
        <f>'ERROR FINAL'!A85</f>
        <v/>
      </c>
      <c r="B82" s="81">
        <f>'ERROR FINAL'!D85</f>
        <v/>
      </c>
      <c r="C82" s="314">
        <f>'ERROR FINAL'!G85</f>
        <v/>
      </c>
      <c r="D82" s="83">
        <f>'ERROR FINAL'!I85</f>
        <v/>
      </c>
      <c r="E82" s="315">
        <f>'ERROR FINAL'!U85</f>
        <v/>
      </c>
      <c r="F82" s="316">
        <f>'ERROR FINAL'!AG85</f>
        <v/>
      </c>
      <c r="G82" s="316">
        <f>'ERROR FINAL'!AS85</f>
        <v/>
      </c>
      <c r="H82" s="86">
        <f>IF('ERROR FINAL'!AT85="CONFORME","CONFORME","NO CONFORME")</f>
        <v/>
      </c>
      <c r="I82" s="87">
        <f>IF(D82=0,"Medición",IF(D82=1,"Daño físico",IF(D82=2,"Fuga",IF(D82=3,"Picado",IF(D82=4,"Desfasado",IF(D82=5,"Paralizado","¿?"))))))</f>
        <v/>
      </c>
    </row>
    <row r="83">
      <c r="A83" s="80">
        <f>'ERROR FINAL'!A86</f>
        <v/>
      </c>
      <c r="B83" s="81">
        <f>'ERROR FINAL'!D86</f>
        <v/>
      </c>
      <c r="C83" s="314">
        <f>'ERROR FINAL'!G86</f>
        <v/>
      </c>
      <c r="D83" s="83">
        <f>'ERROR FINAL'!I86</f>
        <v/>
      </c>
      <c r="E83" s="315">
        <f>'ERROR FINAL'!U86</f>
        <v/>
      </c>
      <c r="F83" s="316">
        <f>'ERROR FINAL'!AG86</f>
        <v/>
      </c>
      <c r="G83" s="316">
        <f>'ERROR FINAL'!AS86</f>
        <v/>
      </c>
      <c r="H83" s="86">
        <f>IF('ERROR FINAL'!AT86="CONFORME","CONFORME","NO CONFORME")</f>
        <v/>
      </c>
      <c r="I83" s="87">
        <f>IF(D83=0,"Medición",IF(D83=1,"Daño físico",IF(D83=2,"Fuga",IF(D83=3,"Picado",IF(D83=4,"Desfasado",IF(D83=5,"Paralizado","¿?"))))))</f>
        <v/>
      </c>
    </row>
    <row r="84">
      <c r="A84" s="80">
        <f>'ERROR FINAL'!A87</f>
        <v/>
      </c>
      <c r="B84" s="81">
        <f>'ERROR FINAL'!D87</f>
        <v/>
      </c>
      <c r="C84" s="314">
        <f>'ERROR FINAL'!G87</f>
        <v/>
      </c>
      <c r="D84" s="83">
        <f>'ERROR FINAL'!I87</f>
        <v/>
      </c>
      <c r="E84" s="315">
        <f>'ERROR FINAL'!U87</f>
        <v/>
      </c>
      <c r="F84" s="316">
        <f>'ERROR FINAL'!AG87</f>
        <v/>
      </c>
      <c r="G84" s="316">
        <f>'ERROR FINAL'!AS87</f>
        <v/>
      </c>
      <c r="H84" s="86">
        <f>IF('ERROR FINAL'!AT87="CONFORME","CONFORME","NO CONFORME")</f>
        <v/>
      </c>
      <c r="I84" s="87">
        <f>IF(D84=0,"Medición",IF(D84=1,"Daño físico",IF(D84=2,"Fuga",IF(D84=3,"Picado",IF(D84=4,"Desfasado",IF(D84=5,"Paralizado","¿?"))))))</f>
        <v/>
      </c>
    </row>
    <row r="85">
      <c r="A85" s="80">
        <f>'ERROR FINAL'!A88</f>
        <v/>
      </c>
      <c r="B85" s="81">
        <f>'ERROR FINAL'!D88</f>
        <v/>
      </c>
      <c r="C85" s="314">
        <f>'ERROR FINAL'!G88</f>
        <v/>
      </c>
      <c r="D85" s="83">
        <f>'ERROR FINAL'!I88</f>
        <v/>
      </c>
      <c r="E85" s="315">
        <f>'ERROR FINAL'!U88</f>
        <v/>
      </c>
      <c r="F85" s="316">
        <f>'ERROR FINAL'!AG88</f>
        <v/>
      </c>
      <c r="G85" s="316">
        <f>'ERROR FINAL'!AS88</f>
        <v/>
      </c>
      <c r="H85" s="86">
        <f>IF('ERROR FINAL'!AT88="CONFORME","CONFORME","NO CONFORME")</f>
        <v/>
      </c>
      <c r="I85" s="87">
        <f>IF(D85=0,"Medición",IF(D85=1,"Daño físico",IF(D85=2,"Fuga",IF(D85=3,"Picado",IF(D85=4,"Desfasado",IF(D85=5,"Paralizado","¿?"))))))</f>
        <v/>
      </c>
    </row>
    <row r="86">
      <c r="A86" s="80">
        <f>'ERROR FINAL'!A89</f>
        <v/>
      </c>
      <c r="B86" s="81">
        <f>'ERROR FINAL'!D89</f>
        <v/>
      </c>
      <c r="C86" s="314">
        <f>'ERROR FINAL'!G89</f>
        <v/>
      </c>
      <c r="D86" s="83">
        <f>'ERROR FINAL'!I89</f>
        <v/>
      </c>
      <c r="E86" s="315">
        <f>'ERROR FINAL'!U89</f>
        <v/>
      </c>
      <c r="F86" s="316">
        <f>'ERROR FINAL'!AG89</f>
        <v/>
      </c>
      <c r="G86" s="316">
        <f>'ERROR FINAL'!AS89</f>
        <v/>
      </c>
      <c r="H86" s="86">
        <f>IF('ERROR FINAL'!AT89="CONFORME","CONFORME","NO CONFORME")</f>
        <v/>
      </c>
      <c r="I86" s="87">
        <f>IF(D86=0,"Medición",IF(D86=1,"Daño físico",IF(D86=2,"Fuga",IF(D86=3,"Picado",IF(D86=4,"Desfasado",IF(D86=5,"Paralizado","¿?"))))))</f>
        <v/>
      </c>
    </row>
    <row r="87">
      <c r="A87" s="80">
        <f>'ERROR FINAL'!A90</f>
        <v/>
      </c>
      <c r="B87" s="81">
        <f>'ERROR FINAL'!D90</f>
        <v/>
      </c>
      <c r="C87" s="314">
        <f>'ERROR FINAL'!G90</f>
        <v/>
      </c>
      <c r="D87" s="83">
        <f>'ERROR FINAL'!I90</f>
        <v/>
      </c>
      <c r="E87" s="315">
        <f>'ERROR FINAL'!U90</f>
        <v/>
      </c>
      <c r="F87" s="316">
        <f>'ERROR FINAL'!AG90</f>
        <v/>
      </c>
      <c r="G87" s="316">
        <f>'ERROR FINAL'!AS90</f>
        <v/>
      </c>
      <c r="H87" s="86">
        <f>IF('ERROR FINAL'!AT90="CONFORME","CONFORME","NO CONFORME")</f>
        <v/>
      </c>
      <c r="I87" s="87">
        <f>IF(D87=0,"Medición",IF(D87=1,"Daño físico",IF(D87=2,"Fuga",IF(D87=3,"Picado",IF(D87=4,"Desfasado",IF(D87=5,"Paralizado","¿?"))))))</f>
        <v/>
      </c>
    </row>
    <row r="88">
      <c r="A88" s="80">
        <f>'ERROR FINAL'!A91</f>
        <v/>
      </c>
      <c r="B88" s="81">
        <f>'ERROR FINAL'!D91</f>
        <v/>
      </c>
      <c r="C88" s="314">
        <f>'ERROR FINAL'!G91</f>
        <v/>
      </c>
      <c r="D88" s="83">
        <f>'ERROR FINAL'!I91</f>
        <v/>
      </c>
      <c r="E88" s="315">
        <f>'ERROR FINAL'!U91</f>
        <v/>
      </c>
      <c r="F88" s="316">
        <f>'ERROR FINAL'!AG91</f>
        <v/>
      </c>
      <c r="G88" s="316">
        <f>'ERROR FINAL'!AS91</f>
        <v/>
      </c>
      <c r="H88" s="86">
        <f>IF('ERROR FINAL'!AT91="CONFORME","CONFORME","NO CONFORME")</f>
        <v/>
      </c>
      <c r="I88" s="87">
        <f>IF(D88=0,"Medición",IF(D88=1,"Daño físico",IF(D88=2,"Fuga",IF(D88=3,"Picado",IF(D88=4,"Desfasado",IF(D88=5,"Paralizado","¿?"))))))</f>
        <v/>
      </c>
    </row>
    <row r="89">
      <c r="A89" s="80">
        <f>'ERROR FINAL'!A92</f>
        <v/>
      </c>
      <c r="B89" s="81">
        <f>'ERROR FINAL'!D92</f>
        <v/>
      </c>
      <c r="C89" s="314">
        <f>'ERROR FINAL'!G92</f>
        <v/>
      </c>
      <c r="D89" s="83">
        <f>'ERROR FINAL'!I92</f>
        <v/>
      </c>
      <c r="E89" s="315">
        <f>'ERROR FINAL'!U92</f>
        <v/>
      </c>
      <c r="F89" s="316">
        <f>'ERROR FINAL'!AG92</f>
        <v/>
      </c>
      <c r="G89" s="316">
        <f>'ERROR FINAL'!AS92</f>
        <v/>
      </c>
      <c r="H89" s="86">
        <f>IF('ERROR FINAL'!AT92="CONFORME","CONFORME","NO CONFORME")</f>
        <v/>
      </c>
      <c r="I89" s="87">
        <f>IF(D89=0,"Medición",IF(D89=1,"Daño físico",IF(D89=2,"Fuga",IF(D89=3,"Picado",IF(D89=4,"Desfasado",IF(D89=5,"Paralizado","¿?"))))))</f>
        <v/>
      </c>
    </row>
    <row r="90">
      <c r="A90" s="80">
        <f>'ERROR FINAL'!A93</f>
        <v/>
      </c>
      <c r="B90" s="81">
        <f>'ERROR FINAL'!D93</f>
        <v/>
      </c>
      <c r="C90" s="314">
        <f>'ERROR FINAL'!G93</f>
        <v/>
      </c>
      <c r="D90" s="83">
        <f>'ERROR FINAL'!I93</f>
        <v/>
      </c>
      <c r="E90" s="315">
        <f>'ERROR FINAL'!U93</f>
        <v/>
      </c>
      <c r="F90" s="316">
        <f>'ERROR FINAL'!AG93</f>
        <v/>
      </c>
      <c r="G90" s="316">
        <f>'ERROR FINAL'!AS93</f>
        <v/>
      </c>
      <c r="H90" s="86">
        <f>IF('ERROR FINAL'!AT93="CONFORME","CONFORME","NO CONFORME")</f>
        <v/>
      </c>
      <c r="I90" s="87">
        <f>IF(D90=0,"Medición",IF(D90=1,"Daño físico",IF(D90=2,"Fuga",IF(D90=3,"Picado",IF(D90=4,"Desfasado",IF(D90=5,"Paralizado","¿?"))))))</f>
        <v/>
      </c>
    </row>
    <row r="91">
      <c r="A91" s="80">
        <f>'ERROR FINAL'!A94</f>
        <v/>
      </c>
      <c r="B91" s="81">
        <f>'ERROR FINAL'!D94</f>
        <v/>
      </c>
      <c r="C91" s="314">
        <f>'ERROR FINAL'!G94</f>
        <v/>
      </c>
      <c r="D91" s="83">
        <f>'ERROR FINAL'!I94</f>
        <v/>
      </c>
      <c r="E91" s="315">
        <f>'ERROR FINAL'!U94</f>
        <v/>
      </c>
      <c r="F91" s="316">
        <f>'ERROR FINAL'!AG94</f>
        <v/>
      </c>
      <c r="G91" s="316">
        <f>'ERROR FINAL'!AS94</f>
        <v/>
      </c>
      <c r="H91" s="86">
        <f>IF('ERROR FINAL'!AT94="CONFORME","CONFORME","NO CONFORME")</f>
        <v/>
      </c>
      <c r="I91" s="87">
        <f>IF(D91=0,"Medición",IF(D91=1,"Daño físico",IF(D91=2,"Fuga",IF(D91=3,"Picado",IF(D91=4,"Desfasado",IF(D91=5,"Paralizado","¿?"))))))</f>
        <v/>
      </c>
    </row>
    <row r="92">
      <c r="A92" s="80">
        <f>'ERROR FINAL'!A95</f>
        <v/>
      </c>
      <c r="B92" s="81">
        <f>'ERROR FINAL'!D95</f>
        <v/>
      </c>
      <c r="C92" s="314">
        <f>'ERROR FINAL'!G95</f>
        <v/>
      </c>
      <c r="D92" s="83">
        <f>'ERROR FINAL'!I95</f>
        <v/>
      </c>
      <c r="E92" s="315">
        <f>'ERROR FINAL'!U95</f>
        <v/>
      </c>
      <c r="F92" s="316">
        <f>'ERROR FINAL'!AG95</f>
        <v/>
      </c>
      <c r="G92" s="316">
        <f>'ERROR FINAL'!AS95</f>
        <v/>
      </c>
      <c r="H92" s="86">
        <f>IF('ERROR FINAL'!AT95="CONFORME","CONFORME","NO CONFORME")</f>
        <v/>
      </c>
      <c r="I92" s="87">
        <f>IF(D92=0,"Medición",IF(D92=1,"Daño físico",IF(D92=2,"Fuga",IF(D92=3,"Picado",IF(D92=4,"Desfasado",IF(D92=5,"Paralizado","¿?"))))))</f>
        <v/>
      </c>
    </row>
    <row r="93">
      <c r="A93" s="80">
        <f>'ERROR FINAL'!A96</f>
        <v/>
      </c>
      <c r="B93" s="81">
        <f>'ERROR FINAL'!D96</f>
        <v/>
      </c>
      <c r="C93" s="314">
        <f>'ERROR FINAL'!G96</f>
        <v/>
      </c>
      <c r="D93" s="83">
        <f>'ERROR FINAL'!I96</f>
        <v/>
      </c>
      <c r="E93" s="315">
        <f>'ERROR FINAL'!U96</f>
        <v/>
      </c>
      <c r="F93" s="316">
        <f>'ERROR FINAL'!AG96</f>
        <v/>
      </c>
      <c r="G93" s="316">
        <f>'ERROR FINAL'!AS96</f>
        <v/>
      </c>
      <c r="H93" s="86">
        <f>IF('ERROR FINAL'!AT96="CONFORME","CONFORME","NO CONFORME")</f>
        <v/>
      </c>
      <c r="I93" s="87">
        <f>IF(D93=0,"Medición",IF(D93=1,"Daño físico",IF(D93=2,"Fuga",IF(D93=3,"Picado",IF(D93=4,"Desfasado",IF(D93=5,"Paralizado","¿?"))))))</f>
        <v/>
      </c>
    </row>
    <row r="94">
      <c r="A94" s="80">
        <f>'ERROR FINAL'!A97</f>
        <v/>
      </c>
      <c r="B94" s="81">
        <f>'ERROR FINAL'!D97</f>
        <v/>
      </c>
      <c r="C94" s="314">
        <f>'ERROR FINAL'!G97</f>
        <v/>
      </c>
      <c r="D94" s="83">
        <f>'ERROR FINAL'!I97</f>
        <v/>
      </c>
      <c r="E94" s="315">
        <f>'ERROR FINAL'!U97</f>
        <v/>
      </c>
      <c r="F94" s="316">
        <f>'ERROR FINAL'!AG97</f>
        <v/>
      </c>
      <c r="G94" s="316">
        <f>'ERROR FINAL'!AS97</f>
        <v/>
      </c>
      <c r="H94" s="86">
        <f>IF('ERROR FINAL'!AT97="CONFORME","CONFORME","NO CONFORME")</f>
        <v/>
      </c>
      <c r="I94" s="87">
        <f>IF(D94=0,"Medición",IF(D94=1,"Daño físico",IF(D94=2,"Fuga",IF(D94=3,"Picado",IF(D94=4,"Desfasado",IF(D94=5,"Paralizado","¿?"))))))</f>
        <v/>
      </c>
    </row>
    <row r="95">
      <c r="A95" s="80">
        <f>'ERROR FINAL'!A98</f>
        <v/>
      </c>
      <c r="B95" s="81">
        <f>'ERROR FINAL'!D98</f>
        <v/>
      </c>
      <c r="C95" s="314">
        <f>'ERROR FINAL'!G98</f>
        <v/>
      </c>
      <c r="D95" s="83">
        <f>'ERROR FINAL'!I98</f>
        <v/>
      </c>
      <c r="E95" s="315">
        <f>'ERROR FINAL'!U98</f>
        <v/>
      </c>
      <c r="F95" s="316">
        <f>'ERROR FINAL'!AG98</f>
        <v/>
      </c>
      <c r="G95" s="316">
        <f>'ERROR FINAL'!AS98</f>
        <v/>
      </c>
      <c r="H95" s="86">
        <f>IF('ERROR FINAL'!AT98="CONFORME","CONFORME","NO CONFORME")</f>
        <v/>
      </c>
      <c r="I95" s="87">
        <f>IF(D95=0,"Medición",IF(D95=1,"Daño físico",IF(D95=2,"Fuga",IF(D95=3,"Picado",IF(D95=4,"Desfasado",IF(D95=5,"Paralizado","¿?"))))))</f>
        <v/>
      </c>
    </row>
    <row r="96">
      <c r="A96" s="80">
        <f>'ERROR FINAL'!A99</f>
        <v/>
      </c>
      <c r="B96" s="81">
        <f>'ERROR FINAL'!D99</f>
        <v/>
      </c>
      <c r="C96" s="314">
        <f>'ERROR FINAL'!G99</f>
        <v/>
      </c>
      <c r="D96" s="83">
        <f>'ERROR FINAL'!I99</f>
        <v/>
      </c>
      <c r="E96" s="315">
        <f>'ERROR FINAL'!U99</f>
        <v/>
      </c>
      <c r="F96" s="316">
        <f>'ERROR FINAL'!AG99</f>
        <v/>
      </c>
      <c r="G96" s="316">
        <f>'ERROR FINAL'!AS99</f>
        <v/>
      </c>
      <c r="H96" s="86">
        <f>IF('ERROR FINAL'!AT99="CONFORME","CONFORME","NO CONFORME")</f>
        <v/>
      </c>
      <c r="I96" s="87">
        <f>IF(D96=0,"Medición",IF(D96=1,"Daño físico",IF(D96=2,"Fuga",IF(D96=3,"Picado",IF(D96=4,"Desfasado",IF(D96=5,"Paralizado","¿?"))))))</f>
        <v/>
      </c>
    </row>
    <row r="97">
      <c r="A97" s="80">
        <f>'ERROR FINAL'!A100</f>
        <v/>
      </c>
      <c r="B97" s="81">
        <f>'ERROR FINAL'!D100</f>
        <v/>
      </c>
      <c r="C97" s="314">
        <f>'ERROR FINAL'!G100</f>
        <v/>
      </c>
      <c r="D97" s="83">
        <f>'ERROR FINAL'!I100</f>
        <v/>
      </c>
      <c r="E97" s="315">
        <f>'ERROR FINAL'!U100</f>
        <v/>
      </c>
      <c r="F97" s="316">
        <f>'ERROR FINAL'!AG100</f>
        <v/>
      </c>
      <c r="G97" s="316">
        <f>'ERROR FINAL'!AS100</f>
        <v/>
      </c>
      <c r="H97" s="86">
        <f>IF('ERROR FINAL'!AT100="CONFORME","CONFORME","NO CONFORME")</f>
        <v/>
      </c>
      <c r="I97" s="87">
        <f>IF(D97=0,"Medición",IF(D97=1,"Daño físico",IF(D97=2,"Fuga",IF(D97=3,"Picado",IF(D97=4,"Desfasado",IF(D97=5,"Paralizado","¿?"))))))</f>
        <v/>
      </c>
    </row>
    <row r="98">
      <c r="A98" s="80">
        <f>'ERROR FINAL'!A101</f>
        <v/>
      </c>
      <c r="B98" s="81">
        <f>'ERROR FINAL'!D101</f>
        <v/>
      </c>
      <c r="C98" s="314">
        <f>'ERROR FINAL'!G101</f>
        <v/>
      </c>
      <c r="D98" s="83">
        <f>'ERROR FINAL'!I101</f>
        <v/>
      </c>
      <c r="E98" s="315">
        <f>'ERROR FINAL'!U101</f>
        <v/>
      </c>
      <c r="F98" s="316">
        <f>'ERROR FINAL'!AG101</f>
        <v/>
      </c>
      <c r="G98" s="316">
        <f>'ERROR FINAL'!AS101</f>
        <v/>
      </c>
      <c r="H98" s="86">
        <f>IF('ERROR FINAL'!AT101="CONFORME","CONFORME","NO CONFORME")</f>
        <v/>
      </c>
      <c r="I98" s="87">
        <f>IF(D98=0,"Medición",IF(D98=1,"Daño físico",IF(D98=2,"Fuga",IF(D98=3,"Picado",IF(D98=4,"Desfasado",IF(D98=5,"Paralizado","¿?"))))))</f>
        <v/>
      </c>
    </row>
    <row r="99">
      <c r="A99" s="80">
        <f>'ERROR FINAL'!A102</f>
        <v/>
      </c>
      <c r="B99" s="81">
        <f>'ERROR FINAL'!D102</f>
        <v/>
      </c>
      <c r="C99" s="314">
        <f>'ERROR FINAL'!G102</f>
        <v/>
      </c>
      <c r="D99" s="83">
        <f>'ERROR FINAL'!I102</f>
        <v/>
      </c>
      <c r="E99" s="315">
        <f>'ERROR FINAL'!U102</f>
        <v/>
      </c>
      <c r="F99" s="316">
        <f>'ERROR FINAL'!AG102</f>
        <v/>
      </c>
      <c r="G99" s="316">
        <f>'ERROR FINAL'!AS102</f>
        <v/>
      </c>
      <c r="H99" s="86">
        <f>IF('ERROR FINAL'!AT102="CONFORME","CONFORME","NO CONFORME")</f>
        <v/>
      </c>
      <c r="I99" s="87">
        <f>IF(D99=0,"Medición",IF(D99=1,"Daño físico",IF(D99=2,"Fuga",IF(D99=3,"Picado",IF(D99=4,"Desfasado",IF(D99=5,"Paralizado","¿?"))))))</f>
        <v/>
      </c>
    </row>
    <row r="100">
      <c r="A100" s="80">
        <f>'ERROR FINAL'!A103</f>
        <v/>
      </c>
      <c r="B100" s="81">
        <f>'ERROR FINAL'!D103</f>
        <v/>
      </c>
      <c r="C100" s="314">
        <f>'ERROR FINAL'!G103</f>
        <v/>
      </c>
      <c r="D100" s="83">
        <f>'ERROR FINAL'!I103</f>
        <v/>
      </c>
      <c r="E100" s="315">
        <f>'ERROR FINAL'!U103</f>
        <v/>
      </c>
      <c r="F100" s="316">
        <f>'ERROR FINAL'!AG103</f>
        <v/>
      </c>
      <c r="G100" s="316">
        <f>'ERROR FINAL'!AS103</f>
        <v/>
      </c>
      <c r="H100" s="86">
        <f>IF('ERROR FINAL'!AT103="CONFORME","CONFORME","NO CONFORME")</f>
        <v/>
      </c>
      <c r="I100" s="87">
        <f>IF(D100=0,"Medición",IF(D100=1,"Daño físico",IF(D100=2,"Fuga",IF(D100=3,"Picado",IF(D100=4,"Desfasado",IF(D100=5,"Paralizado","¿?"))))))</f>
        <v/>
      </c>
    </row>
    <row r="101">
      <c r="A101" s="80">
        <f>'ERROR FINAL'!A104</f>
        <v/>
      </c>
      <c r="B101" s="81">
        <f>'ERROR FINAL'!D104</f>
        <v/>
      </c>
      <c r="C101" s="314">
        <f>'ERROR FINAL'!G104</f>
        <v/>
      </c>
      <c r="D101" s="83">
        <f>'ERROR FINAL'!I104</f>
        <v/>
      </c>
      <c r="E101" s="315">
        <f>'ERROR FINAL'!U104</f>
        <v/>
      </c>
      <c r="F101" s="316">
        <f>'ERROR FINAL'!AG104</f>
        <v/>
      </c>
      <c r="G101" s="316">
        <f>'ERROR FINAL'!AS104</f>
        <v/>
      </c>
      <c r="H101" s="86">
        <f>IF('ERROR FINAL'!AT104="CONFORME","CONFORME","NO CONFORME")</f>
        <v/>
      </c>
      <c r="I101" s="87">
        <f>IF(D101=0,"Medición",IF(D101=1,"Daño físico",IF(D101=2,"Fuga",IF(D101=3,"Picado",IF(D101=4,"Desfasado",IF(D101=5,"Paralizado","¿?"))))))</f>
        <v/>
      </c>
    </row>
    <row r="102">
      <c r="A102" s="80">
        <f>'ERROR FINAL'!A105</f>
        <v/>
      </c>
      <c r="B102" s="81">
        <f>'ERROR FINAL'!D105</f>
        <v/>
      </c>
      <c r="C102" s="314">
        <f>'ERROR FINAL'!G105</f>
        <v/>
      </c>
      <c r="D102" s="83">
        <f>'ERROR FINAL'!I105</f>
        <v/>
      </c>
      <c r="E102" s="315">
        <f>'ERROR FINAL'!U105</f>
        <v/>
      </c>
      <c r="F102" s="316">
        <f>'ERROR FINAL'!AG105</f>
        <v/>
      </c>
      <c r="G102" s="316">
        <f>'ERROR FINAL'!AS105</f>
        <v/>
      </c>
      <c r="H102" s="86">
        <f>IF('ERROR FINAL'!AT105="CONFORME","CONFORME","NO CONFORME")</f>
        <v/>
      </c>
      <c r="I102" s="87">
        <f>IF(D102=0,"Medición",IF(D102=1,"Daño físico",IF(D102=2,"Fuga",IF(D102=3,"Picado",IF(D102=4,"Desfasado",IF(D102=5,"Paralizado","¿?"))))))</f>
        <v/>
      </c>
    </row>
    <row r="103">
      <c r="A103" s="80">
        <f>'ERROR FINAL'!A106</f>
        <v/>
      </c>
      <c r="B103" s="81">
        <f>'ERROR FINAL'!D106</f>
        <v/>
      </c>
      <c r="C103" s="314">
        <f>'ERROR FINAL'!G106</f>
        <v/>
      </c>
      <c r="D103" s="83">
        <f>'ERROR FINAL'!I106</f>
        <v/>
      </c>
      <c r="E103" s="315">
        <f>'ERROR FINAL'!U106</f>
        <v/>
      </c>
      <c r="F103" s="316">
        <f>'ERROR FINAL'!AG106</f>
        <v/>
      </c>
      <c r="G103" s="316">
        <f>'ERROR FINAL'!AS106</f>
        <v/>
      </c>
      <c r="H103" s="86">
        <f>IF('ERROR FINAL'!AT106="CONFORME","CONFORME","NO CONFORME")</f>
        <v/>
      </c>
      <c r="I103" s="87">
        <f>IF(D103=0,"Medición",IF(D103=1,"Daño físico",IF(D103=2,"Fuga",IF(D103=3,"Picado",IF(D103=4,"Desfasado",IF(D103=5,"Paralizado","¿?"))))))</f>
        <v/>
      </c>
    </row>
    <row r="104">
      <c r="A104" s="80">
        <f>'ERROR FINAL'!A107</f>
        <v/>
      </c>
      <c r="B104" s="81">
        <f>'ERROR FINAL'!D107</f>
        <v/>
      </c>
      <c r="C104" s="314">
        <f>'ERROR FINAL'!G107</f>
        <v/>
      </c>
      <c r="D104" s="83">
        <f>'ERROR FINAL'!I107</f>
        <v/>
      </c>
      <c r="E104" s="315">
        <f>'ERROR FINAL'!U107</f>
        <v/>
      </c>
      <c r="F104" s="316">
        <f>'ERROR FINAL'!AG107</f>
        <v/>
      </c>
      <c r="G104" s="316">
        <f>'ERROR FINAL'!AS107</f>
        <v/>
      </c>
      <c r="H104" s="86">
        <f>IF('ERROR FINAL'!AT107="CONFORME","CONFORME","NO CONFORME")</f>
        <v/>
      </c>
      <c r="I104" s="87">
        <f>IF(D104=0,"Medición",IF(D104=1,"Daño físico",IF(D104=2,"Fuga",IF(D104=3,"Picado",IF(D104=4,"Desfasado",IF(D104=5,"Paralizado","¿?"))))))</f>
        <v/>
      </c>
    </row>
    <row r="105">
      <c r="A105" s="80">
        <f>'ERROR FINAL'!A108</f>
        <v/>
      </c>
      <c r="B105" s="81">
        <f>'ERROR FINAL'!D108</f>
        <v/>
      </c>
      <c r="C105" s="314">
        <f>'ERROR FINAL'!G108</f>
        <v/>
      </c>
      <c r="D105" s="83">
        <f>'ERROR FINAL'!I108</f>
        <v/>
      </c>
      <c r="E105" s="315">
        <f>'ERROR FINAL'!U108</f>
        <v/>
      </c>
      <c r="F105" s="316">
        <f>'ERROR FINAL'!AG108</f>
        <v/>
      </c>
      <c r="G105" s="316">
        <f>'ERROR FINAL'!AS108</f>
        <v/>
      </c>
      <c r="H105" s="86">
        <f>IF('ERROR FINAL'!AT108="CONFORME","CONFORME","NO CONFORME")</f>
        <v/>
      </c>
      <c r="I105" s="87">
        <f>IF(D105=0,"Medición",IF(D105=1,"Daño físico",IF(D105=2,"Fuga",IF(D105=3,"Picado",IF(D105=4,"Desfasado",IF(D105=5,"Paralizado","¿?"))))))</f>
        <v/>
      </c>
    </row>
    <row r="106">
      <c r="A106" s="80">
        <f>'ERROR FINAL'!A109</f>
        <v/>
      </c>
      <c r="B106" s="81">
        <f>'ERROR FINAL'!D109</f>
        <v/>
      </c>
      <c r="C106" s="314">
        <f>'ERROR FINAL'!G109</f>
        <v/>
      </c>
      <c r="D106" s="83">
        <f>'ERROR FINAL'!I109</f>
        <v/>
      </c>
      <c r="E106" s="315">
        <f>'ERROR FINAL'!U109</f>
        <v/>
      </c>
      <c r="F106" s="316">
        <f>'ERROR FINAL'!AG109</f>
        <v/>
      </c>
      <c r="G106" s="316">
        <f>'ERROR FINAL'!AS109</f>
        <v/>
      </c>
      <c r="H106" s="86">
        <f>IF('ERROR FINAL'!AT109="CONFORME","CONFORME","NO CONFORME")</f>
        <v/>
      </c>
      <c r="I106" s="87">
        <f>IF(D106=0,"Medición",IF(D106=1,"Daño físico",IF(D106=2,"Fuga",IF(D106=3,"Picado",IF(D106=4,"Desfasado",IF(D106=5,"Paralizado","¿?"))))))</f>
        <v/>
      </c>
    </row>
    <row r="107">
      <c r="A107" s="80">
        <f>'ERROR FINAL'!A110</f>
        <v/>
      </c>
      <c r="B107" s="81">
        <f>'ERROR FINAL'!D110</f>
        <v/>
      </c>
      <c r="C107" s="314">
        <f>'ERROR FINAL'!G110</f>
        <v/>
      </c>
      <c r="D107" s="83">
        <f>'ERROR FINAL'!I110</f>
        <v/>
      </c>
      <c r="E107" s="315">
        <f>'ERROR FINAL'!U110</f>
        <v/>
      </c>
      <c r="F107" s="316">
        <f>'ERROR FINAL'!AG110</f>
        <v/>
      </c>
      <c r="G107" s="316">
        <f>'ERROR FINAL'!AS110</f>
        <v/>
      </c>
      <c r="H107" s="86">
        <f>IF('ERROR FINAL'!AT110="CONFORME","CONFORME","NO CONFORME")</f>
        <v/>
      </c>
      <c r="I107" s="87">
        <f>IF(D107=0,"Medición",IF(D107=1,"Daño físico",IF(D107=2,"Fuga",IF(D107=3,"Picado",IF(D107=4,"Desfasado",IF(D107=5,"Paralizado","¿?"))))))</f>
        <v/>
      </c>
    </row>
    <row r="108">
      <c r="A108" s="80">
        <f>'ERROR FINAL'!A111</f>
        <v/>
      </c>
      <c r="B108" s="81">
        <f>'ERROR FINAL'!D111</f>
        <v/>
      </c>
      <c r="C108" s="314">
        <f>'ERROR FINAL'!G111</f>
        <v/>
      </c>
      <c r="D108" s="83">
        <f>'ERROR FINAL'!I111</f>
        <v/>
      </c>
      <c r="E108" s="315">
        <f>'ERROR FINAL'!U111</f>
        <v/>
      </c>
      <c r="F108" s="316">
        <f>'ERROR FINAL'!AG111</f>
        <v/>
      </c>
      <c r="G108" s="316">
        <f>'ERROR FINAL'!AS111</f>
        <v/>
      </c>
      <c r="H108" s="86">
        <f>IF('ERROR FINAL'!AT111="CONFORME","CONFORME","NO CONFORME")</f>
        <v/>
      </c>
      <c r="I108" s="87">
        <f>IF(D108=0,"Medición",IF(D108=1,"Daño físico",IF(D108=2,"Fuga",IF(D108=3,"Picado",IF(D108=4,"Desfasado",IF(D108=5,"Paralizado","¿?"))))))</f>
        <v/>
      </c>
    </row>
    <row r="109">
      <c r="A109" s="80">
        <f>'ERROR FINAL'!A112</f>
        <v/>
      </c>
      <c r="B109" s="81">
        <f>'ERROR FINAL'!D112</f>
        <v/>
      </c>
      <c r="C109" s="314">
        <f>'ERROR FINAL'!G112</f>
        <v/>
      </c>
      <c r="D109" s="83">
        <f>'ERROR FINAL'!I112</f>
        <v/>
      </c>
      <c r="E109" s="315">
        <f>'ERROR FINAL'!U112</f>
        <v/>
      </c>
      <c r="F109" s="316">
        <f>'ERROR FINAL'!AG112</f>
        <v/>
      </c>
      <c r="G109" s="316">
        <f>'ERROR FINAL'!AS112</f>
        <v/>
      </c>
      <c r="H109" s="86">
        <f>IF('ERROR FINAL'!AT112="CONFORME","CONFORME","NO CONFORME")</f>
        <v/>
      </c>
      <c r="I109" s="87">
        <f>IF(D109=0,"Medición",IF(D109=1,"Daño físico",IF(D109=2,"Fuga",IF(D109=3,"Picado",IF(D109=4,"Desfasado",IF(D109=5,"Paralizado","¿?"))))))</f>
        <v/>
      </c>
    </row>
    <row r="110">
      <c r="A110" s="80">
        <f>'ERROR FINAL'!A113</f>
        <v/>
      </c>
      <c r="B110" s="81">
        <f>'ERROR FINAL'!D113</f>
        <v/>
      </c>
      <c r="C110" s="314">
        <f>'ERROR FINAL'!G113</f>
        <v/>
      </c>
      <c r="D110" s="83">
        <f>'ERROR FINAL'!I113</f>
        <v/>
      </c>
      <c r="E110" s="315">
        <f>'ERROR FINAL'!U113</f>
        <v/>
      </c>
      <c r="F110" s="316">
        <f>'ERROR FINAL'!AG113</f>
        <v/>
      </c>
      <c r="G110" s="316">
        <f>'ERROR FINAL'!AS113</f>
        <v/>
      </c>
      <c r="H110" s="86">
        <f>IF('ERROR FINAL'!AT113="CONFORME","CONFORME","NO CONFORME")</f>
        <v/>
      </c>
      <c r="I110" s="87">
        <f>IF(D110=0,"Medición",IF(D110=1,"Daño físico",IF(D110=2,"Fuga",IF(D110=3,"Picado",IF(D110=4,"Desfasado",IF(D110=5,"Paralizado","¿?"))))))</f>
        <v/>
      </c>
    </row>
    <row r="111">
      <c r="A111" s="80">
        <f>'ERROR FINAL'!A114</f>
        <v/>
      </c>
      <c r="B111" s="81">
        <f>'ERROR FINAL'!D114</f>
        <v/>
      </c>
      <c r="C111" s="314">
        <f>'ERROR FINAL'!G114</f>
        <v/>
      </c>
      <c r="D111" s="83">
        <f>'ERROR FINAL'!I114</f>
        <v/>
      </c>
      <c r="E111" s="315">
        <f>'ERROR FINAL'!U114</f>
        <v/>
      </c>
      <c r="F111" s="316">
        <f>'ERROR FINAL'!AG114</f>
        <v/>
      </c>
      <c r="G111" s="316">
        <f>'ERROR FINAL'!AS114</f>
        <v/>
      </c>
      <c r="H111" s="86">
        <f>IF('ERROR FINAL'!AT114="CONFORME","CONFORME","NO CONFORME")</f>
        <v/>
      </c>
      <c r="I111" s="87">
        <f>IF(D111=0,"Medición",IF(D111=1,"Daño físico",IF(D111=2,"Fuga",IF(D111=3,"Picado",IF(D111=4,"Desfasado",IF(D111=5,"Paralizado","¿?"))))))</f>
        <v/>
      </c>
    </row>
    <row r="112">
      <c r="A112" s="80">
        <f>'ERROR FINAL'!A115</f>
        <v/>
      </c>
      <c r="B112" s="81">
        <f>'ERROR FINAL'!D115</f>
        <v/>
      </c>
      <c r="C112" s="314">
        <f>'ERROR FINAL'!G115</f>
        <v/>
      </c>
      <c r="D112" s="83">
        <f>'ERROR FINAL'!I115</f>
        <v/>
      </c>
      <c r="E112" s="315">
        <f>'ERROR FINAL'!U115</f>
        <v/>
      </c>
      <c r="F112" s="316">
        <f>'ERROR FINAL'!AG115</f>
        <v/>
      </c>
      <c r="G112" s="316">
        <f>'ERROR FINAL'!AS115</f>
        <v/>
      </c>
      <c r="H112" s="86">
        <f>IF('ERROR FINAL'!AT115="CONFORME","CONFORME","NO CONFORME")</f>
        <v/>
      </c>
      <c r="I112" s="87">
        <f>IF(D112=0,"Medición",IF(D112=1,"Daño físico",IF(D112=2,"Fuga",IF(D112=3,"Picado",IF(D112=4,"Desfasado",IF(D112=5,"Paralizado","¿?"))))))</f>
        <v/>
      </c>
    </row>
    <row r="113">
      <c r="A113" s="80">
        <f>'ERROR FINAL'!A116</f>
        <v/>
      </c>
      <c r="B113" s="81">
        <f>'ERROR FINAL'!D116</f>
        <v/>
      </c>
      <c r="C113" s="314">
        <f>'ERROR FINAL'!G116</f>
        <v/>
      </c>
      <c r="D113" s="83">
        <f>'ERROR FINAL'!I116</f>
        <v/>
      </c>
      <c r="E113" s="315">
        <f>'ERROR FINAL'!U116</f>
        <v/>
      </c>
      <c r="F113" s="316">
        <f>'ERROR FINAL'!AG116</f>
        <v/>
      </c>
      <c r="G113" s="316">
        <f>'ERROR FINAL'!AS116</f>
        <v/>
      </c>
      <c r="H113" s="86">
        <f>IF('ERROR FINAL'!AT116="CONFORME","CONFORME","NO CONFORME")</f>
        <v/>
      </c>
      <c r="I113" s="87">
        <f>IF(D113=0,"Medición",IF(D113=1,"Daño físico",IF(D113=2,"Fuga",IF(D113=3,"Picado",IF(D113=4,"Desfasado",IF(D113=5,"Paralizado","¿?"))))))</f>
        <v/>
      </c>
    </row>
    <row r="114">
      <c r="A114" s="80">
        <f>'ERROR FINAL'!A117</f>
        <v/>
      </c>
      <c r="B114" s="81">
        <f>'ERROR FINAL'!D117</f>
        <v/>
      </c>
      <c r="C114" s="314">
        <f>'ERROR FINAL'!G117</f>
        <v/>
      </c>
      <c r="D114" s="83">
        <f>'ERROR FINAL'!I117</f>
        <v/>
      </c>
      <c r="E114" s="315">
        <f>'ERROR FINAL'!U117</f>
        <v/>
      </c>
      <c r="F114" s="316">
        <f>'ERROR FINAL'!AG117</f>
        <v/>
      </c>
      <c r="G114" s="316">
        <f>'ERROR FINAL'!AS117</f>
        <v/>
      </c>
      <c r="H114" s="86">
        <f>IF('ERROR FINAL'!AT117="CONFORME","CONFORME","NO CONFORME")</f>
        <v/>
      </c>
      <c r="I114" s="87">
        <f>IF(D114=0,"Medición",IF(D114=1,"Daño físico",IF(D114=2,"Fuga",IF(D114=3,"Picado",IF(D114=4,"Desfasado",IF(D114=5,"Paralizado","¿?"))))))</f>
        <v/>
      </c>
    </row>
    <row r="115">
      <c r="A115" s="80">
        <f>'ERROR FINAL'!A118</f>
        <v/>
      </c>
      <c r="B115" s="81">
        <f>'ERROR FINAL'!D118</f>
        <v/>
      </c>
      <c r="C115" s="314">
        <f>'ERROR FINAL'!G118</f>
        <v/>
      </c>
      <c r="D115" s="83">
        <f>'ERROR FINAL'!I118</f>
        <v/>
      </c>
      <c r="E115" s="315">
        <f>'ERROR FINAL'!U118</f>
        <v/>
      </c>
      <c r="F115" s="316">
        <f>'ERROR FINAL'!AG118</f>
        <v/>
      </c>
      <c r="G115" s="316">
        <f>'ERROR FINAL'!AS118</f>
        <v/>
      </c>
      <c r="H115" s="86">
        <f>IF('ERROR FINAL'!AT118="CONFORME","CONFORME","NO CONFORME")</f>
        <v/>
      </c>
      <c r="I115" s="87">
        <f>IF(D115=0,"Medición",IF(D115=1,"Daño físico",IF(D115=2,"Fuga",IF(D115=3,"Picado",IF(D115=4,"Desfasado",IF(D115=5,"Paralizado","¿?"))))))</f>
        <v/>
      </c>
    </row>
    <row r="116">
      <c r="A116" s="80">
        <f>'ERROR FINAL'!A119</f>
        <v/>
      </c>
      <c r="B116" s="81">
        <f>'ERROR FINAL'!D119</f>
        <v/>
      </c>
      <c r="C116" s="314">
        <f>'ERROR FINAL'!G119</f>
        <v/>
      </c>
      <c r="D116" s="83">
        <f>'ERROR FINAL'!I119</f>
        <v/>
      </c>
      <c r="E116" s="315">
        <f>'ERROR FINAL'!U119</f>
        <v/>
      </c>
      <c r="F116" s="316">
        <f>'ERROR FINAL'!AG119</f>
        <v/>
      </c>
      <c r="G116" s="316">
        <f>'ERROR FINAL'!AS119</f>
        <v/>
      </c>
      <c r="H116" s="86">
        <f>IF('ERROR FINAL'!AT119="CONFORME","CONFORME","NO CONFORME")</f>
        <v/>
      </c>
      <c r="I116" s="87">
        <f>IF(D116=0,"Medición",IF(D116=1,"Daño físico",IF(D116=2,"Fuga",IF(D116=3,"Picado",IF(D116=4,"Desfasado",IF(D116=5,"Paralizado","¿?"))))))</f>
        <v/>
      </c>
    </row>
    <row r="117">
      <c r="A117" s="80">
        <f>'ERROR FINAL'!A120</f>
        <v/>
      </c>
      <c r="B117" s="81">
        <f>'ERROR FINAL'!D120</f>
        <v/>
      </c>
      <c r="C117" s="314">
        <f>'ERROR FINAL'!G120</f>
        <v/>
      </c>
      <c r="D117" s="83">
        <f>'ERROR FINAL'!I120</f>
        <v/>
      </c>
      <c r="E117" s="315">
        <f>'ERROR FINAL'!U120</f>
        <v/>
      </c>
      <c r="F117" s="316">
        <f>'ERROR FINAL'!AG120</f>
        <v/>
      </c>
      <c r="G117" s="316">
        <f>'ERROR FINAL'!AS120</f>
        <v/>
      </c>
      <c r="H117" s="86">
        <f>IF('ERROR FINAL'!AT120="CONFORME","CONFORME","NO CONFORME")</f>
        <v/>
      </c>
      <c r="I117" s="87">
        <f>IF(D117=0,"Medición",IF(D117=1,"Daño físico",IF(D117=2,"Fuga",IF(D117=3,"Picado",IF(D117=4,"Desfasado",IF(D117=5,"Paralizado","¿?"))))))</f>
        <v/>
      </c>
    </row>
    <row r="118">
      <c r="A118" s="80">
        <f>'ERROR FINAL'!A121</f>
        <v/>
      </c>
      <c r="B118" s="81">
        <f>'ERROR FINAL'!D121</f>
        <v/>
      </c>
      <c r="C118" s="314">
        <f>'ERROR FINAL'!G121</f>
        <v/>
      </c>
      <c r="D118" s="83">
        <f>'ERROR FINAL'!I121</f>
        <v/>
      </c>
      <c r="E118" s="315">
        <f>'ERROR FINAL'!U121</f>
        <v/>
      </c>
      <c r="F118" s="316">
        <f>'ERROR FINAL'!AG121</f>
        <v/>
      </c>
      <c r="G118" s="316">
        <f>'ERROR FINAL'!AS121</f>
        <v/>
      </c>
      <c r="H118" s="86">
        <f>IF('ERROR FINAL'!AT121="CONFORME","CONFORME","NO CONFORME")</f>
        <v/>
      </c>
      <c r="I118" s="87">
        <f>IF(D118=0,"Medición",IF(D118=1,"Daño físico",IF(D118=2,"Fuga",IF(D118=3,"Picado",IF(D118=4,"Desfasado",IF(D118=5,"Paralizado","¿?"))))))</f>
        <v/>
      </c>
    </row>
    <row r="119">
      <c r="A119" s="80">
        <f>'ERROR FINAL'!A122</f>
        <v/>
      </c>
      <c r="B119" s="81">
        <f>'ERROR FINAL'!D122</f>
        <v/>
      </c>
      <c r="C119" s="314">
        <f>'ERROR FINAL'!G122</f>
        <v/>
      </c>
      <c r="D119" s="83">
        <f>'ERROR FINAL'!I122</f>
        <v/>
      </c>
      <c r="E119" s="315">
        <f>'ERROR FINAL'!U122</f>
        <v/>
      </c>
      <c r="F119" s="316">
        <f>'ERROR FINAL'!AG122</f>
        <v/>
      </c>
      <c r="G119" s="316">
        <f>'ERROR FINAL'!AS122</f>
        <v/>
      </c>
      <c r="H119" s="86">
        <f>IF('ERROR FINAL'!AT122="CONFORME","CONFORME","NO CONFORME")</f>
        <v/>
      </c>
      <c r="I119" s="87">
        <f>IF(D119=0,"Medición",IF(D119=1,"Daño físico",IF(D119=2,"Fuga",IF(D119=3,"Picado",IF(D119=4,"Desfasado",IF(D119=5,"Paralizado","¿?"))))))</f>
        <v/>
      </c>
    </row>
    <row r="120">
      <c r="A120" s="80">
        <f>'ERROR FINAL'!A123</f>
        <v/>
      </c>
      <c r="B120" s="81">
        <f>'ERROR FINAL'!D123</f>
        <v/>
      </c>
      <c r="C120" s="314">
        <f>'ERROR FINAL'!G123</f>
        <v/>
      </c>
      <c r="D120" s="83">
        <f>'ERROR FINAL'!I123</f>
        <v/>
      </c>
      <c r="E120" s="315">
        <f>'ERROR FINAL'!U123</f>
        <v/>
      </c>
      <c r="F120" s="316">
        <f>'ERROR FINAL'!AG123</f>
        <v/>
      </c>
      <c r="G120" s="316">
        <f>'ERROR FINAL'!AS123</f>
        <v/>
      </c>
      <c r="H120" s="86">
        <f>IF('ERROR FINAL'!AT123="CONFORME","CONFORME","NO CONFORME")</f>
        <v/>
      </c>
      <c r="I120" s="87">
        <f>IF(D120=0,"Medición",IF(D120=1,"Daño físico",IF(D120=2,"Fuga",IF(D120=3,"Picado",IF(D120=4,"Desfasado",IF(D120=5,"Paralizado","¿?"))))))</f>
        <v/>
      </c>
    </row>
    <row r="121">
      <c r="A121" s="80">
        <f>'ERROR FINAL'!A124</f>
        <v/>
      </c>
      <c r="B121" s="81">
        <f>'ERROR FINAL'!D124</f>
        <v/>
      </c>
      <c r="C121" s="314">
        <f>'ERROR FINAL'!G124</f>
        <v/>
      </c>
      <c r="D121" s="83">
        <f>'ERROR FINAL'!I124</f>
        <v/>
      </c>
      <c r="E121" s="315">
        <f>'ERROR FINAL'!U124</f>
        <v/>
      </c>
      <c r="F121" s="316">
        <f>'ERROR FINAL'!AG124</f>
        <v/>
      </c>
      <c r="G121" s="316">
        <f>'ERROR FINAL'!AS124</f>
        <v/>
      </c>
      <c r="H121" s="86">
        <f>IF('ERROR FINAL'!AT124="CONFORME","CONFORME","NO CONFORME")</f>
        <v/>
      </c>
      <c r="I121" s="87">
        <f>IF(D121=0,"Medición",IF(D121=1,"Daño físico",IF(D121=2,"Fuga",IF(D121=3,"Picado",IF(D121=4,"Desfasado",IF(D121=5,"Paralizado","¿?"))))))</f>
        <v/>
      </c>
    </row>
    <row r="122">
      <c r="A122" s="80">
        <f>'ERROR FINAL'!A125</f>
        <v/>
      </c>
      <c r="B122" s="81">
        <f>'ERROR FINAL'!D125</f>
        <v/>
      </c>
      <c r="C122" s="314">
        <f>'ERROR FINAL'!G125</f>
        <v/>
      </c>
      <c r="D122" s="83">
        <f>'ERROR FINAL'!I125</f>
        <v/>
      </c>
      <c r="E122" s="315">
        <f>'ERROR FINAL'!U125</f>
        <v/>
      </c>
      <c r="F122" s="316">
        <f>'ERROR FINAL'!AG125</f>
        <v/>
      </c>
      <c r="G122" s="316">
        <f>'ERROR FINAL'!AS125</f>
        <v/>
      </c>
      <c r="H122" s="86">
        <f>IF('ERROR FINAL'!AT125="CONFORME","CONFORME","NO CONFORME")</f>
        <v/>
      </c>
      <c r="I122" s="87">
        <f>IF(D122=0,"Medición",IF(D122=1,"Daño físico",IF(D122=2,"Fuga",IF(D122=3,"Picado",IF(D122=4,"Desfasado",IF(D122=5,"Paralizado","¿?"))))))</f>
        <v/>
      </c>
    </row>
    <row r="123">
      <c r="A123" s="80">
        <f>'ERROR FINAL'!A126</f>
        <v/>
      </c>
      <c r="B123" s="81">
        <f>'ERROR FINAL'!D126</f>
        <v/>
      </c>
      <c r="C123" s="314">
        <f>'ERROR FINAL'!G126</f>
        <v/>
      </c>
      <c r="D123" s="83">
        <f>'ERROR FINAL'!I126</f>
        <v/>
      </c>
      <c r="E123" s="315">
        <f>'ERROR FINAL'!U126</f>
        <v/>
      </c>
      <c r="F123" s="316">
        <f>'ERROR FINAL'!AG126</f>
        <v/>
      </c>
      <c r="G123" s="316">
        <f>'ERROR FINAL'!AS126</f>
        <v/>
      </c>
      <c r="H123" s="86">
        <f>IF('ERROR FINAL'!AT126="CONFORME","CONFORME","NO CONFORME")</f>
        <v/>
      </c>
      <c r="I123" s="87">
        <f>IF(D123=0,"Medición",IF(D123=1,"Daño físico",IF(D123=2,"Fuga",IF(D123=3,"Picado",IF(D123=4,"Desfasado",IF(D123=5,"Paralizado","¿?"))))))</f>
        <v/>
      </c>
    </row>
    <row r="124">
      <c r="A124" s="80">
        <f>'ERROR FINAL'!A127</f>
        <v/>
      </c>
      <c r="B124" s="81">
        <f>'ERROR FINAL'!D127</f>
        <v/>
      </c>
      <c r="C124" s="314">
        <f>'ERROR FINAL'!G127</f>
        <v/>
      </c>
      <c r="D124" s="83">
        <f>'ERROR FINAL'!I127</f>
        <v/>
      </c>
      <c r="E124" s="315">
        <f>'ERROR FINAL'!U127</f>
        <v/>
      </c>
      <c r="F124" s="316">
        <f>'ERROR FINAL'!AG127</f>
        <v/>
      </c>
      <c r="G124" s="316">
        <f>'ERROR FINAL'!AS127</f>
        <v/>
      </c>
      <c r="H124" s="86">
        <f>IF('ERROR FINAL'!AT127="CONFORME","CONFORME","NO CONFORME")</f>
        <v/>
      </c>
      <c r="I124" s="87">
        <f>IF(D124=0,"Medición",IF(D124=1,"Daño físico",IF(D124=2,"Fuga",IF(D124=3,"Picado",IF(D124=4,"Desfasado",IF(D124=5,"Paralizado","¿?"))))))</f>
        <v/>
      </c>
    </row>
    <row r="125">
      <c r="A125" s="80">
        <f>'ERROR FINAL'!A128</f>
        <v/>
      </c>
      <c r="B125" s="81">
        <f>'ERROR FINAL'!D128</f>
        <v/>
      </c>
      <c r="C125" s="314">
        <f>'ERROR FINAL'!G128</f>
        <v/>
      </c>
      <c r="D125" s="83">
        <f>'ERROR FINAL'!I128</f>
        <v/>
      </c>
      <c r="E125" s="315">
        <f>'ERROR FINAL'!U128</f>
        <v/>
      </c>
      <c r="F125" s="316">
        <f>'ERROR FINAL'!AG128</f>
        <v/>
      </c>
      <c r="G125" s="316">
        <f>'ERROR FINAL'!AS128</f>
        <v/>
      </c>
      <c r="H125" s="86">
        <f>IF('ERROR FINAL'!AT128="CONFORME","CONFORME","NO CONFORME")</f>
        <v/>
      </c>
      <c r="I125" s="87">
        <f>IF(D125=0,"Medición",IF(D125=1,"Daño físico",IF(D125=2,"Fuga",IF(D125=3,"Picado",IF(D125=4,"Desfasado",IF(D125=5,"Paralizado","¿?"))))))</f>
        <v/>
      </c>
    </row>
    <row r="126">
      <c r="A126" s="80">
        <f>'ERROR FINAL'!A129</f>
        <v/>
      </c>
      <c r="B126" s="81">
        <f>'ERROR FINAL'!D129</f>
        <v/>
      </c>
      <c r="C126" s="314">
        <f>'ERROR FINAL'!G129</f>
        <v/>
      </c>
      <c r="D126" s="83">
        <f>'ERROR FINAL'!I129</f>
        <v/>
      </c>
      <c r="E126" s="315">
        <f>'ERROR FINAL'!U129</f>
        <v/>
      </c>
      <c r="F126" s="316">
        <f>'ERROR FINAL'!AG129</f>
        <v/>
      </c>
      <c r="G126" s="316">
        <f>'ERROR FINAL'!AS129</f>
        <v/>
      </c>
      <c r="H126" s="86">
        <f>IF('ERROR FINAL'!AT129="CONFORME","CONFORME","NO CONFORME")</f>
        <v/>
      </c>
      <c r="I126" s="87">
        <f>IF(D126=0,"Medición",IF(D126=1,"Daño físico",IF(D126=2,"Fuga",IF(D126=3,"Picado",IF(D126=4,"Desfasado",IF(D126=5,"Paralizado","¿?"))))))</f>
        <v/>
      </c>
    </row>
    <row r="127">
      <c r="A127" s="80">
        <f>'ERROR FINAL'!A130</f>
        <v/>
      </c>
      <c r="B127" s="81">
        <f>'ERROR FINAL'!D130</f>
        <v/>
      </c>
      <c r="C127" s="314">
        <f>'ERROR FINAL'!G130</f>
        <v/>
      </c>
      <c r="D127" s="83">
        <f>'ERROR FINAL'!I130</f>
        <v/>
      </c>
      <c r="E127" s="315">
        <f>'ERROR FINAL'!U130</f>
        <v/>
      </c>
      <c r="F127" s="316">
        <f>'ERROR FINAL'!AG130</f>
        <v/>
      </c>
      <c r="G127" s="316">
        <f>'ERROR FINAL'!AS130</f>
        <v/>
      </c>
      <c r="H127" s="86">
        <f>IF('ERROR FINAL'!AT130="CONFORME","CONFORME","NO CONFORME")</f>
        <v/>
      </c>
      <c r="I127" s="87">
        <f>IF(D127=0,"Medición",IF(D127=1,"Daño físico",IF(D127=2,"Fuga",IF(D127=3,"Picado",IF(D127=4,"Desfasado",IF(D127=5,"Paralizado","¿?"))))))</f>
        <v/>
      </c>
    </row>
    <row r="128">
      <c r="A128" s="80">
        <f>'ERROR FINAL'!A131</f>
        <v/>
      </c>
      <c r="B128" s="81">
        <f>'ERROR FINAL'!D131</f>
        <v/>
      </c>
      <c r="C128" s="314">
        <f>'ERROR FINAL'!G131</f>
        <v/>
      </c>
      <c r="D128" s="83">
        <f>'ERROR FINAL'!I131</f>
        <v/>
      </c>
      <c r="E128" s="315">
        <f>'ERROR FINAL'!U131</f>
        <v/>
      </c>
      <c r="F128" s="316">
        <f>'ERROR FINAL'!AG131</f>
        <v/>
      </c>
      <c r="G128" s="316">
        <f>'ERROR FINAL'!AS131</f>
        <v/>
      </c>
      <c r="H128" s="86">
        <f>IF('ERROR FINAL'!AT131="CONFORME","CONFORME","NO CONFORME")</f>
        <v/>
      </c>
      <c r="I128" s="87">
        <f>IF(D128=0,"Medición",IF(D128=1,"Daño físico",IF(D128=2,"Fuga",IF(D128=3,"Picado",IF(D128=4,"Desfasado",IF(D128=5,"Paralizado","¿?"))))))</f>
        <v/>
      </c>
    </row>
    <row r="129">
      <c r="A129" s="80">
        <f>'ERROR FINAL'!A132</f>
        <v/>
      </c>
      <c r="B129" s="81">
        <f>'ERROR FINAL'!D132</f>
        <v/>
      </c>
      <c r="C129" s="314">
        <f>'ERROR FINAL'!G132</f>
        <v/>
      </c>
      <c r="D129" s="83">
        <f>'ERROR FINAL'!I132</f>
        <v/>
      </c>
      <c r="E129" s="315">
        <f>'ERROR FINAL'!U132</f>
        <v/>
      </c>
      <c r="F129" s="316">
        <f>'ERROR FINAL'!AG132</f>
        <v/>
      </c>
      <c r="G129" s="316">
        <f>'ERROR FINAL'!AS132</f>
        <v/>
      </c>
      <c r="H129" s="86">
        <f>IF('ERROR FINAL'!AT132="CONFORME","CONFORME","NO CONFORME")</f>
        <v/>
      </c>
      <c r="I129" s="87">
        <f>IF(D129=0,"Medición",IF(D129=1,"Daño físico",IF(D129=2,"Fuga",IF(D129=3,"Picado",IF(D129=4,"Desfasado",IF(D129=5,"Paralizado","¿?"))))))</f>
        <v/>
      </c>
    </row>
    <row r="130">
      <c r="A130" s="80">
        <f>'ERROR FINAL'!A133</f>
        <v/>
      </c>
      <c r="B130" s="81">
        <f>'ERROR FINAL'!D133</f>
        <v/>
      </c>
      <c r="C130" s="314">
        <f>'ERROR FINAL'!G133</f>
        <v/>
      </c>
      <c r="D130" s="83">
        <f>'ERROR FINAL'!I133</f>
        <v/>
      </c>
      <c r="E130" s="315">
        <f>'ERROR FINAL'!U133</f>
        <v/>
      </c>
      <c r="F130" s="316">
        <f>'ERROR FINAL'!AG133</f>
        <v/>
      </c>
      <c r="G130" s="316">
        <f>'ERROR FINAL'!AS133</f>
        <v/>
      </c>
      <c r="H130" s="86">
        <f>IF('ERROR FINAL'!AT133="CONFORME","CONFORME","NO CONFORME")</f>
        <v/>
      </c>
      <c r="I130" s="87">
        <f>IF(D130=0,"Medición",IF(D130=1,"Daño físico",IF(D130=2,"Fuga",IF(D130=3,"Picado",IF(D130=4,"Desfasado",IF(D130=5,"Paralizado","¿?"))))))</f>
        <v/>
      </c>
    </row>
    <row r="131">
      <c r="A131" s="80">
        <f>'ERROR FINAL'!A134</f>
        <v/>
      </c>
      <c r="B131" s="81">
        <f>'ERROR FINAL'!D134</f>
        <v/>
      </c>
      <c r="C131" s="314">
        <f>'ERROR FINAL'!G134</f>
        <v/>
      </c>
      <c r="D131" s="83">
        <f>'ERROR FINAL'!I134</f>
        <v/>
      </c>
      <c r="E131" s="315">
        <f>'ERROR FINAL'!U134</f>
        <v/>
      </c>
      <c r="F131" s="316">
        <f>'ERROR FINAL'!AG134</f>
        <v/>
      </c>
      <c r="G131" s="316">
        <f>'ERROR FINAL'!AS134</f>
        <v/>
      </c>
      <c r="H131" s="86">
        <f>IF('ERROR FINAL'!AT134="CONFORME","CONFORME","NO CONFORME")</f>
        <v/>
      </c>
      <c r="I131" s="87">
        <f>IF(D131=0,"Medición",IF(D131=1,"Daño físico",IF(D131=2,"Fuga",IF(D131=3,"Picado",IF(D131=4,"Desfasado",IF(D131=5,"Paralizado","¿?"))))))</f>
        <v/>
      </c>
    </row>
    <row r="132">
      <c r="A132" s="80">
        <f>'ERROR FINAL'!A135</f>
        <v/>
      </c>
      <c r="B132" s="81">
        <f>'ERROR FINAL'!D135</f>
        <v/>
      </c>
      <c r="C132" s="314">
        <f>'ERROR FINAL'!G135</f>
        <v/>
      </c>
      <c r="D132" s="83">
        <f>'ERROR FINAL'!I135</f>
        <v/>
      </c>
      <c r="E132" s="315">
        <f>'ERROR FINAL'!U135</f>
        <v/>
      </c>
      <c r="F132" s="316">
        <f>'ERROR FINAL'!AG135</f>
        <v/>
      </c>
      <c r="G132" s="316">
        <f>'ERROR FINAL'!AS135</f>
        <v/>
      </c>
      <c r="H132" s="86">
        <f>IF('ERROR FINAL'!AT135="CONFORME","CONFORME","NO CONFORME")</f>
        <v/>
      </c>
      <c r="I132" s="87">
        <f>IF(D132=0,"Medición",IF(D132=1,"Daño físico",IF(D132=2,"Fuga",IF(D132=3,"Picado",IF(D132=4,"Desfasado",IF(D132=5,"Paralizado","¿?"))))))</f>
        <v/>
      </c>
    </row>
    <row r="133">
      <c r="A133" s="80">
        <f>'ERROR FINAL'!A136</f>
        <v/>
      </c>
      <c r="B133" s="81">
        <f>'ERROR FINAL'!D136</f>
        <v/>
      </c>
      <c r="C133" s="314">
        <f>'ERROR FINAL'!G136</f>
        <v/>
      </c>
      <c r="D133" s="83">
        <f>'ERROR FINAL'!I136</f>
        <v/>
      </c>
      <c r="E133" s="315">
        <f>'ERROR FINAL'!U136</f>
        <v/>
      </c>
      <c r="F133" s="316">
        <f>'ERROR FINAL'!AG136</f>
        <v/>
      </c>
      <c r="G133" s="316">
        <f>'ERROR FINAL'!AS136</f>
        <v/>
      </c>
      <c r="H133" s="86">
        <f>IF('ERROR FINAL'!AT136="CONFORME","CONFORME","NO CONFORME")</f>
        <v/>
      </c>
      <c r="I133" s="87">
        <f>IF(D133=0,"Medición",IF(D133=1,"Daño físico",IF(D133=2,"Fuga",IF(D133=3,"Picado",IF(D133=4,"Desfasado",IF(D133=5,"Paralizado","¿?"))))))</f>
        <v/>
      </c>
    </row>
    <row r="134">
      <c r="A134" s="80">
        <f>'ERROR FINAL'!A137</f>
        <v/>
      </c>
      <c r="B134" s="81">
        <f>'ERROR FINAL'!D137</f>
        <v/>
      </c>
      <c r="C134" s="314">
        <f>'ERROR FINAL'!G137</f>
        <v/>
      </c>
      <c r="D134" s="83">
        <f>'ERROR FINAL'!I137</f>
        <v/>
      </c>
      <c r="E134" s="315">
        <f>'ERROR FINAL'!U137</f>
        <v/>
      </c>
      <c r="F134" s="316">
        <f>'ERROR FINAL'!AG137</f>
        <v/>
      </c>
      <c r="G134" s="316">
        <f>'ERROR FINAL'!AS137</f>
        <v/>
      </c>
      <c r="H134" s="86">
        <f>IF('ERROR FINAL'!AT137="CONFORME","CONFORME","NO CONFORME")</f>
        <v/>
      </c>
      <c r="I134" s="87">
        <f>IF(D134=0,"Medición",IF(D134=1,"Daño físico",IF(D134=2,"Fuga",IF(D134=3,"Picado",IF(D134=4,"Desfasado",IF(D134=5,"Paralizado","¿?"))))))</f>
        <v/>
      </c>
    </row>
    <row r="135">
      <c r="A135" s="80">
        <f>'ERROR FINAL'!A138</f>
        <v/>
      </c>
      <c r="B135" s="81">
        <f>'ERROR FINAL'!D138</f>
        <v/>
      </c>
      <c r="C135" s="314">
        <f>'ERROR FINAL'!G138</f>
        <v/>
      </c>
      <c r="D135" s="83">
        <f>'ERROR FINAL'!I138</f>
        <v/>
      </c>
      <c r="E135" s="315">
        <f>'ERROR FINAL'!U138</f>
        <v/>
      </c>
      <c r="F135" s="316">
        <f>'ERROR FINAL'!AG138</f>
        <v/>
      </c>
      <c r="G135" s="316">
        <f>'ERROR FINAL'!AS138</f>
        <v/>
      </c>
      <c r="H135" s="86">
        <f>IF('ERROR FINAL'!AT138="CONFORME","CONFORME","NO CONFORME")</f>
        <v/>
      </c>
      <c r="I135" s="87">
        <f>IF(D135=0,"Medición",IF(D135=1,"Daño físico",IF(D135=2,"Fuga",IF(D135=3,"Picado",IF(D135=4,"Desfasado",IF(D135=5,"Paralizado","¿?"))))))</f>
        <v/>
      </c>
    </row>
    <row r="136">
      <c r="A136" s="80">
        <f>'ERROR FINAL'!A139</f>
        <v/>
      </c>
      <c r="B136" s="81">
        <f>'ERROR FINAL'!D139</f>
        <v/>
      </c>
      <c r="C136" s="314">
        <f>'ERROR FINAL'!G139</f>
        <v/>
      </c>
      <c r="D136" s="83">
        <f>'ERROR FINAL'!I139</f>
        <v/>
      </c>
      <c r="E136" s="315">
        <f>'ERROR FINAL'!U139</f>
        <v/>
      </c>
      <c r="F136" s="316">
        <f>'ERROR FINAL'!AG139</f>
        <v/>
      </c>
      <c r="G136" s="316">
        <f>'ERROR FINAL'!AS139</f>
        <v/>
      </c>
      <c r="H136" s="86">
        <f>IF('ERROR FINAL'!AT139="CONFORME","CONFORME","NO CONFORME")</f>
        <v/>
      </c>
      <c r="I136" s="87">
        <f>IF(D136=0,"Medición",IF(D136=1,"Daño físico",IF(D136=2,"Fuga",IF(D136=3,"Picado",IF(D136=4,"Desfasado",IF(D136=5,"Paralizado","¿?"))))))</f>
        <v/>
      </c>
    </row>
    <row r="137">
      <c r="A137" s="80">
        <f>'ERROR FINAL'!A140</f>
        <v/>
      </c>
      <c r="B137" s="81">
        <f>'ERROR FINAL'!D140</f>
        <v/>
      </c>
      <c r="C137" s="314">
        <f>'ERROR FINAL'!G140</f>
        <v/>
      </c>
      <c r="D137" s="83">
        <f>'ERROR FINAL'!I140</f>
        <v/>
      </c>
      <c r="E137" s="315">
        <f>'ERROR FINAL'!U140</f>
        <v/>
      </c>
      <c r="F137" s="316">
        <f>'ERROR FINAL'!AG140</f>
        <v/>
      </c>
      <c r="G137" s="316">
        <f>'ERROR FINAL'!AS140</f>
        <v/>
      </c>
      <c r="H137" s="86">
        <f>IF('ERROR FINAL'!AT140="CONFORME","CONFORME","NO CONFORME")</f>
        <v/>
      </c>
      <c r="I137" s="87">
        <f>IF(D137=0,"Medición",IF(D137=1,"Daño físico",IF(D137=2,"Fuga",IF(D137=3,"Picado",IF(D137=4,"Desfasado",IF(D137=5,"Paralizado","¿?"))))))</f>
        <v/>
      </c>
    </row>
    <row r="138">
      <c r="A138" s="80">
        <f>'ERROR FINAL'!A141</f>
        <v/>
      </c>
      <c r="B138" s="81">
        <f>'ERROR FINAL'!D141</f>
        <v/>
      </c>
      <c r="C138" s="314">
        <f>'ERROR FINAL'!G141</f>
        <v/>
      </c>
      <c r="D138" s="83">
        <f>'ERROR FINAL'!I141</f>
        <v/>
      </c>
      <c r="E138" s="315">
        <f>'ERROR FINAL'!U141</f>
        <v/>
      </c>
      <c r="F138" s="316">
        <f>'ERROR FINAL'!AG141</f>
        <v/>
      </c>
      <c r="G138" s="316">
        <f>'ERROR FINAL'!AS141</f>
        <v/>
      </c>
      <c r="H138" s="86">
        <f>IF('ERROR FINAL'!AT141="CONFORME","CONFORME","NO CONFORME")</f>
        <v/>
      </c>
      <c r="I138" s="87">
        <f>IF(D138=0,"Medición",IF(D138=1,"Daño físico",IF(D138=2,"Fuga",IF(D138=3,"Picado",IF(D138=4,"Desfasado",IF(D138=5,"Paralizado","¿?"))))))</f>
        <v/>
      </c>
    </row>
    <row r="139">
      <c r="A139" s="80">
        <f>'ERROR FINAL'!A142</f>
        <v/>
      </c>
      <c r="B139" s="81">
        <f>'ERROR FINAL'!D142</f>
        <v/>
      </c>
      <c r="C139" s="314">
        <f>'ERROR FINAL'!G142</f>
        <v/>
      </c>
      <c r="D139" s="83">
        <f>'ERROR FINAL'!I142</f>
        <v/>
      </c>
      <c r="E139" s="315">
        <f>'ERROR FINAL'!U142</f>
        <v/>
      </c>
      <c r="F139" s="316">
        <f>'ERROR FINAL'!AG142</f>
        <v/>
      </c>
      <c r="G139" s="316">
        <f>'ERROR FINAL'!AS142</f>
        <v/>
      </c>
      <c r="H139" s="86">
        <f>IF('ERROR FINAL'!AT142="CONFORME","CONFORME","NO CONFORME")</f>
        <v/>
      </c>
      <c r="I139" s="87">
        <f>IF(D139=0,"Medición",IF(D139=1,"Daño físico",IF(D139=2,"Fuga",IF(D139=3,"Picado",IF(D139=4,"Desfasado",IF(D139=5,"Paralizado","¿?"))))))</f>
        <v/>
      </c>
    </row>
    <row r="140">
      <c r="A140" s="80">
        <f>'ERROR FINAL'!A143</f>
        <v/>
      </c>
      <c r="B140" s="81">
        <f>'ERROR FINAL'!D143</f>
        <v/>
      </c>
      <c r="C140" s="314">
        <f>'ERROR FINAL'!G143</f>
        <v/>
      </c>
      <c r="D140" s="83">
        <f>'ERROR FINAL'!I143</f>
        <v/>
      </c>
      <c r="E140" s="315">
        <f>'ERROR FINAL'!U143</f>
        <v/>
      </c>
      <c r="F140" s="316">
        <f>'ERROR FINAL'!AG143</f>
        <v/>
      </c>
      <c r="G140" s="316">
        <f>'ERROR FINAL'!AS143</f>
        <v/>
      </c>
      <c r="H140" s="86">
        <f>IF('ERROR FINAL'!AT143="CONFORME","CONFORME","NO CONFORME")</f>
        <v/>
      </c>
      <c r="I140" s="87">
        <f>IF(D140=0,"Medición",IF(D140=1,"Daño físico",IF(D140=2,"Fuga",IF(D140=3,"Picado",IF(D140=4,"Desfasado",IF(D140=5,"Paralizado","¿?"))))))</f>
        <v/>
      </c>
    </row>
    <row r="141">
      <c r="A141" s="80">
        <f>'ERROR FINAL'!A144</f>
        <v/>
      </c>
      <c r="B141" s="81">
        <f>'ERROR FINAL'!D144</f>
        <v/>
      </c>
      <c r="C141" s="314">
        <f>'ERROR FINAL'!G144</f>
        <v/>
      </c>
      <c r="D141" s="83">
        <f>'ERROR FINAL'!I144</f>
        <v/>
      </c>
      <c r="E141" s="315">
        <f>'ERROR FINAL'!U144</f>
        <v/>
      </c>
      <c r="F141" s="316">
        <f>'ERROR FINAL'!AG144</f>
        <v/>
      </c>
      <c r="G141" s="316">
        <f>'ERROR FINAL'!AS144</f>
        <v/>
      </c>
      <c r="H141" s="86">
        <f>IF('ERROR FINAL'!AT144="CONFORME","CONFORME","NO CONFORME")</f>
        <v/>
      </c>
      <c r="I141" s="87">
        <f>IF(D141=0,"Medición",IF(D141=1,"Daño físico",IF(D141=2,"Fuga",IF(D141=3,"Picado",IF(D141=4,"Desfasado",IF(D141=5,"Paralizado","¿?"))))))</f>
        <v/>
      </c>
    </row>
    <row r="142">
      <c r="A142" s="80">
        <f>'ERROR FINAL'!A145</f>
        <v/>
      </c>
      <c r="B142" s="81">
        <f>'ERROR FINAL'!D145</f>
        <v/>
      </c>
      <c r="C142" s="314">
        <f>'ERROR FINAL'!G145</f>
        <v/>
      </c>
      <c r="D142" s="83">
        <f>'ERROR FINAL'!I145</f>
        <v/>
      </c>
      <c r="E142" s="315">
        <f>'ERROR FINAL'!U145</f>
        <v/>
      </c>
      <c r="F142" s="316">
        <f>'ERROR FINAL'!AG145</f>
        <v/>
      </c>
      <c r="G142" s="316">
        <f>'ERROR FINAL'!AS145</f>
        <v/>
      </c>
      <c r="H142" s="86">
        <f>IF('ERROR FINAL'!AT145="CONFORME","CONFORME","NO CONFORME")</f>
        <v/>
      </c>
      <c r="I142" s="87">
        <f>IF(D142=0,"Medición",IF(D142=1,"Daño físico",IF(D142=2,"Fuga",IF(D142=3,"Picado",IF(D142=4,"Desfasado",IF(D142=5,"Paralizado","¿?"))))))</f>
        <v/>
      </c>
    </row>
    <row r="143">
      <c r="A143" s="80">
        <f>'ERROR FINAL'!A146</f>
        <v/>
      </c>
      <c r="B143" s="81">
        <f>'ERROR FINAL'!D146</f>
        <v/>
      </c>
      <c r="C143" s="314">
        <f>'ERROR FINAL'!G146</f>
        <v/>
      </c>
      <c r="D143" s="83">
        <f>'ERROR FINAL'!I146</f>
        <v/>
      </c>
      <c r="E143" s="315">
        <f>'ERROR FINAL'!U146</f>
        <v/>
      </c>
      <c r="F143" s="316">
        <f>'ERROR FINAL'!AG146</f>
        <v/>
      </c>
      <c r="G143" s="316">
        <f>'ERROR FINAL'!AS146</f>
        <v/>
      </c>
      <c r="H143" s="86">
        <f>IF('ERROR FINAL'!AT146="CONFORME","CONFORME","NO CONFORME")</f>
        <v/>
      </c>
      <c r="I143" s="87">
        <f>IF(D143=0,"Medición",IF(D143=1,"Daño físico",IF(D143=2,"Fuga",IF(D143=3,"Picado",IF(D143=4,"Desfasado",IF(D143=5,"Paralizado","¿?"))))))</f>
        <v/>
      </c>
    </row>
    <row r="144">
      <c r="A144" s="80">
        <f>'ERROR FINAL'!A147</f>
        <v/>
      </c>
      <c r="B144" s="81">
        <f>'ERROR FINAL'!D147</f>
        <v/>
      </c>
      <c r="C144" s="314">
        <f>'ERROR FINAL'!G147</f>
        <v/>
      </c>
      <c r="D144" s="83">
        <f>'ERROR FINAL'!I147</f>
        <v/>
      </c>
      <c r="E144" s="315">
        <f>'ERROR FINAL'!U147</f>
        <v/>
      </c>
      <c r="F144" s="316">
        <f>'ERROR FINAL'!AG147</f>
        <v/>
      </c>
      <c r="G144" s="316">
        <f>'ERROR FINAL'!AS147</f>
        <v/>
      </c>
      <c r="H144" s="86">
        <f>IF('ERROR FINAL'!AT147="CONFORME","CONFORME","NO CONFORME")</f>
        <v/>
      </c>
      <c r="I144" s="87">
        <f>IF(D144=0,"Medición",IF(D144=1,"Daño físico",IF(D144=2,"Fuga",IF(D144=3,"Picado",IF(D144=4,"Desfasado",IF(D144=5,"Paralizado","¿?"))))))</f>
        <v/>
      </c>
    </row>
    <row r="145">
      <c r="A145" s="80">
        <f>'ERROR FINAL'!A148</f>
        <v/>
      </c>
      <c r="B145" s="81">
        <f>'ERROR FINAL'!D148</f>
        <v/>
      </c>
      <c r="C145" s="314">
        <f>'ERROR FINAL'!G148</f>
        <v/>
      </c>
      <c r="D145" s="83">
        <f>'ERROR FINAL'!I148</f>
        <v/>
      </c>
      <c r="E145" s="315">
        <f>'ERROR FINAL'!U148</f>
        <v/>
      </c>
      <c r="F145" s="316">
        <f>'ERROR FINAL'!AG148</f>
        <v/>
      </c>
      <c r="G145" s="316">
        <f>'ERROR FINAL'!AS148</f>
        <v/>
      </c>
      <c r="H145" s="86">
        <f>IF('ERROR FINAL'!AT148="CONFORME","CONFORME","NO CONFORME")</f>
        <v/>
      </c>
      <c r="I145" s="87">
        <f>IF(D145=0,"Medición",IF(D145=1,"Daño físico",IF(D145=2,"Fuga",IF(D145=3,"Picado",IF(D145=4,"Desfasado",IF(D145=5,"Paralizado","¿?"))))))</f>
        <v/>
      </c>
    </row>
    <row r="146">
      <c r="A146" s="80">
        <f>'ERROR FINAL'!A149</f>
        <v/>
      </c>
      <c r="B146" s="81">
        <f>'ERROR FINAL'!D149</f>
        <v/>
      </c>
      <c r="C146" s="314">
        <f>'ERROR FINAL'!G149</f>
        <v/>
      </c>
      <c r="D146" s="83">
        <f>'ERROR FINAL'!I149</f>
        <v/>
      </c>
      <c r="E146" s="315">
        <f>'ERROR FINAL'!U149</f>
        <v/>
      </c>
      <c r="F146" s="316">
        <f>'ERROR FINAL'!AG149</f>
        <v/>
      </c>
      <c r="G146" s="316">
        <f>'ERROR FINAL'!AS149</f>
        <v/>
      </c>
      <c r="H146" s="86">
        <f>IF('ERROR FINAL'!AT149="CONFORME","CONFORME","NO CONFORME")</f>
        <v/>
      </c>
      <c r="I146" s="87">
        <f>IF(D146=0,"Medición",IF(D146=1,"Daño físico",IF(D146=2,"Fuga",IF(D146=3,"Picado",IF(D146=4,"Desfasado",IF(D146=5,"Paralizado","¿?"))))))</f>
        <v/>
      </c>
    </row>
    <row r="147">
      <c r="A147" s="80">
        <f>'ERROR FINAL'!A150</f>
        <v/>
      </c>
      <c r="B147" s="81">
        <f>'ERROR FINAL'!D150</f>
        <v/>
      </c>
      <c r="C147" s="314">
        <f>'ERROR FINAL'!G150</f>
        <v/>
      </c>
      <c r="D147" s="83">
        <f>'ERROR FINAL'!I150</f>
        <v/>
      </c>
      <c r="E147" s="315">
        <f>'ERROR FINAL'!U150</f>
        <v/>
      </c>
      <c r="F147" s="316">
        <f>'ERROR FINAL'!AG150</f>
        <v/>
      </c>
      <c r="G147" s="316">
        <f>'ERROR FINAL'!AS150</f>
        <v/>
      </c>
      <c r="H147" s="86">
        <f>IF('ERROR FINAL'!AT150="CONFORME","CONFORME","NO CONFORME")</f>
        <v/>
      </c>
      <c r="I147" s="87">
        <f>IF(D147=0,"Medición",IF(D147=1,"Daño físico",IF(D147=2,"Fuga",IF(D147=3,"Picado",IF(D147=4,"Desfasado",IF(D147=5,"Paralizado","¿?"))))))</f>
        <v/>
      </c>
    </row>
    <row r="148">
      <c r="A148" s="80">
        <f>'ERROR FINAL'!A151</f>
        <v/>
      </c>
      <c r="B148" s="81">
        <f>'ERROR FINAL'!D151</f>
        <v/>
      </c>
      <c r="C148" s="314">
        <f>'ERROR FINAL'!G151</f>
        <v/>
      </c>
      <c r="D148" s="83">
        <f>'ERROR FINAL'!I151</f>
        <v/>
      </c>
      <c r="E148" s="315">
        <f>'ERROR FINAL'!U151</f>
        <v/>
      </c>
      <c r="F148" s="316">
        <f>'ERROR FINAL'!AG151</f>
        <v/>
      </c>
      <c r="G148" s="316">
        <f>'ERROR FINAL'!AS151</f>
        <v/>
      </c>
      <c r="H148" s="86">
        <f>IF('ERROR FINAL'!AT151="CONFORME","CONFORME","NO CONFORME")</f>
        <v/>
      </c>
      <c r="I148" s="87">
        <f>IF(D148=0,"Medición",IF(D148=1,"Daño físico",IF(D148=2,"Fuga",IF(D148=3,"Picado",IF(D148=4,"Desfasado",IF(D148=5,"Paralizado","¿?"))))))</f>
        <v/>
      </c>
    </row>
    <row r="149">
      <c r="A149" s="80">
        <f>'ERROR FINAL'!A152</f>
        <v/>
      </c>
      <c r="B149" s="81">
        <f>'ERROR FINAL'!D152</f>
        <v/>
      </c>
      <c r="C149" s="314">
        <f>'ERROR FINAL'!G152</f>
        <v/>
      </c>
      <c r="D149" s="83">
        <f>'ERROR FINAL'!I152</f>
        <v/>
      </c>
      <c r="E149" s="315">
        <f>'ERROR FINAL'!U152</f>
        <v/>
      </c>
      <c r="F149" s="316">
        <f>'ERROR FINAL'!AG152</f>
        <v/>
      </c>
      <c r="G149" s="316">
        <f>'ERROR FINAL'!AS152</f>
        <v/>
      </c>
      <c r="H149" s="86">
        <f>IF('ERROR FINAL'!AT152="CONFORME","CONFORME","NO CONFORME")</f>
        <v/>
      </c>
      <c r="I149" s="87">
        <f>IF(D149=0,"Medición",IF(D149=1,"Daño físico",IF(D149=2,"Fuga",IF(D149=3,"Picado",IF(D149=4,"Desfasado",IF(D149=5,"Paralizado","¿?"))))))</f>
        <v/>
      </c>
    </row>
    <row r="150">
      <c r="A150" s="80">
        <f>'ERROR FINAL'!A153</f>
        <v/>
      </c>
      <c r="B150" s="81">
        <f>'ERROR FINAL'!D153</f>
        <v/>
      </c>
      <c r="C150" s="314">
        <f>'ERROR FINAL'!G153</f>
        <v/>
      </c>
      <c r="D150" s="83">
        <f>'ERROR FINAL'!I153</f>
        <v/>
      </c>
      <c r="E150" s="315">
        <f>'ERROR FINAL'!U153</f>
        <v/>
      </c>
      <c r="F150" s="316">
        <f>'ERROR FINAL'!AG153</f>
        <v/>
      </c>
      <c r="G150" s="316">
        <f>'ERROR FINAL'!AS153</f>
        <v/>
      </c>
      <c r="H150" s="86">
        <f>IF('ERROR FINAL'!AT153="CONFORME","CONFORME","NO CONFORME")</f>
        <v/>
      </c>
      <c r="I150" s="87">
        <f>IF(D150=0,"Medición",IF(D150=1,"Daño físico",IF(D150=2,"Fuga",IF(D150=3,"Picado",IF(D150=4,"Desfasado",IF(D150=5,"Paralizado","¿?"))))))</f>
        <v/>
      </c>
    </row>
    <row r="151">
      <c r="A151" s="80">
        <f>'ERROR FINAL'!A154</f>
        <v/>
      </c>
      <c r="B151" s="81">
        <f>'ERROR FINAL'!D154</f>
        <v/>
      </c>
      <c r="C151" s="314">
        <f>'ERROR FINAL'!G154</f>
        <v/>
      </c>
      <c r="D151" s="83">
        <f>'ERROR FINAL'!I154</f>
        <v/>
      </c>
      <c r="E151" s="315">
        <f>'ERROR FINAL'!U154</f>
        <v/>
      </c>
      <c r="F151" s="316">
        <f>'ERROR FINAL'!AG154</f>
        <v/>
      </c>
      <c r="G151" s="316">
        <f>'ERROR FINAL'!AS154</f>
        <v/>
      </c>
      <c r="H151" s="86">
        <f>IF('ERROR FINAL'!AT154="CONFORME","CONFORME","NO CONFORME")</f>
        <v/>
      </c>
      <c r="I151" s="87">
        <f>IF(D151=0,"Medición",IF(D151=1,"Daño físico",IF(D151=2,"Fuga",IF(D151=3,"Picado",IF(D151=4,"Desfasado",IF(D151=5,"Paralizado","¿?"))))))</f>
        <v/>
      </c>
    </row>
    <row r="152">
      <c r="A152" s="80">
        <f>'ERROR FINAL'!A155</f>
        <v/>
      </c>
      <c r="B152" s="81">
        <f>'ERROR FINAL'!D155</f>
        <v/>
      </c>
      <c r="C152" s="314">
        <f>'ERROR FINAL'!G155</f>
        <v/>
      </c>
      <c r="D152" s="83">
        <f>'ERROR FINAL'!I155</f>
        <v/>
      </c>
      <c r="E152" s="315">
        <f>'ERROR FINAL'!U155</f>
        <v/>
      </c>
      <c r="F152" s="316">
        <f>'ERROR FINAL'!AG155</f>
        <v/>
      </c>
      <c r="G152" s="316">
        <f>'ERROR FINAL'!AS155</f>
        <v/>
      </c>
      <c r="H152" s="86">
        <f>IF('ERROR FINAL'!AT155="CONFORME","CONFORME","NO CONFORME")</f>
        <v/>
      </c>
      <c r="I152" s="87">
        <f>IF(D152=0,"Medición",IF(D152=1,"Daño físico",IF(D152=2,"Fuga",IF(D152=3,"Picado",IF(D152=4,"Desfasado",IF(D152=5,"Paralizado","¿?"))))))</f>
        <v/>
      </c>
    </row>
    <row r="153">
      <c r="A153" s="80">
        <f>'ERROR FINAL'!A156</f>
        <v/>
      </c>
      <c r="B153" s="81">
        <f>'ERROR FINAL'!D156</f>
        <v/>
      </c>
      <c r="C153" s="314">
        <f>'ERROR FINAL'!G156</f>
        <v/>
      </c>
      <c r="D153" s="83">
        <f>'ERROR FINAL'!I156</f>
        <v/>
      </c>
      <c r="E153" s="315">
        <f>'ERROR FINAL'!U156</f>
        <v/>
      </c>
      <c r="F153" s="316">
        <f>'ERROR FINAL'!AG156</f>
        <v/>
      </c>
      <c r="G153" s="316">
        <f>'ERROR FINAL'!AS156</f>
        <v/>
      </c>
      <c r="H153" s="86">
        <f>IF('ERROR FINAL'!AT156="CONFORME","CONFORME","NO CONFORME")</f>
        <v/>
      </c>
      <c r="I153" s="87">
        <f>IF(D153=0,"Medición",IF(D153=1,"Daño físico",IF(D153=2,"Fuga",IF(D153=3,"Picado",IF(D153=4,"Desfasado",IF(D153=5,"Paralizado","¿?"))))))</f>
        <v/>
      </c>
    </row>
    <row r="154">
      <c r="A154" s="80">
        <f>'ERROR FINAL'!A157</f>
        <v/>
      </c>
      <c r="B154" s="81">
        <f>'ERROR FINAL'!D157</f>
        <v/>
      </c>
      <c r="C154" s="314">
        <f>'ERROR FINAL'!G157</f>
        <v/>
      </c>
      <c r="D154" s="83">
        <f>'ERROR FINAL'!I157</f>
        <v/>
      </c>
      <c r="E154" s="315">
        <f>'ERROR FINAL'!U157</f>
        <v/>
      </c>
      <c r="F154" s="316">
        <f>'ERROR FINAL'!AG157</f>
        <v/>
      </c>
      <c r="G154" s="316">
        <f>'ERROR FINAL'!AS157</f>
        <v/>
      </c>
      <c r="H154" s="86">
        <f>IF('ERROR FINAL'!AT157="CONFORME","CONFORME","NO CONFORME")</f>
        <v/>
      </c>
      <c r="I154" s="87">
        <f>IF(D154=0,"Medición",IF(D154=1,"Daño físico",IF(D154=2,"Fuga",IF(D154=3,"Picado",IF(D154=4,"Desfasado",IF(D154=5,"Paralizado","¿?"))))))</f>
        <v/>
      </c>
    </row>
    <row r="155">
      <c r="A155" s="80">
        <f>'ERROR FINAL'!A158</f>
        <v/>
      </c>
      <c r="B155" s="81">
        <f>'ERROR FINAL'!D158</f>
        <v/>
      </c>
      <c r="C155" s="314">
        <f>'ERROR FINAL'!G158</f>
        <v/>
      </c>
      <c r="D155" s="83">
        <f>'ERROR FINAL'!I158</f>
        <v/>
      </c>
      <c r="E155" s="315">
        <f>'ERROR FINAL'!U158</f>
        <v/>
      </c>
      <c r="F155" s="316">
        <f>'ERROR FINAL'!AG158</f>
        <v/>
      </c>
      <c r="G155" s="316">
        <f>'ERROR FINAL'!AS158</f>
        <v/>
      </c>
      <c r="H155" s="86">
        <f>IF('ERROR FINAL'!AT158="CONFORME","CONFORME","NO CONFORME")</f>
        <v/>
      </c>
      <c r="I155" s="87">
        <f>IF(D155=0,"Medición",IF(D155=1,"Daño físico",IF(D155=2,"Fuga",IF(D155=3,"Picado",IF(D155=4,"Desfasado",IF(D155=5,"Paralizado","¿?"))))))</f>
        <v/>
      </c>
    </row>
    <row r="156">
      <c r="A156" s="80">
        <f>'ERROR FINAL'!A159</f>
        <v/>
      </c>
      <c r="B156" s="81">
        <f>'ERROR FINAL'!D159</f>
        <v/>
      </c>
      <c r="C156" s="314">
        <f>'ERROR FINAL'!G159</f>
        <v/>
      </c>
      <c r="D156" s="83">
        <f>'ERROR FINAL'!I159</f>
        <v/>
      </c>
      <c r="E156" s="315">
        <f>'ERROR FINAL'!U159</f>
        <v/>
      </c>
      <c r="F156" s="316">
        <f>'ERROR FINAL'!AG159</f>
        <v/>
      </c>
      <c r="G156" s="316">
        <f>'ERROR FINAL'!AS159</f>
        <v/>
      </c>
      <c r="H156" s="86">
        <f>IF('ERROR FINAL'!AT159="CONFORME","CONFORME","NO CONFORME")</f>
        <v/>
      </c>
      <c r="I156" s="87">
        <f>IF(D156=0,"Medición",IF(D156=1,"Daño físico",IF(D156=2,"Fuga",IF(D156=3,"Picado",IF(D156=4,"Desfasado",IF(D156=5,"Paralizado","¿?"))))))</f>
        <v/>
      </c>
    </row>
    <row r="157">
      <c r="A157" s="80">
        <f>'ERROR FINAL'!A160</f>
        <v/>
      </c>
      <c r="B157" s="81">
        <f>'ERROR FINAL'!D160</f>
        <v/>
      </c>
      <c r="C157" s="314">
        <f>'ERROR FINAL'!G160</f>
        <v/>
      </c>
      <c r="D157" s="83">
        <f>'ERROR FINAL'!I160</f>
        <v/>
      </c>
      <c r="E157" s="315">
        <f>'ERROR FINAL'!U160</f>
        <v/>
      </c>
      <c r="F157" s="316">
        <f>'ERROR FINAL'!AG160</f>
        <v/>
      </c>
      <c r="G157" s="316">
        <f>'ERROR FINAL'!AS160</f>
        <v/>
      </c>
      <c r="H157" s="86">
        <f>IF('ERROR FINAL'!AT160="CONFORME","CONFORME","NO CONFORME")</f>
        <v/>
      </c>
      <c r="I157" s="87">
        <f>IF(D157=0,"Medición",IF(D157=1,"Daño físico",IF(D157=2,"Fuga",IF(D157=3,"Picado",IF(D157=4,"Desfasado",IF(D157=5,"Paralizado","¿?"))))))</f>
        <v/>
      </c>
    </row>
    <row r="158">
      <c r="A158" s="80">
        <f>'ERROR FINAL'!A161</f>
        <v/>
      </c>
      <c r="B158" s="81">
        <f>'ERROR FINAL'!D161</f>
        <v/>
      </c>
      <c r="C158" s="314">
        <f>'ERROR FINAL'!G161</f>
        <v/>
      </c>
      <c r="D158" s="83">
        <f>'ERROR FINAL'!I161</f>
        <v/>
      </c>
      <c r="E158" s="315">
        <f>'ERROR FINAL'!U161</f>
        <v/>
      </c>
      <c r="F158" s="316">
        <f>'ERROR FINAL'!AG161</f>
        <v/>
      </c>
      <c r="G158" s="316">
        <f>'ERROR FINAL'!AS161</f>
        <v/>
      </c>
      <c r="H158" s="86">
        <f>IF('ERROR FINAL'!AT161="CONFORME","CONFORME","NO CONFORME")</f>
        <v/>
      </c>
      <c r="I158" s="87">
        <f>IF(D158=0,"Medición",IF(D158=1,"Daño físico",IF(D158=2,"Fuga",IF(D158=3,"Picado",IF(D158=4,"Desfasado",IF(D158=5,"Paralizado","¿?"))))))</f>
        <v/>
      </c>
    </row>
    <row r="159">
      <c r="A159" s="80">
        <f>'ERROR FINAL'!A162</f>
        <v/>
      </c>
      <c r="B159" s="81">
        <f>'ERROR FINAL'!D162</f>
        <v/>
      </c>
      <c r="C159" s="314">
        <f>'ERROR FINAL'!G162</f>
        <v/>
      </c>
      <c r="D159" s="83">
        <f>'ERROR FINAL'!I162</f>
        <v/>
      </c>
      <c r="E159" s="315">
        <f>'ERROR FINAL'!U162</f>
        <v/>
      </c>
      <c r="F159" s="316">
        <f>'ERROR FINAL'!AG162</f>
        <v/>
      </c>
      <c r="G159" s="316">
        <f>'ERROR FINAL'!AS162</f>
        <v/>
      </c>
      <c r="H159" s="86">
        <f>IF('ERROR FINAL'!AT162="CONFORME","CONFORME","NO CONFORME")</f>
        <v/>
      </c>
      <c r="I159" s="87">
        <f>IF(D159=0,"Medición",IF(D159=1,"Daño físico",IF(D159=2,"Fuga",IF(D159=3,"Picado",IF(D159=4,"Desfasado",IF(D159=5,"Paralizado","¿?"))))))</f>
        <v/>
      </c>
    </row>
    <row r="160">
      <c r="A160" s="80">
        <f>'ERROR FINAL'!A163</f>
        <v/>
      </c>
      <c r="B160" s="81">
        <f>'ERROR FINAL'!D163</f>
        <v/>
      </c>
      <c r="C160" s="314">
        <f>'ERROR FINAL'!G163</f>
        <v/>
      </c>
      <c r="D160" s="83">
        <f>'ERROR FINAL'!I163</f>
        <v/>
      </c>
      <c r="E160" s="315">
        <f>'ERROR FINAL'!U163</f>
        <v/>
      </c>
      <c r="F160" s="316">
        <f>'ERROR FINAL'!AG163</f>
        <v/>
      </c>
      <c r="G160" s="316">
        <f>'ERROR FINAL'!AS163</f>
        <v/>
      </c>
      <c r="H160" s="86">
        <f>IF('ERROR FINAL'!AT163="CONFORME","CONFORME","NO CONFORME")</f>
        <v/>
      </c>
      <c r="I160" s="87">
        <f>IF(D160=0,"Medición",IF(D160=1,"Daño físico",IF(D160=2,"Fuga",IF(D160=3,"Picado",IF(D160=4,"Desfasado",IF(D160=5,"Paralizado","¿?"))))))</f>
        <v/>
      </c>
    </row>
    <row r="161">
      <c r="A161" s="80">
        <f>'ERROR FINAL'!A164</f>
        <v/>
      </c>
      <c r="B161" s="81">
        <f>'ERROR FINAL'!D164</f>
        <v/>
      </c>
      <c r="C161" s="314">
        <f>'ERROR FINAL'!G164</f>
        <v/>
      </c>
      <c r="D161" s="83">
        <f>'ERROR FINAL'!I164</f>
        <v/>
      </c>
      <c r="E161" s="315">
        <f>'ERROR FINAL'!U164</f>
        <v/>
      </c>
      <c r="F161" s="316">
        <f>'ERROR FINAL'!AG164</f>
        <v/>
      </c>
      <c r="G161" s="316">
        <f>'ERROR FINAL'!AS164</f>
        <v/>
      </c>
      <c r="H161" s="86">
        <f>IF('ERROR FINAL'!AT164="CONFORME","CONFORME","NO CONFORME")</f>
        <v/>
      </c>
      <c r="I161" s="87">
        <f>IF(D161=0,"Medición",IF(D161=1,"Daño físico",IF(D161=2,"Fuga",IF(D161=3,"Picado",IF(D161=4,"Desfasado",IF(D161=5,"Paralizado","¿?"))))))</f>
        <v/>
      </c>
    </row>
    <row r="162">
      <c r="A162" s="80">
        <f>'ERROR FINAL'!A165</f>
        <v/>
      </c>
      <c r="B162" s="81">
        <f>'ERROR FINAL'!D165</f>
        <v/>
      </c>
      <c r="C162" s="314">
        <f>'ERROR FINAL'!G165</f>
        <v/>
      </c>
      <c r="D162" s="83">
        <f>'ERROR FINAL'!I165</f>
        <v/>
      </c>
      <c r="E162" s="315">
        <f>'ERROR FINAL'!U165</f>
        <v/>
      </c>
      <c r="F162" s="316">
        <f>'ERROR FINAL'!AG165</f>
        <v/>
      </c>
      <c r="G162" s="316">
        <f>'ERROR FINAL'!AS165</f>
        <v/>
      </c>
      <c r="H162" s="86">
        <f>IF('ERROR FINAL'!AT165="CONFORME","CONFORME","NO CONFORME")</f>
        <v/>
      </c>
      <c r="I162" s="87">
        <f>IF(D162=0,"Medición",IF(D162=1,"Daño físico",IF(D162=2,"Fuga",IF(D162=3,"Picado",IF(D162=4,"Desfasado",IF(D162=5,"Paralizado","¿?"))))))</f>
        <v/>
      </c>
    </row>
    <row r="163">
      <c r="A163" s="80">
        <f>'ERROR FINAL'!A166</f>
        <v/>
      </c>
      <c r="B163" s="81">
        <f>'ERROR FINAL'!D166</f>
        <v/>
      </c>
      <c r="C163" s="314">
        <f>'ERROR FINAL'!G166</f>
        <v/>
      </c>
      <c r="D163" s="83">
        <f>'ERROR FINAL'!I166</f>
        <v/>
      </c>
      <c r="E163" s="315">
        <f>'ERROR FINAL'!U166</f>
        <v/>
      </c>
      <c r="F163" s="316">
        <f>'ERROR FINAL'!AG166</f>
        <v/>
      </c>
      <c r="G163" s="316">
        <f>'ERROR FINAL'!AS166</f>
        <v/>
      </c>
      <c r="H163" s="86">
        <f>IF('ERROR FINAL'!AT166="CONFORME","CONFORME","NO CONFORME")</f>
        <v/>
      </c>
      <c r="I163" s="87">
        <f>IF(D163=0,"Medición",IF(D163=1,"Daño físico",IF(D163=2,"Fuga",IF(D163=3,"Picado",IF(D163=4,"Desfasado",IF(D163=5,"Paralizado","¿?"))))))</f>
        <v/>
      </c>
    </row>
    <row r="164">
      <c r="A164" s="80">
        <f>'ERROR FINAL'!A167</f>
        <v/>
      </c>
      <c r="B164" s="81">
        <f>'ERROR FINAL'!D167</f>
        <v/>
      </c>
      <c r="C164" s="314">
        <f>'ERROR FINAL'!G167</f>
        <v/>
      </c>
      <c r="D164" s="83">
        <f>'ERROR FINAL'!I167</f>
        <v/>
      </c>
      <c r="E164" s="315">
        <f>'ERROR FINAL'!U167</f>
        <v/>
      </c>
      <c r="F164" s="316">
        <f>'ERROR FINAL'!AG167</f>
        <v/>
      </c>
      <c r="G164" s="316">
        <f>'ERROR FINAL'!AS167</f>
        <v/>
      </c>
      <c r="H164" s="86">
        <f>IF('ERROR FINAL'!AT167="CONFORME","CONFORME","NO CONFORME")</f>
        <v/>
      </c>
      <c r="I164" s="87">
        <f>IF(D164=0,"Medición",IF(D164=1,"Daño físico",IF(D164=2,"Fuga",IF(D164=3,"Picado",IF(D164=4,"Desfasado",IF(D164=5,"Paralizado","¿?"))))))</f>
        <v/>
      </c>
    </row>
    <row r="165">
      <c r="A165" s="80">
        <f>'ERROR FINAL'!A168</f>
        <v/>
      </c>
      <c r="B165" s="81">
        <f>'ERROR FINAL'!D168</f>
        <v/>
      </c>
      <c r="C165" s="314">
        <f>'ERROR FINAL'!G168</f>
        <v/>
      </c>
      <c r="D165" s="83">
        <f>'ERROR FINAL'!I168</f>
        <v/>
      </c>
      <c r="E165" s="315">
        <f>'ERROR FINAL'!U168</f>
        <v/>
      </c>
      <c r="F165" s="316">
        <f>'ERROR FINAL'!AG168</f>
        <v/>
      </c>
      <c r="G165" s="316">
        <f>'ERROR FINAL'!AS168</f>
        <v/>
      </c>
      <c r="H165" s="86">
        <f>IF('ERROR FINAL'!AT168="CONFORME","CONFORME","NO CONFORME")</f>
        <v/>
      </c>
      <c r="I165" s="87">
        <f>IF(D165=0,"Medición",IF(D165=1,"Daño físico",IF(D165=2,"Fuga",IF(D165=3,"Picado",IF(D165=4,"Desfasado",IF(D165=5,"Paralizado","¿?"))))))</f>
        <v/>
      </c>
    </row>
    <row r="166">
      <c r="A166" s="80">
        <f>'ERROR FINAL'!A169</f>
        <v/>
      </c>
      <c r="B166" s="81">
        <f>'ERROR FINAL'!D169</f>
        <v/>
      </c>
      <c r="C166" s="314">
        <f>'ERROR FINAL'!G169</f>
        <v/>
      </c>
      <c r="D166" s="83">
        <f>'ERROR FINAL'!I169</f>
        <v/>
      </c>
      <c r="E166" s="315">
        <f>'ERROR FINAL'!U169</f>
        <v/>
      </c>
      <c r="F166" s="316">
        <f>'ERROR FINAL'!AG169</f>
        <v/>
      </c>
      <c r="G166" s="316">
        <f>'ERROR FINAL'!AS169</f>
        <v/>
      </c>
      <c r="H166" s="86">
        <f>IF('ERROR FINAL'!AT169="CONFORME","CONFORME","NO CONFORME")</f>
        <v/>
      </c>
      <c r="I166" s="87">
        <f>IF(D166=0,"Medición",IF(D166=1,"Daño físico",IF(D166=2,"Fuga",IF(D166=3,"Picado",IF(D166=4,"Desfasado",IF(D166=5,"Paralizado","¿?"))))))</f>
        <v/>
      </c>
    </row>
    <row r="167">
      <c r="A167" s="80">
        <f>'ERROR FINAL'!A170</f>
        <v/>
      </c>
      <c r="B167" s="81">
        <f>'ERROR FINAL'!D170</f>
        <v/>
      </c>
      <c r="C167" s="314">
        <f>'ERROR FINAL'!G170</f>
        <v/>
      </c>
      <c r="D167" s="83">
        <f>'ERROR FINAL'!I170</f>
        <v/>
      </c>
      <c r="E167" s="315">
        <f>'ERROR FINAL'!U170</f>
        <v/>
      </c>
      <c r="F167" s="316">
        <f>'ERROR FINAL'!AG170</f>
        <v/>
      </c>
      <c r="G167" s="316">
        <f>'ERROR FINAL'!AS170</f>
        <v/>
      </c>
      <c r="H167" s="86">
        <f>IF('ERROR FINAL'!AT170="CONFORME","CONFORME","NO CONFORME")</f>
        <v/>
      </c>
      <c r="I167" s="87">
        <f>IF(D167=0,"Medición",IF(D167=1,"Daño físico",IF(D167=2,"Fuga",IF(D167=3,"Picado",IF(D167=4,"Desfasado",IF(D167=5,"Paralizado","¿?"))))))</f>
        <v/>
      </c>
    </row>
    <row r="168">
      <c r="A168" s="80">
        <f>'ERROR FINAL'!A171</f>
        <v/>
      </c>
      <c r="B168" s="81">
        <f>'ERROR FINAL'!D171</f>
        <v/>
      </c>
      <c r="C168" s="314">
        <f>'ERROR FINAL'!G171</f>
        <v/>
      </c>
      <c r="D168" s="83">
        <f>'ERROR FINAL'!I171</f>
        <v/>
      </c>
      <c r="E168" s="315">
        <f>'ERROR FINAL'!U171</f>
        <v/>
      </c>
      <c r="F168" s="316">
        <f>'ERROR FINAL'!AG171</f>
        <v/>
      </c>
      <c r="G168" s="316">
        <f>'ERROR FINAL'!AS171</f>
        <v/>
      </c>
      <c r="H168" s="86">
        <f>IF('ERROR FINAL'!AT171="CONFORME","CONFORME","NO CONFORME")</f>
        <v/>
      </c>
      <c r="I168" s="87">
        <f>IF(D168=0,"Medición",IF(D168=1,"Daño físico",IF(D168=2,"Fuga",IF(D168=3,"Picado",IF(D168=4,"Desfasado",IF(D168=5,"Paralizado","¿?"))))))</f>
        <v/>
      </c>
    </row>
    <row r="169">
      <c r="A169" s="80">
        <f>'ERROR FINAL'!A172</f>
        <v/>
      </c>
      <c r="B169" s="81">
        <f>'ERROR FINAL'!D172</f>
        <v/>
      </c>
      <c r="C169" s="314">
        <f>'ERROR FINAL'!G172</f>
        <v/>
      </c>
      <c r="D169" s="83">
        <f>'ERROR FINAL'!I172</f>
        <v/>
      </c>
      <c r="E169" s="315">
        <f>'ERROR FINAL'!U172</f>
        <v/>
      </c>
      <c r="F169" s="316">
        <f>'ERROR FINAL'!AG172</f>
        <v/>
      </c>
      <c r="G169" s="316">
        <f>'ERROR FINAL'!AS172</f>
        <v/>
      </c>
      <c r="H169" s="86">
        <f>IF('ERROR FINAL'!AT172="CONFORME","CONFORME","NO CONFORME")</f>
        <v/>
      </c>
      <c r="I169" s="87">
        <f>IF(D169=0,"Medición",IF(D169=1,"Daño físico",IF(D169=2,"Fuga",IF(D169=3,"Picado",IF(D169=4,"Desfasado",IF(D169=5,"Paralizado","¿?"))))))</f>
        <v/>
      </c>
    </row>
    <row r="170">
      <c r="A170" s="80">
        <f>'ERROR FINAL'!A173</f>
        <v/>
      </c>
      <c r="B170" s="81">
        <f>'ERROR FINAL'!D173</f>
        <v/>
      </c>
      <c r="C170" s="314">
        <f>'ERROR FINAL'!G173</f>
        <v/>
      </c>
      <c r="D170" s="83">
        <f>'ERROR FINAL'!I173</f>
        <v/>
      </c>
      <c r="E170" s="315">
        <f>'ERROR FINAL'!U173</f>
        <v/>
      </c>
      <c r="F170" s="316">
        <f>'ERROR FINAL'!AG173</f>
        <v/>
      </c>
      <c r="G170" s="316">
        <f>'ERROR FINAL'!AS173</f>
        <v/>
      </c>
      <c r="H170" s="86">
        <f>IF('ERROR FINAL'!AT173="CONFORME","CONFORME","NO CONFORME")</f>
        <v/>
      </c>
      <c r="I170" s="87">
        <f>IF(D170=0,"Medición",IF(D170=1,"Daño físico",IF(D170=2,"Fuga",IF(D170=3,"Picado",IF(D170=4,"Desfasado",IF(D170=5,"Paralizado","¿?"))))))</f>
        <v/>
      </c>
    </row>
    <row r="171">
      <c r="A171" s="80">
        <f>'ERROR FINAL'!A174</f>
        <v/>
      </c>
      <c r="B171" s="81">
        <f>'ERROR FINAL'!D174</f>
        <v/>
      </c>
      <c r="C171" s="314">
        <f>'ERROR FINAL'!G174</f>
        <v/>
      </c>
      <c r="D171" s="83">
        <f>'ERROR FINAL'!I174</f>
        <v/>
      </c>
      <c r="E171" s="315">
        <f>'ERROR FINAL'!U174</f>
        <v/>
      </c>
      <c r="F171" s="316">
        <f>'ERROR FINAL'!AG174</f>
        <v/>
      </c>
      <c r="G171" s="316">
        <f>'ERROR FINAL'!AS174</f>
        <v/>
      </c>
      <c r="H171" s="86">
        <f>IF('ERROR FINAL'!AT174="CONFORME","CONFORME","NO CONFORME")</f>
        <v/>
      </c>
      <c r="I171" s="87">
        <f>IF(D171=0,"Medición",IF(D171=1,"Daño físico",IF(D171=2,"Fuga",IF(D171=3,"Picado",IF(D171=4,"Desfasado",IF(D171=5,"Paralizado","¿?"))))))</f>
        <v/>
      </c>
    </row>
    <row r="172">
      <c r="A172" s="80">
        <f>'ERROR FINAL'!A175</f>
        <v/>
      </c>
      <c r="B172" s="81">
        <f>'ERROR FINAL'!D175</f>
        <v/>
      </c>
      <c r="C172" s="314">
        <f>'ERROR FINAL'!G175</f>
        <v/>
      </c>
      <c r="D172" s="83">
        <f>'ERROR FINAL'!I175</f>
        <v/>
      </c>
      <c r="E172" s="315">
        <f>'ERROR FINAL'!U175</f>
        <v/>
      </c>
      <c r="F172" s="316">
        <f>'ERROR FINAL'!AG175</f>
        <v/>
      </c>
      <c r="G172" s="316">
        <f>'ERROR FINAL'!AS175</f>
        <v/>
      </c>
      <c r="H172" s="86">
        <f>IF('ERROR FINAL'!AT175="CONFORME","CONFORME","NO CONFORME")</f>
        <v/>
      </c>
      <c r="I172" s="87">
        <f>IF(D172=0,"Medición",IF(D172=1,"Daño físico",IF(D172=2,"Fuga",IF(D172=3,"Picado",IF(D172=4,"Desfasado",IF(D172=5,"Paralizado","¿?"))))))</f>
        <v/>
      </c>
    </row>
    <row r="173">
      <c r="A173" s="80">
        <f>'ERROR FINAL'!A176</f>
        <v/>
      </c>
      <c r="B173" s="81">
        <f>'ERROR FINAL'!D176</f>
        <v/>
      </c>
      <c r="C173" s="314">
        <f>'ERROR FINAL'!G176</f>
        <v/>
      </c>
      <c r="D173" s="83">
        <f>'ERROR FINAL'!I176</f>
        <v/>
      </c>
      <c r="E173" s="315">
        <f>'ERROR FINAL'!U176</f>
        <v/>
      </c>
      <c r="F173" s="316">
        <f>'ERROR FINAL'!AG176</f>
        <v/>
      </c>
      <c r="G173" s="316">
        <f>'ERROR FINAL'!AS176</f>
        <v/>
      </c>
      <c r="H173" s="86">
        <f>IF('ERROR FINAL'!AT176="CONFORME","CONFORME","NO CONFORME")</f>
        <v/>
      </c>
      <c r="I173" s="87">
        <f>IF(D173=0,"Medición",IF(D173=1,"Daño físico",IF(D173=2,"Fuga",IF(D173=3,"Picado",IF(D173=4,"Desfasado",IF(D173=5,"Paralizado","¿?"))))))</f>
        <v/>
      </c>
    </row>
    <row r="174">
      <c r="A174" s="80">
        <f>'ERROR FINAL'!A177</f>
        <v/>
      </c>
      <c r="B174" s="81">
        <f>'ERROR FINAL'!D177</f>
        <v/>
      </c>
      <c r="C174" s="314">
        <f>'ERROR FINAL'!G177</f>
        <v/>
      </c>
      <c r="D174" s="83">
        <f>'ERROR FINAL'!I177</f>
        <v/>
      </c>
      <c r="E174" s="315">
        <f>'ERROR FINAL'!U177</f>
        <v/>
      </c>
      <c r="F174" s="316">
        <f>'ERROR FINAL'!AG177</f>
        <v/>
      </c>
      <c r="G174" s="316">
        <f>'ERROR FINAL'!AS177</f>
        <v/>
      </c>
      <c r="H174" s="86">
        <f>IF('ERROR FINAL'!AT177="CONFORME","CONFORME","NO CONFORME")</f>
        <v/>
      </c>
      <c r="I174" s="87">
        <f>IF(D174=0,"Medición",IF(D174=1,"Daño físico",IF(D174=2,"Fuga",IF(D174=3,"Picado",IF(D174=4,"Desfasado",IF(D174=5,"Paralizado","¿?"))))))</f>
        <v/>
      </c>
    </row>
    <row r="175">
      <c r="A175" s="80">
        <f>'ERROR FINAL'!A178</f>
        <v/>
      </c>
      <c r="B175" s="81">
        <f>'ERROR FINAL'!D178</f>
        <v/>
      </c>
      <c r="C175" s="314">
        <f>'ERROR FINAL'!G178</f>
        <v/>
      </c>
      <c r="D175" s="83">
        <f>'ERROR FINAL'!I178</f>
        <v/>
      </c>
      <c r="E175" s="315">
        <f>'ERROR FINAL'!U178</f>
        <v/>
      </c>
      <c r="F175" s="316">
        <f>'ERROR FINAL'!AG178</f>
        <v/>
      </c>
      <c r="G175" s="316">
        <f>'ERROR FINAL'!AS178</f>
        <v/>
      </c>
      <c r="H175" s="86">
        <f>IF('ERROR FINAL'!AT178="CONFORME","CONFORME","NO CONFORME")</f>
        <v/>
      </c>
      <c r="I175" s="87">
        <f>IF(D175=0,"Medición",IF(D175=1,"Daño físico",IF(D175=2,"Fuga",IF(D175=3,"Picado",IF(D175=4,"Desfasado",IF(D175=5,"Paralizado","¿?"))))))</f>
        <v/>
      </c>
    </row>
    <row r="176">
      <c r="A176" s="80">
        <f>'ERROR FINAL'!A179</f>
        <v/>
      </c>
      <c r="B176" s="81">
        <f>'ERROR FINAL'!D179</f>
        <v/>
      </c>
      <c r="C176" s="314">
        <f>'ERROR FINAL'!G179</f>
        <v/>
      </c>
      <c r="D176" s="83">
        <f>'ERROR FINAL'!I179</f>
        <v/>
      </c>
      <c r="E176" s="315">
        <f>'ERROR FINAL'!U179</f>
        <v/>
      </c>
      <c r="F176" s="316">
        <f>'ERROR FINAL'!AG179</f>
        <v/>
      </c>
      <c r="G176" s="316">
        <f>'ERROR FINAL'!AS179</f>
        <v/>
      </c>
      <c r="H176" s="86">
        <f>IF('ERROR FINAL'!AT179="CONFORME","CONFORME","NO CONFORME")</f>
        <v/>
      </c>
      <c r="I176" s="87">
        <f>IF(D176=0,"Medición",IF(D176=1,"Daño físico",IF(D176=2,"Fuga",IF(D176=3,"Picado",IF(D176=4,"Desfasado",IF(D176=5,"Paralizado","¿?"))))))</f>
        <v/>
      </c>
    </row>
    <row r="177">
      <c r="A177" s="80">
        <f>'ERROR FINAL'!A180</f>
        <v/>
      </c>
      <c r="B177" s="81">
        <f>'ERROR FINAL'!D180</f>
        <v/>
      </c>
      <c r="C177" s="314">
        <f>'ERROR FINAL'!G180</f>
        <v/>
      </c>
      <c r="D177" s="83">
        <f>'ERROR FINAL'!I180</f>
        <v/>
      </c>
      <c r="E177" s="315">
        <f>'ERROR FINAL'!U180</f>
        <v/>
      </c>
      <c r="F177" s="316">
        <f>'ERROR FINAL'!AG180</f>
        <v/>
      </c>
      <c r="G177" s="316">
        <f>'ERROR FINAL'!AS180</f>
        <v/>
      </c>
      <c r="H177" s="86">
        <f>IF('ERROR FINAL'!AT180="CONFORME","CONFORME","NO CONFORME")</f>
        <v/>
      </c>
      <c r="I177" s="87">
        <f>IF(D177=0,"Medición",IF(D177=1,"Daño físico",IF(D177=2,"Fuga",IF(D177=3,"Picado",IF(D177=4,"Desfasado",IF(D177=5,"Paralizado","¿?"))))))</f>
        <v/>
      </c>
    </row>
    <row r="178">
      <c r="A178" s="80">
        <f>'ERROR FINAL'!A181</f>
        <v/>
      </c>
      <c r="B178" s="81">
        <f>'ERROR FINAL'!D181</f>
        <v/>
      </c>
      <c r="C178" s="314">
        <f>'ERROR FINAL'!G181</f>
        <v/>
      </c>
      <c r="D178" s="83">
        <f>'ERROR FINAL'!I181</f>
        <v/>
      </c>
      <c r="E178" s="315">
        <f>'ERROR FINAL'!U181</f>
        <v/>
      </c>
      <c r="F178" s="316">
        <f>'ERROR FINAL'!AG181</f>
        <v/>
      </c>
      <c r="G178" s="316">
        <f>'ERROR FINAL'!AS181</f>
        <v/>
      </c>
      <c r="H178" s="86">
        <f>IF('ERROR FINAL'!AT181="CONFORME","CONFORME","NO CONFORME")</f>
        <v/>
      </c>
      <c r="I178" s="87">
        <f>IF(D178=0,"Medición",IF(D178=1,"Daño físico",IF(D178=2,"Fuga",IF(D178=3,"Picado",IF(D178=4,"Desfasado",IF(D178=5,"Paralizado","¿?"))))))</f>
        <v/>
      </c>
    </row>
    <row r="179">
      <c r="A179" s="80">
        <f>'ERROR FINAL'!A182</f>
        <v/>
      </c>
      <c r="B179" s="81">
        <f>'ERROR FINAL'!D182</f>
        <v/>
      </c>
      <c r="C179" s="314">
        <f>'ERROR FINAL'!G182</f>
        <v/>
      </c>
      <c r="D179" s="83">
        <f>'ERROR FINAL'!I182</f>
        <v/>
      </c>
      <c r="E179" s="315">
        <f>'ERROR FINAL'!U182</f>
        <v/>
      </c>
      <c r="F179" s="316">
        <f>'ERROR FINAL'!AG182</f>
        <v/>
      </c>
      <c r="G179" s="316">
        <f>'ERROR FINAL'!AS182</f>
        <v/>
      </c>
      <c r="H179" s="86">
        <f>IF('ERROR FINAL'!AT182="CONFORME","CONFORME","NO CONFORME")</f>
        <v/>
      </c>
      <c r="I179" s="87">
        <f>IF(D179=0,"Medición",IF(D179=1,"Daño físico",IF(D179=2,"Fuga",IF(D179=3,"Picado",IF(D179=4,"Desfasado",IF(D179=5,"Paralizado","¿?"))))))</f>
        <v/>
      </c>
    </row>
    <row r="180">
      <c r="A180" s="80">
        <f>'ERROR FINAL'!A183</f>
        <v/>
      </c>
      <c r="B180" s="81">
        <f>'ERROR FINAL'!D183</f>
        <v/>
      </c>
      <c r="C180" s="314">
        <f>'ERROR FINAL'!G183</f>
        <v/>
      </c>
      <c r="D180" s="83">
        <f>'ERROR FINAL'!I183</f>
        <v/>
      </c>
      <c r="E180" s="315">
        <f>'ERROR FINAL'!U183</f>
        <v/>
      </c>
      <c r="F180" s="316">
        <f>'ERROR FINAL'!AG183</f>
        <v/>
      </c>
      <c r="G180" s="316">
        <f>'ERROR FINAL'!AS183</f>
        <v/>
      </c>
      <c r="H180" s="86">
        <f>IF('ERROR FINAL'!AT183="CONFORME","CONFORME","NO CONFORME")</f>
        <v/>
      </c>
      <c r="I180" s="87">
        <f>IF(D180=0,"Medición",IF(D180=1,"Daño físico",IF(D180=2,"Fuga",IF(D180=3,"Picado",IF(D180=4,"Desfasado",IF(D180=5,"Paralizado","¿?"))))))</f>
        <v/>
      </c>
    </row>
    <row r="181">
      <c r="A181" s="80">
        <f>'ERROR FINAL'!A184</f>
        <v/>
      </c>
      <c r="B181" s="81">
        <f>'ERROR FINAL'!D184</f>
        <v/>
      </c>
      <c r="C181" s="314">
        <f>'ERROR FINAL'!G184</f>
        <v/>
      </c>
      <c r="D181" s="83">
        <f>'ERROR FINAL'!I184</f>
        <v/>
      </c>
      <c r="E181" s="315">
        <f>'ERROR FINAL'!U184</f>
        <v/>
      </c>
      <c r="F181" s="316">
        <f>'ERROR FINAL'!AG184</f>
        <v/>
      </c>
      <c r="G181" s="316">
        <f>'ERROR FINAL'!AS184</f>
        <v/>
      </c>
      <c r="H181" s="86">
        <f>IF('ERROR FINAL'!AT184="CONFORME","CONFORME","NO CONFORME")</f>
        <v/>
      </c>
      <c r="I181" s="87">
        <f>IF(D181=0,"Medición",IF(D181=1,"Daño físico",IF(D181=2,"Fuga",IF(D181=3,"Picado",IF(D181=4,"Desfasado",IF(D181=5,"Paralizado","¿?"))))))</f>
        <v/>
      </c>
    </row>
    <row r="182">
      <c r="A182" s="80">
        <f>'ERROR FINAL'!A185</f>
        <v/>
      </c>
      <c r="B182" s="81">
        <f>'ERROR FINAL'!D185</f>
        <v/>
      </c>
      <c r="C182" s="314">
        <f>'ERROR FINAL'!G185</f>
        <v/>
      </c>
      <c r="D182" s="83">
        <f>'ERROR FINAL'!I185</f>
        <v/>
      </c>
      <c r="E182" s="315">
        <f>'ERROR FINAL'!U185</f>
        <v/>
      </c>
      <c r="F182" s="316">
        <f>'ERROR FINAL'!AG185</f>
        <v/>
      </c>
      <c r="G182" s="316">
        <f>'ERROR FINAL'!AS185</f>
        <v/>
      </c>
      <c r="H182" s="86">
        <f>IF('ERROR FINAL'!AT185="CONFORME","CONFORME","NO CONFORME")</f>
        <v/>
      </c>
      <c r="I182" s="87">
        <f>IF(D182=0,"Medición",IF(D182=1,"Daño físico",IF(D182=2,"Fuga",IF(D182=3,"Picado",IF(D182=4,"Desfasado",IF(D182=5,"Paralizado","¿?"))))))</f>
        <v/>
      </c>
    </row>
    <row r="183">
      <c r="A183" s="80">
        <f>'ERROR FINAL'!A186</f>
        <v/>
      </c>
      <c r="B183" s="81">
        <f>'ERROR FINAL'!D186</f>
        <v/>
      </c>
      <c r="C183" s="314">
        <f>'ERROR FINAL'!G186</f>
        <v/>
      </c>
      <c r="D183" s="83">
        <f>'ERROR FINAL'!I186</f>
        <v/>
      </c>
      <c r="E183" s="315">
        <f>'ERROR FINAL'!U186</f>
        <v/>
      </c>
      <c r="F183" s="316">
        <f>'ERROR FINAL'!AG186</f>
        <v/>
      </c>
      <c r="G183" s="316">
        <f>'ERROR FINAL'!AS186</f>
        <v/>
      </c>
      <c r="H183" s="86">
        <f>IF('ERROR FINAL'!AT186="CONFORME","CONFORME","NO CONFORME")</f>
        <v/>
      </c>
      <c r="I183" s="87">
        <f>IF(D183=0,"Medición",IF(D183=1,"Daño físico",IF(D183=2,"Fuga",IF(D183=3,"Picado",IF(D183=4,"Desfasado",IF(D183=5,"Paralizado","¿?"))))))</f>
        <v/>
      </c>
    </row>
    <row r="184">
      <c r="A184" s="80">
        <f>'ERROR FINAL'!A187</f>
        <v/>
      </c>
      <c r="B184" s="81">
        <f>'ERROR FINAL'!D187</f>
        <v/>
      </c>
      <c r="C184" s="314">
        <f>'ERROR FINAL'!G187</f>
        <v/>
      </c>
      <c r="D184" s="83">
        <f>'ERROR FINAL'!I187</f>
        <v/>
      </c>
      <c r="E184" s="315">
        <f>'ERROR FINAL'!U187</f>
        <v/>
      </c>
      <c r="F184" s="316">
        <f>'ERROR FINAL'!AG187</f>
        <v/>
      </c>
      <c r="G184" s="316">
        <f>'ERROR FINAL'!AS187</f>
        <v/>
      </c>
      <c r="H184" s="86">
        <f>IF('ERROR FINAL'!AT187="CONFORME","CONFORME","NO CONFORME")</f>
        <v/>
      </c>
      <c r="I184" s="87">
        <f>IF(D184=0,"Medición",IF(D184=1,"Daño físico",IF(D184=2,"Fuga",IF(D184=3,"Picado",IF(D184=4,"Desfasado",IF(D184=5,"Paralizado","¿?"))))))</f>
        <v/>
      </c>
    </row>
    <row r="185">
      <c r="A185" s="80">
        <f>'ERROR FINAL'!A188</f>
        <v/>
      </c>
      <c r="B185" s="81">
        <f>'ERROR FINAL'!D188</f>
        <v/>
      </c>
      <c r="C185" s="314">
        <f>'ERROR FINAL'!G188</f>
        <v/>
      </c>
      <c r="D185" s="83">
        <f>'ERROR FINAL'!I188</f>
        <v/>
      </c>
      <c r="E185" s="315">
        <f>'ERROR FINAL'!U188</f>
        <v/>
      </c>
      <c r="F185" s="316">
        <f>'ERROR FINAL'!AG188</f>
        <v/>
      </c>
      <c r="G185" s="316">
        <f>'ERROR FINAL'!AS188</f>
        <v/>
      </c>
      <c r="H185" s="86">
        <f>IF('ERROR FINAL'!AT188="CONFORME","CONFORME","NO CONFORME")</f>
        <v/>
      </c>
      <c r="I185" s="87">
        <f>IF(D185=0,"Medición",IF(D185=1,"Daño físico",IF(D185=2,"Fuga",IF(D185=3,"Picado",IF(D185=4,"Desfasado",IF(D185=5,"Paralizado","¿?"))))))</f>
        <v/>
      </c>
    </row>
    <row r="186">
      <c r="A186" s="80">
        <f>'ERROR FINAL'!A189</f>
        <v/>
      </c>
      <c r="B186" s="81">
        <f>'ERROR FINAL'!D189</f>
        <v/>
      </c>
      <c r="C186" s="314">
        <f>'ERROR FINAL'!G189</f>
        <v/>
      </c>
      <c r="D186" s="83">
        <f>'ERROR FINAL'!I189</f>
        <v/>
      </c>
      <c r="E186" s="315">
        <f>'ERROR FINAL'!U189</f>
        <v/>
      </c>
      <c r="F186" s="316">
        <f>'ERROR FINAL'!AG189</f>
        <v/>
      </c>
      <c r="G186" s="316">
        <f>'ERROR FINAL'!AS189</f>
        <v/>
      </c>
      <c r="H186" s="86">
        <f>IF('ERROR FINAL'!AT189="CONFORME","CONFORME","NO CONFORME")</f>
        <v/>
      </c>
      <c r="I186" s="87">
        <f>IF(D186=0,"Medición",IF(D186=1,"Daño físico",IF(D186=2,"Fuga",IF(D186=3,"Picado",IF(D186=4,"Desfasado",IF(D186=5,"Paralizado","¿?"))))))</f>
        <v/>
      </c>
    </row>
    <row r="187">
      <c r="A187" s="80">
        <f>'ERROR FINAL'!A190</f>
        <v/>
      </c>
      <c r="B187" s="81">
        <f>'ERROR FINAL'!D190</f>
        <v/>
      </c>
      <c r="C187" s="314">
        <f>'ERROR FINAL'!G190</f>
        <v/>
      </c>
      <c r="D187" s="83">
        <f>'ERROR FINAL'!I190</f>
        <v/>
      </c>
      <c r="E187" s="315">
        <f>'ERROR FINAL'!U190</f>
        <v/>
      </c>
      <c r="F187" s="316">
        <f>'ERROR FINAL'!AG190</f>
        <v/>
      </c>
      <c r="G187" s="316">
        <f>'ERROR FINAL'!AS190</f>
        <v/>
      </c>
      <c r="H187" s="86">
        <f>IF('ERROR FINAL'!AT190="CONFORME","CONFORME","NO CONFORME")</f>
        <v/>
      </c>
      <c r="I187" s="87">
        <f>IF(D187=0,"Medición",IF(D187=1,"Daño físico",IF(D187=2,"Fuga",IF(D187=3,"Picado",IF(D187=4,"Desfasado",IF(D187=5,"Paralizado","¿?"))))))</f>
        <v/>
      </c>
    </row>
    <row r="188">
      <c r="A188" s="80">
        <f>'ERROR FINAL'!A191</f>
        <v/>
      </c>
      <c r="B188" s="81">
        <f>'ERROR FINAL'!D191</f>
        <v/>
      </c>
      <c r="C188" s="314">
        <f>'ERROR FINAL'!G191</f>
        <v/>
      </c>
      <c r="D188" s="83">
        <f>'ERROR FINAL'!I191</f>
        <v/>
      </c>
      <c r="E188" s="315">
        <f>'ERROR FINAL'!U191</f>
        <v/>
      </c>
      <c r="F188" s="316">
        <f>'ERROR FINAL'!AG191</f>
        <v/>
      </c>
      <c r="G188" s="316">
        <f>'ERROR FINAL'!AS191</f>
        <v/>
      </c>
      <c r="H188" s="86">
        <f>IF('ERROR FINAL'!AT191="CONFORME","CONFORME","NO CONFORME")</f>
        <v/>
      </c>
      <c r="I188" s="87">
        <f>IF(D188=0,"Medición",IF(D188=1,"Daño físico",IF(D188=2,"Fuga",IF(D188=3,"Picado",IF(D188=4,"Desfasado",IF(D188=5,"Paralizado","¿?"))))))</f>
        <v/>
      </c>
    </row>
    <row r="189">
      <c r="A189" s="80">
        <f>'ERROR FINAL'!A192</f>
        <v/>
      </c>
      <c r="B189" s="81">
        <f>'ERROR FINAL'!D192</f>
        <v/>
      </c>
      <c r="C189" s="314">
        <f>'ERROR FINAL'!G192</f>
        <v/>
      </c>
      <c r="D189" s="83">
        <f>'ERROR FINAL'!I192</f>
        <v/>
      </c>
      <c r="E189" s="315">
        <f>'ERROR FINAL'!U192</f>
        <v/>
      </c>
      <c r="F189" s="316">
        <f>'ERROR FINAL'!AG192</f>
        <v/>
      </c>
      <c r="G189" s="316">
        <f>'ERROR FINAL'!AS192</f>
        <v/>
      </c>
      <c r="H189" s="86">
        <f>IF('ERROR FINAL'!AT192="CONFORME","CONFORME","NO CONFORME")</f>
        <v/>
      </c>
      <c r="I189" s="87">
        <f>IF(D189=0,"Medición",IF(D189=1,"Daño físico",IF(D189=2,"Fuga",IF(D189=3,"Picado",IF(D189=4,"Desfasado",IF(D189=5,"Paralizado","¿?"))))))</f>
        <v/>
      </c>
    </row>
    <row r="190">
      <c r="A190" s="80">
        <f>'ERROR FINAL'!A193</f>
        <v/>
      </c>
      <c r="B190" s="81">
        <f>'ERROR FINAL'!D193</f>
        <v/>
      </c>
      <c r="C190" s="314">
        <f>'ERROR FINAL'!G193</f>
        <v/>
      </c>
      <c r="D190" s="83">
        <f>'ERROR FINAL'!I193</f>
        <v/>
      </c>
      <c r="E190" s="315">
        <f>'ERROR FINAL'!U193</f>
        <v/>
      </c>
      <c r="F190" s="316">
        <f>'ERROR FINAL'!AG193</f>
        <v/>
      </c>
      <c r="G190" s="316">
        <f>'ERROR FINAL'!AS193</f>
        <v/>
      </c>
      <c r="H190" s="86">
        <f>IF('ERROR FINAL'!AT193="CONFORME","CONFORME","NO CONFORME")</f>
        <v/>
      </c>
      <c r="I190" s="87">
        <f>IF(D190=0,"Medición",IF(D190=1,"Daño físico",IF(D190=2,"Fuga",IF(D190=3,"Picado",IF(D190=4,"Desfasado",IF(D190=5,"Paralizado","¿?"))))))</f>
        <v/>
      </c>
    </row>
    <row r="191">
      <c r="A191" s="80">
        <f>'ERROR FINAL'!A194</f>
        <v/>
      </c>
      <c r="B191" s="81">
        <f>'ERROR FINAL'!D194</f>
        <v/>
      </c>
      <c r="C191" s="314">
        <f>'ERROR FINAL'!G194</f>
        <v/>
      </c>
      <c r="D191" s="83">
        <f>'ERROR FINAL'!I194</f>
        <v/>
      </c>
      <c r="E191" s="315">
        <f>'ERROR FINAL'!U194</f>
        <v/>
      </c>
      <c r="F191" s="316">
        <f>'ERROR FINAL'!AG194</f>
        <v/>
      </c>
      <c r="G191" s="316">
        <f>'ERROR FINAL'!AS194</f>
        <v/>
      </c>
      <c r="H191" s="86">
        <f>IF('ERROR FINAL'!AT194="CONFORME","CONFORME","NO CONFORME")</f>
        <v/>
      </c>
      <c r="I191" s="87">
        <f>IF(D191=0,"Medición",IF(D191=1,"Daño físico",IF(D191=2,"Fuga",IF(D191=3,"Picado",IF(D191=4,"Desfasado",IF(D191=5,"Paralizado","¿?"))))))</f>
        <v/>
      </c>
    </row>
    <row r="192">
      <c r="A192" s="80">
        <f>'ERROR FINAL'!A195</f>
        <v/>
      </c>
      <c r="B192" s="81">
        <f>'ERROR FINAL'!D195</f>
        <v/>
      </c>
      <c r="C192" s="314">
        <f>'ERROR FINAL'!G195</f>
        <v/>
      </c>
      <c r="D192" s="83">
        <f>'ERROR FINAL'!I195</f>
        <v/>
      </c>
      <c r="E192" s="315">
        <f>'ERROR FINAL'!U195</f>
        <v/>
      </c>
      <c r="F192" s="316">
        <f>'ERROR FINAL'!AG195</f>
        <v/>
      </c>
      <c r="G192" s="316">
        <f>'ERROR FINAL'!AS195</f>
        <v/>
      </c>
      <c r="H192" s="86">
        <f>IF('ERROR FINAL'!AT195="CONFORME","CONFORME","NO CONFORME")</f>
        <v/>
      </c>
      <c r="I192" s="87">
        <f>IF(D192=0,"Medición",IF(D192=1,"Daño físico",IF(D192=2,"Fuga",IF(D192=3,"Picado",IF(D192=4,"Desfasado",IF(D192=5,"Paralizado","¿?"))))))</f>
        <v/>
      </c>
    </row>
    <row r="193">
      <c r="A193" s="80">
        <f>'ERROR FINAL'!A196</f>
        <v/>
      </c>
      <c r="B193" s="81">
        <f>'ERROR FINAL'!D196</f>
        <v/>
      </c>
      <c r="C193" s="314">
        <f>'ERROR FINAL'!G196</f>
        <v/>
      </c>
      <c r="D193" s="83">
        <f>'ERROR FINAL'!I196</f>
        <v/>
      </c>
      <c r="E193" s="315">
        <f>'ERROR FINAL'!U196</f>
        <v/>
      </c>
      <c r="F193" s="316">
        <f>'ERROR FINAL'!AG196</f>
        <v/>
      </c>
      <c r="G193" s="316">
        <f>'ERROR FINAL'!AS196</f>
        <v/>
      </c>
      <c r="H193" s="86">
        <f>IF('ERROR FINAL'!AT196="CONFORME","CONFORME","NO CONFORME")</f>
        <v/>
      </c>
      <c r="I193" s="87">
        <f>IF(D193=0,"Medición",IF(D193=1,"Daño físico",IF(D193=2,"Fuga",IF(D193=3,"Picado",IF(D193=4,"Desfasado",IF(D193=5,"Paralizado","¿?"))))))</f>
        <v/>
      </c>
    </row>
    <row r="194">
      <c r="A194" s="80">
        <f>'ERROR FINAL'!A197</f>
        <v/>
      </c>
      <c r="B194" s="81">
        <f>'ERROR FINAL'!D197</f>
        <v/>
      </c>
      <c r="C194" s="314">
        <f>'ERROR FINAL'!G197</f>
        <v/>
      </c>
      <c r="D194" s="83">
        <f>'ERROR FINAL'!I197</f>
        <v/>
      </c>
      <c r="E194" s="315">
        <f>'ERROR FINAL'!U197</f>
        <v/>
      </c>
      <c r="F194" s="316">
        <f>'ERROR FINAL'!AG197</f>
        <v/>
      </c>
      <c r="G194" s="316">
        <f>'ERROR FINAL'!AS197</f>
        <v/>
      </c>
      <c r="H194" s="86">
        <f>IF('ERROR FINAL'!AT197="CONFORME","CONFORME","NO CONFORME")</f>
        <v/>
      </c>
      <c r="I194" s="87">
        <f>IF(D194=0,"Medición",IF(D194=1,"Daño físico",IF(D194=2,"Fuga",IF(D194=3,"Picado",IF(D194=4,"Desfasado",IF(D194=5,"Paralizado","¿?"))))))</f>
        <v/>
      </c>
    </row>
    <row r="195">
      <c r="A195" s="80">
        <f>'ERROR FINAL'!A198</f>
        <v/>
      </c>
      <c r="B195" s="81">
        <f>'ERROR FINAL'!D198</f>
        <v/>
      </c>
      <c r="C195" s="314">
        <f>'ERROR FINAL'!G198</f>
        <v/>
      </c>
      <c r="D195" s="83">
        <f>'ERROR FINAL'!I198</f>
        <v/>
      </c>
      <c r="E195" s="315">
        <f>'ERROR FINAL'!U198</f>
        <v/>
      </c>
      <c r="F195" s="316">
        <f>'ERROR FINAL'!AG198</f>
        <v/>
      </c>
      <c r="G195" s="316">
        <f>'ERROR FINAL'!AS198</f>
        <v/>
      </c>
      <c r="H195" s="86">
        <f>IF('ERROR FINAL'!AT198="CONFORME","CONFORME","NO CONFORME")</f>
        <v/>
      </c>
      <c r="I195" s="87">
        <f>IF(D195=0,"Medición",IF(D195=1,"Daño físico",IF(D195=2,"Fuga",IF(D195=3,"Picado",IF(D195=4,"Desfasado",IF(D195=5,"Paralizado","¿?"))))))</f>
        <v/>
      </c>
    </row>
    <row r="196">
      <c r="A196" s="80">
        <f>'ERROR FINAL'!A199</f>
        <v/>
      </c>
      <c r="B196" s="81">
        <f>'ERROR FINAL'!D199</f>
        <v/>
      </c>
      <c r="C196" s="314">
        <f>'ERROR FINAL'!G199</f>
        <v/>
      </c>
      <c r="D196" s="83">
        <f>'ERROR FINAL'!I199</f>
        <v/>
      </c>
      <c r="E196" s="315">
        <f>'ERROR FINAL'!U199</f>
        <v/>
      </c>
      <c r="F196" s="316">
        <f>'ERROR FINAL'!AG199</f>
        <v/>
      </c>
      <c r="G196" s="316">
        <f>'ERROR FINAL'!AS199</f>
        <v/>
      </c>
      <c r="H196" s="86">
        <f>IF('ERROR FINAL'!AT199="CONFORME","CONFORME","NO CONFORME")</f>
        <v/>
      </c>
      <c r="I196" s="87">
        <f>IF(D196=0,"Medición",IF(D196=1,"Daño físico",IF(D196=2,"Fuga",IF(D196=3,"Picado",IF(D196=4,"Desfasado",IF(D196=5,"Paralizado","¿?"))))))</f>
        <v/>
      </c>
    </row>
    <row r="197">
      <c r="A197" s="80">
        <f>'ERROR FINAL'!A200</f>
        <v/>
      </c>
      <c r="B197" s="81">
        <f>'ERROR FINAL'!D200</f>
        <v/>
      </c>
      <c r="C197" s="314">
        <f>'ERROR FINAL'!G200</f>
        <v/>
      </c>
      <c r="D197" s="83">
        <f>'ERROR FINAL'!I200</f>
        <v/>
      </c>
      <c r="E197" s="315">
        <f>'ERROR FINAL'!U200</f>
        <v/>
      </c>
      <c r="F197" s="316">
        <f>'ERROR FINAL'!AG200</f>
        <v/>
      </c>
      <c r="G197" s="316">
        <f>'ERROR FINAL'!AS200</f>
        <v/>
      </c>
      <c r="H197" s="86">
        <f>IF('ERROR FINAL'!AT200="CONFORME","CONFORME","NO CONFORME")</f>
        <v/>
      </c>
      <c r="I197" s="87">
        <f>IF(D197=0,"Medición",IF(D197=1,"Daño físico",IF(D197=2,"Fuga",IF(D197=3,"Picado",IF(D197=4,"Desfasado",IF(D197=5,"Paralizado","¿?"))))))</f>
        <v/>
      </c>
    </row>
    <row r="198">
      <c r="A198" s="80">
        <f>'ERROR FINAL'!A201</f>
        <v/>
      </c>
      <c r="B198" s="81">
        <f>'ERROR FINAL'!D201</f>
        <v/>
      </c>
      <c r="C198" s="314">
        <f>'ERROR FINAL'!G201</f>
        <v/>
      </c>
      <c r="D198" s="83">
        <f>'ERROR FINAL'!I201</f>
        <v/>
      </c>
      <c r="E198" s="315">
        <f>'ERROR FINAL'!U201</f>
        <v/>
      </c>
      <c r="F198" s="316">
        <f>'ERROR FINAL'!AG201</f>
        <v/>
      </c>
      <c r="G198" s="316">
        <f>'ERROR FINAL'!AS201</f>
        <v/>
      </c>
      <c r="H198" s="86">
        <f>IF('ERROR FINAL'!AT201="CONFORME","CONFORME","NO CONFORME")</f>
        <v/>
      </c>
      <c r="I198" s="87">
        <f>IF(D198=0,"Medición",IF(D198=1,"Daño físico",IF(D198=2,"Fuga",IF(D198=3,"Picado",IF(D198=4,"Desfasado",IF(D198=5,"Paralizado","¿?"))))))</f>
        <v/>
      </c>
    </row>
    <row r="199">
      <c r="A199" s="80">
        <f>'ERROR FINAL'!A202</f>
        <v/>
      </c>
      <c r="B199" s="81">
        <f>'ERROR FINAL'!D202</f>
        <v/>
      </c>
      <c r="C199" s="314">
        <f>'ERROR FINAL'!G202</f>
        <v/>
      </c>
      <c r="D199" s="83">
        <f>'ERROR FINAL'!I202</f>
        <v/>
      </c>
      <c r="E199" s="315">
        <f>'ERROR FINAL'!U202</f>
        <v/>
      </c>
      <c r="F199" s="316">
        <f>'ERROR FINAL'!AG202</f>
        <v/>
      </c>
      <c r="G199" s="316">
        <f>'ERROR FINAL'!AS202</f>
        <v/>
      </c>
      <c r="H199" s="86">
        <f>IF('ERROR FINAL'!AT202="CONFORME","CONFORME","NO CONFORME")</f>
        <v/>
      </c>
      <c r="I199" s="87">
        <f>IF(D199=0,"Medición",IF(D199=1,"Daño físico",IF(D199=2,"Fuga",IF(D199=3,"Picado",IF(D199=4,"Desfasado",IF(D199=5,"Paralizado","¿?"))))))</f>
        <v/>
      </c>
    </row>
    <row r="200">
      <c r="A200" s="80">
        <f>'ERROR FINAL'!A203</f>
        <v/>
      </c>
      <c r="B200" s="81">
        <f>'ERROR FINAL'!D203</f>
        <v/>
      </c>
      <c r="C200" s="314">
        <f>'ERROR FINAL'!G203</f>
        <v/>
      </c>
      <c r="D200" s="83">
        <f>'ERROR FINAL'!I203</f>
        <v/>
      </c>
      <c r="E200" s="315">
        <f>'ERROR FINAL'!U203</f>
        <v/>
      </c>
      <c r="F200" s="316">
        <f>'ERROR FINAL'!AG203</f>
        <v/>
      </c>
      <c r="G200" s="316">
        <f>'ERROR FINAL'!AS203</f>
        <v/>
      </c>
      <c r="H200" s="86">
        <f>IF('ERROR FINAL'!AT203="CONFORME","CONFORME","NO CONFORME")</f>
        <v/>
      </c>
      <c r="I200" s="87">
        <f>IF(D200=0,"Medición",IF(D200=1,"Daño físico",IF(D200=2,"Fuga",IF(D200=3,"Picado",IF(D200=4,"Desfasado",IF(D200=5,"Paralizado","¿?"))))))</f>
        <v/>
      </c>
    </row>
    <row r="201">
      <c r="A201" s="80">
        <f>'ERROR FINAL'!A204</f>
        <v/>
      </c>
      <c r="B201" s="81">
        <f>'ERROR FINAL'!D204</f>
        <v/>
      </c>
      <c r="C201" s="314">
        <f>'ERROR FINAL'!G204</f>
        <v/>
      </c>
      <c r="D201" s="83">
        <f>'ERROR FINAL'!I204</f>
        <v/>
      </c>
      <c r="E201" s="315">
        <f>'ERROR FINAL'!U204</f>
        <v/>
      </c>
      <c r="F201" s="316">
        <f>'ERROR FINAL'!AG204</f>
        <v/>
      </c>
      <c r="G201" s="316">
        <f>'ERROR FINAL'!AS204</f>
        <v/>
      </c>
      <c r="H201" s="86">
        <f>IF('ERROR FINAL'!AT204="CONFORME","CONFORME","NO CONFORME")</f>
        <v/>
      </c>
      <c r="I201" s="87">
        <f>IF(D201=0,"Medición",IF(D201=1,"Daño físico",IF(D201=2,"Fuga",IF(D201=3,"Picado",IF(D201=4,"Desfasado",IF(D201=5,"Paralizado","¿?"))))))</f>
        <v/>
      </c>
    </row>
    <row r="202">
      <c r="A202" s="80">
        <f>'ERROR FINAL'!A205</f>
        <v/>
      </c>
      <c r="B202" s="81">
        <f>'ERROR FINAL'!D205</f>
        <v/>
      </c>
      <c r="C202" s="314">
        <f>'ERROR FINAL'!G205</f>
        <v/>
      </c>
      <c r="D202" s="83">
        <f>'ERROR FINAL'!I205</f>
        <v/>
      </c>
      <c r="E202" s="315">
        <f>'ERROR FINAL'!U205</f>
        <v/>
      </c>
      <c r="F202" s="316">
        <f>'ERROR FINAL'!AG205</f>
        <v/>
      </c>
      <c r="G202" s="316">
        <f>'ERROR FINAL'!AS205</f>
        <v/>
      </c>
      <c r="H202" s="86">
        <f>IF('ERROR FINAL'!AT205="CONFORME","CONFORME","NO CONFORME")</f>
        <v/>
      </c>
      <c r="I202" s="87">
        <f>IF(D202=0,"Medición",IF(D202=1,"Daño físico",IF(D202=2,"Fuga",IF(D202=3,"Picado",IF(D202=4,"Desfasado",IF(D202=5,"Paralizado","¿?"))))))</f>
        <v/>
      </c>
    </row>
    <row r="203">
      <c r="A203" s="80">
        <f>'ERROR FINAL'!A206</f>
        <v/>
      </c>
      <c r="B203" s="81">
        <f>'ERROR FINAL'!D206</f>
        <v/>
      </c>
      <c r="C203" s="314">
        <f>'ERROR FINAL'!G206</f>
        <v/>
      </c>
      <c r="D203" s="83">
        <f>'ERROR FINAL'!I206</f>
        <v/>
      </c>
      <c r="E203" s="315">
        <f>'ERROR FINAL'!U206</f>
        <v/>
      </c>
      <c r="F203" s="316">
        <f>'ERROR FINAL'!AG206</f>
        <v/>
      </c>
      <c r="G203" s="316">
        <f>'ERROR FINAL'!AS206</f>
        <v/>
      </c>
      <c r="H203" s="86">
        <f>IF('ERROR FINAL'!AT206="CONFORME","CONFORME","NO CONFORME")</f>
        <v/>
      </c>
      <c r="I203" s="87">
        <f>IF(D203=0,"Medición",IF(D203=1,"Daño físico",IF(D203=2,"Fuga",IF(D203=3,"Picado",IF(D203=4,"Desfasado",IF(D203=5,"Paralizado","¿?"))))))</f>
        <v/>
      </c>
    </row>
    <row r="204">
      <c r="A204" s="80">
        <f>'ERROR FINAL'!A207</f>
        <v/>
      </c>
      <c r="B204" s="81">
        <f>'ERROR FINAL'!D207</f>
        <v/>
      </c>
      <c r="C204" s="314">
        <f>'ERROR FINAL'!G207</f>
        <v/>
      </c>
      <c r="D204" s="83">
        <f>'ERROR FINAL'!I207</f>
        <v/>
      </c>
      <c r="E204" s="315">
        <f>'ERROR FINAL'!U207</f>
        <v/>
      </c>
      <c r="F204" s="316">
        <f>'ERROR FINAL'!AG207</f>
        <v/>
      </c>
      <c r="G204" s="316">
        <f>'ERROR FINAL'!AS207</f>
        <v/>
      </c>
      <c r="H204" s="86">
        <f>IF('ERROR FINAL'!AT207="CONFORME","CONFORME","NO CONFORME")</f>
        <v/>
      </c>
      <c r="I204" s="87">
        <f>IF(D204=0,"Medición",IF(D204=1,"Daño físico",IF(D204=2,"Fuga",IF(D204=3,"Picado",IF(D204=4,"Desfasado",IF(D204=5,"Paralizado","¿?"))))))</f>
        <v/>
      </c>
    </row>
    <row r="205">
      <c r="A205" s="80">
        <f>'ERROR FINAL'!A208</f>
        <v/>
      </c>
      <c r="B205" s="81">
        <f>'ERROR FINAL'!D208</f>
        <v/>
      </c>
      <c r="C205" s="314">
        <f>'ERROR FINAL'!G208</f>
        <v/>
      </c>
      <c r="D205" s="83">
        <f>'ERROR FINAL'!I208</f>
        <v/>
      </c>
      <c r="E205" s="315">
        <f>'ERROR FINAL'!U208</f>
        <v/>
      </c>
      <c r="F205" s="316">
        <f>'ERROR FINAL'!AG208</f>
        <v/>
      </c>
      <c r="G205" s="316">
        <f>'ERROR FINAL'!AS208</f>
        <v/>
      </c>
      <c r="H205" s="86">
        <f>IF('ERROR FINAL'!AT208="CONFORME","CONFORME","NO CONFORME")</f>
        <v/>
      </c>
      <c r="I205" s="87">
        <f>IF(D205=0,"Medición",IF(D205=1,"Daño físico",IF(D205=2,"Fuga",IF(D205=3,"Picado",IF(D205=4,"Desfasado",IF(D205=5,"Paralizado","¿?"))))))</f>
        <v/>
      </c>
    </row>
    <row r="206">
      <c r="A206" s="80">
        <f>'ERROR FINAL'!A209</f>
        <v/>
      </c>
      <c r="B206" s="81">
        <f>'ERROR FINAL'!D209</f>
        <v/>
      </c>
      <c r="C206" s="314">
        <f>'ERROR FINAL'!G209</f>
        <v/>
      </c>
      <c r="D206" s="83">
        <f>'ERROR FINAL'!I209</f>
        <v/>
      </c>
      <c r="E206" s="315">
        <f>'ERROR FINAL'!U209</f>
        <v/>
      </c>
      <c r="F206" s="316">
        <f>'ERROR FINAL'!AG209</f>
        <v/>
      </c>
      <c r="G206" s="316">
        <f>'ERROR FINAL'!AS209</f>
        <v/>
      </c>
      <c r="H206" s="86">
        <f>IF('ERROR FINAL'!AT209="CONFORME","CONFORME","NO CONFORME")</f>
        <v/>
      </c>
      <c r="I206" s="87">
        <f>IF(D206=0,"Medición",IF(D206=1,"Daño físico",IF(D206=2,"Fuga",IF(D206=3,"Picado",IF(D206=4,"Desfasado",IF(D206=5,"Paralizado","¿?"))))))</f>
        <v/>
      </c>
    </row>
    <row r="207">
      <c r="A207" s="80">
        <f>'ERROR FINAL'!A210</f>
        <v/>
      </c>
      <c r="B207" s="81">
        <f>'ERROR FINAL'!D210</f>
        <v/>
      </c>
      <c r="C207" s="314">
        <f>'ERROR FINAL'!G210</f>
        <v/>
      </c>
      <c r="D207" s="83">
        <f>'ERROR FINAL'!I210</f>
        <v/>
      </c>
      <c r="E207" s="315">
        <f>'ERROR FINAL'!U210</f>
        <v/>
      </c>
      <c r="F207" s="316">
        <f>'ERROR FINAL'!AG210</f>
        <v/>
      </c>
      <c r="G207" s="316">
        <f>'ERROR FINAL'!AS210</f>
        <v/>
      </c>
      <c r="H207" s="86">
        <f>IF('ERROR FINAL'!AT210="CONFORME","CONFORME","NO CONFORME")</f>
        <v/>
      </c>
      <c r="I207" s="87">
        <f>IF(D207=0,"Medición",IF(D207=1,"Daño físico",IF(D207=2,"Fuga",IF(D207=3,"Picado",IF(D207=4,"Desfasado",IF(D207=5,"Paralizado","¿?"))))))</f>
        <v/>
      </c>
    </row>
    <row r="208">
      <c r="A208" s="80">
        <f>'ERROR FINAL'!A211</f>
        <v/>
      </c>
      <c r="B208" s="81">
        <f>'ERROR FINAL'!D211</f>
        <v/>
      </c>
      <c r="C208" s="314">
        <f>'ERROR FINAL'!G211</f>
        <v/>
      </c>
      <c r="D208" s="83">
        <f>'ERROR FINAL'!I211</f>
        <v/>
      </c>
      <c r="E208" s="315">
        <f>'ERROR FINAL'!U211</f>
        <v/>
      </c>
      <c r="F208" s="316">
        <f>'ERROR FINAL'!AG211</f>
        <v/>
      </c>
      <c r="G208" s="316">
        <f>'ERROR FINAL'!AS211</f>
        <v/>
      </c>
      <c r="H208" s="86">
        <f>IF('ERROR FINAL'!AT211="CONFORME","CONFORME","NO CONFORME")</f>
        <v/>
      </c>
      <c r="I208" s="87">
        <f>IF(D208=0,"Medición",IF(D208=1,"Daño físico",IF(D208=2,"Fuga",IF(D208=3,"Picado",IF(D208=4,"Desfasado",IF(D208=5,"Paralizado","¿?"))))))</f>
        <v/>
      </c>
    </row>
    <row r="209">
      <c r="A209" s="80">
        <f>'ERROR FINAL'!A212</f>
        <v/>
      </c>
      <c r="B209" s="81">
        <f>'ERROR FINAL'!D212</f>
        <v/>
      </c>
      <c r="C209" s="314">
        <f>'ERROR FINAL'!G212</f>
        <v/>
      </c>
      <c r="D209" s="83">
        <f>'ERROR FINAL'!I212</f>
        <v/>
      </c>
      <c r="E209" s="315">
        <f>'ERROR FINAL'!U212</f>
        <v/>
      </c>
      <c r="F209" s="316">
        <f>'ERROR FINAL'!AG212</f>
        <v/>
      </c>
      <c r="G209" s="316">
        <f>'ERROR FINAL'!AS212</f>
        <v/>
      </c>
      <c r="H209" s="86">
        <f>IF('ERROR FINAL'!AT212="CONFORME","CONFORME","NO CONFORME")</f>
        <v/>
      </c>
      <c r="I209" s="87">
        <f>IF(D209=0,"Medición",IF(D209=1,"Daño físico",IF(D209=2,"Fuga",IF(D209=3,"Picado",IF(D209=4,"Desfasado",IF(D209=5,"Paralizado","¿?"))))))</f>
        <v/>
      </c>
    </row>
    <row r="210">
      <c r="A210" s="80">
        <f>'ERROR FINAL'!A213</f>
        <v/>
      </c>
      <c r="B210" s="81">
        <f>'ERROR FINAL'!D213</f>
        <v/>
      </c>
      <c r="C210" s="314">
        <f>'ERROR FINAL'!G213</f>
        <v/>
      </c>
      <c r="D210" s="83">
        <f>'ERROR FINAL'!I213</f>
        <v/>
      </c>
      <c r="E210" s="315">
        <f>'ERROR FINAL'!U213</f>
        <v/>
      </c>
      <c r="F210" s="316">
        <f>'ERROR FINAL'!AG213</f>
        <v/>
      </c>
      <c r="G210" s="316">
        <f>'ERROR FINAL'!AS213</f>
        <v/>
      </c>
      <c r="H210" s="86">
        <f>IF('ERROR FINAL'!AT213="CONFORME","CONFORME","NO CONFORME")</f>
        <v/>
      </c>
      <c r="I210" s="87">
        <f>IF(D210=0,"Medición",IF(D210=1,"Daño físico",IF(D210=2,"Fuga",IF(D210=3,"Picado",IF(D210=4,"Desfasado",IF(D210=5,"Paralizado","¿?"))))))</f>
        <v/>
      </c>
    </row>
    <row r="211">
      <c r="A211" s="80">
        <f>'ERROR FINAL'!A214</f>
        <v/>
      </c>
      <c r="B211" s="81">
        <f>'ERROR FINAL'!D214</f>
        <v/>
      </c>
      <c r="C211" s="314">
        <f>'ERROR FINAL'!G214</f>
        <v/>
      </c>
      <c r="D211" s="83">
        <f>'ERROR FINAL'!I214</f>
        <v/>
      </c>
      <c r="E211" s="315">
        <f>'ERROR FINAL'!U214</f>
        <v/>
      </c>
      <c r="F211" s="316">
        <f>'ERROR FINAL'!AG214</f>
        <v/>
      </c>
      <c r="G211" s="316">
        <f>'ERROR FINAL'!AS214</f>
        <v/>
      </c>
      <c r="H211" s="86">
        <f>IF('ERROR FINAL'!AT214="CONFORME","CONFORME","NO CONFORME")</f>
        <v/>
      </c>
      <c r="I211" s="87">
        <f>IF(D211=0,"Medición",IF(D211=1,"Daño físico",IF(D211=2,"Fuga",IF(D211=3,"Picado",IF(D211=4,"Desfasado",IF(D211=5,"Paralizado","¿?"))))))</f>
        <v/>
      </c>
    </row>
    <row r="212">
      <c r="A212" s="80">
        <f>'ERROR FINAL'!A215</f>
        <v/>
      </c>
      <c r="B212" s="81">
        <f>'ERROR FINAL'!D215</f>
        <v/>
      </c>
      <c r="C212" s="314">
        <f>'ERROR FINAL'!G215</f>
        <v/>
      </c>
      <c r="D212" s="83">
        <f>'ERROR FINAL'!I215</f>
        <v/>
      </c>
      <c r="E212" s="315">
        <f>'ERROR FINAL'!U215</f>
        <v/>
      </c>
      <c r="F212" s="316">
        <f>'ERROR FINAL'!AG215</f>
        <v/>
      </c>
      <c r="G212" s="316">
        <f>'ERROR FINAL'!AS215</f>
        <v/>
      </c>
      <c r="H212" s="86">
        <f>IF('ERROR FINAL'!AT215="CONFORME","CONFORME","NO CONFORME")</f>
        <v/>
      </c>
      <c r="I212" s="87">
        <f>IF(D212=0,"Medición",IF(D212=1,"Daño físico",IF(D212=2,"Fuga",IF(D212=3,"Picado",IF(D212=4,"Desfasado",IF(D212=5,"Paralizado","¿?"))))))</f>
        <v/>
      </c>
    </row>
    <row r="213">
      <c r="A213" s="80">
        <f>'ERROR FINAL'!A216</f>
        <v/>
      </c>
      <c r="B213" s="81">
        <f>'ERROR FINAL'!D216</f>
        <v/>
      </c>
      <c r="C213" s="314">
        <f>'ERROR FINAL'!G216</f>
        <v/>
      </c>
      <c r="D213" s="83">
        <f>'ERROR FINAL'!I216</f>
        <v/>
      </c>
      <c r="E213" s="315">
        <f>'ERROR FINAL'!U216</f>
        <v/>
      </c>
      <c r="F213" s="316">
        <f>'ERROR FINAL'!AG216</f>
        <v/>
      </c>
      <c r="G213" s="316">
        <f>'ERROR FINAL'!AS216</f>
        <v/>
      </c>
      <c r="H213" s="86">
        <f>IF('ERROR FINAL'!AT216="CONFORME","CONFORME","NO CONFORME")</f>
        <v/>
      </c>
      <c r="I213" s="87">
        <f>IF(D213=0,"Medición",IF(D213=1,"Daño físico",IF(D213=2,"Fuga",IF(D213=3,"Picado",IF(D213=4,"Desfasado",IF(D213=5,"Paralizado","¿?"))))))</f>
        <v/>
      </c>
    </row>
    <row r="214">
      <c r="A214" s="80">
        <f>'ERROR FINAL'!A217</f>
        <v/>
      </c>
      <c r="B214" s="81">
        <f>'ERROR FINAL'!D217</f>
        <v/>
      </c>
      <c r="C214" s="314">
        <f>'ERROR FINAL'!G217</f>
        <v/>
      </c>
      <c r="D214" s="83">
        <f>'ERROR FINAL'!I217</f>
        <v/>
      </c>
      <c r="E214" s="315">
        <f>'ERROR FINAL'!U217</f>
        <v/>
      </c>
      <c r="F214" s="316">
        <f>'ERROR FINAL'!AG217</f>
        <v/>
      </c>
      <c r="G214" s="316">
        <f>'ERROR FINAL'!AS217</f>
        <v/>
      </c>
      <c r="H214" s="86">
        <f>IF('ERROR FINAL'!AT217="CONFORME","CONFORME","NO CONFORME")</f>
        <v/>
      </c>
      <c r="I214" s="87">
        <f>IF(D214=0,"Medición",IF(D214=1,"Daño físico",IF(D214=2,"Fuga",IF(D214=3,"Picado",IF(D214=4,"Desfasado",IF(D214=5,"Paralizado","¿?"))))))</f>
        <v/>
      </c>
    </row>
    <row r="215">
      <c r="A215" s="80">
        <f>'ERROR FINAL'!A218</f>
        <v/>
      </c>
      <c r="B215" s="81">
        <f>'ERROR FINAL'!D218</f>
        <v/>
      </c>
      <c r="C215" s="314">
        <f>'ERROR FINAL'!G218</f>
        <v/>
      </c>
      <c r="D215" s="83">
        <f>'ERROR FINAL'!I218</f>
        <v/>
      </c>
      <c r="E215" s="315">
        <f>'ERROR FINAL'!U218</f>
        <v/>
      </c>
      <c r="F215" s="316">
        <f>'ERROR FINAL'!AG218</f>
        <v/>
      </c>
      <c r="G215" s="316">
        <f>'ERROR FINAL'!AS218</f>
        <v/>
      </c>
      <c r="H215" s="86">
        <f>IF('ERROR FINAL'!AT218="CONFORME","CONFORME","NO CONFORME")</f>
        <v/>
      </c>
      <c r="I215" s="87">
        <f>IF(D215=0,"Medición",IF(D215=1,"Daño físico",IF(D215=2,"Fuga",IF(D215=3,"Picado",IF(D215=4,"Desfasado",IF(D215=5,"Paralizado","¿?"))))))</f>
        <v/>
      </c>
    </row>
    <row r="216">
      <c r="A216" s="80">
        <f>'ERROR FINAL'!A219</f>
        <v/>
      </c>
      <c r="B216" s="81">
        <f>'ERROR FINAL'!D219</f>
        <v/>
      </c>
      <c r="C216" s="314">
        <f>'ERROR FINAL'!G219</f>
        <v/>
      </c>
      <c r="D216" s="83">
        <f>'ERROR FINAL'!I219</f>
        <v/>
      </c>
      <c r="E216" s="315">
        <f>'ERROR FINAL'!U219</f>
        <v/>
      </c>
      <c r="F216" s="316">
        <f>'ERROR FINAL'!AG219</f>
        <v/>
      </c>
      <c r="G216" s="316">
        <f>'ERROR FINAL'!AS219</f>
        <v/>
      </c>
      <c r="H216" s="86">
        <f>IF('ERROR FINAL'!AT219="CONFORME","CONFORME","NO CONFORME")</f>
        <v/>
      </c>
      <c r="I216" s="87">
        <f>IF(D216=0,"Medición",IF(D216=1,"Daño físico",IF(D216=2,"Fuga",IF(D216=3,"Picado",IF(D216=4,"Desfasado",IF(D216=5,"Paralizado","¿?"))))))</f>
        <v/>
      </c>
    </row>
    <row r="217">
      <c r="A217" s="80">
        <f>'ERROR FINAL'!A220</f>
        <v/>
      </c>
      <c r="B217" s="81">
        <f>'ERROR FINAL'!D220</f>
        <v/>
      </c>
      <c r="C217" s="314">
        <f>'ERROR FINAL'!G220</f>
        <v/>
      </c>
      <c r="D217" s="83">
        <f>'ERROR FINAL'!I220</f>
        <v/>
      </c>
      <c r="E217" s="315">
        <f>'ERROR FINAL'!U220</f>
        <v/>
      </c>
      <c r="F217" s="316">
        <f>'ERROR FINAL'!AG220</f>
        <v/>
      </c>
      <c r="G217" s="316">
        <f>'ERROR FINAL'!AS220</f>
        <v/>
      </c>
      <c r="H217" s="86">
        <f>IF('ERROR FINAL'!AT220="CONFORME","CONFORME","NO CONFORME")</f>
        <v/>
      </c>
      <c r="I217" s="87">
        <f>IF(D217=0,"Medición",IF(D217=1,"Daño físico",IF(D217=2,"Fuga",IF(D217=3,"Picado",IF(D217=4,"Desfasado",IF(D217=5,"Paralizado","¿?"))))))</f>
        <v/>
      </c>
    </row>
    <row r="218">
      <c r="A218" s="80">
        <f>'ERROR FINAL'!A221</f>
        <v/>
      </c>
      <c r="B218" s="81">
        <f>'ERROR FINAL'!D221</f>
        <v/>
      </c>
      <c r="C218" s="314">
        <f>'ERROR FINAL'!G221</f>
        <v/>
      </c>
      <c r="D218" s="83">
        <f>'ERROR FINAL'!I221</f>
        <v/>
      </c>
      <c r="E218" s="315">
        <f>'ERROR FINAL'!U221</f>
        <v/>
      </c>
      <c r="F218" s="316">
        <f>'ERROR FINAL'!AG221</f>
        <v/>
      </c>
      <c r="G218" s="316">
        <f>'ERROR FINAL'!AS221</f>
        <v/>
      </c>
      <c r="H218" s="86">
        <f>IF('ERROR FINAL'!AT221="CONFORME","CONFORME","NO CONFORME")</f>
        <v/>
      </c>
      <c r="I218" s="87">
        <f>IF(D218=0,"Medición",IF(D218=1,"Daño físico",IF(D218=2,"Fuga",IF(D218=3,"Picado",IF(D218=4,"Desfasado",IF(D218=5,"Paralizado","¿?"))))))</f>
        <v/>
      </c>
    </row>
    <row r="219">
      <c r="A219" s="80">
        <f>'ERROR FINAL'!A222</f>
        <v/>
      </c>
      <c r="B219" s="81">
        <f>'ERROR FINAL'!D222</f>
        <v/>
      </c>
      <c r="C219" s="314">
        <f>'ERROR FINAL'!G222</f>
        <v/>
      </c>
      <c r="D219" s="83">
        <f>'ERROR FINAL'!I222</f>
        <v/>
      </c>
      <c r="E219" s="315">
        <f>'ERROR FINAL'!U222</f>
        <v/>
      </c>
      <c r="F219" s="316">
        <f>'ERROR FINAL'!AG222</f>
        <v/>
      </c>
      <c r="G219" s="316">
        <f>'ERROR FINAL'!AS222</f>
        <v/>
      </c>
      <c r="H219" s="86">
        <f>IF('ERROR FINAL'!AT222="CONFORME","CONFORME","NO CONFORME")</f>
        <v/>
      </c>
      <c r="I219" s="87">
        <f>IF(D219=0,"Medición",IF(D219=1,"Daño físico",IF(D219=2,"Fuga",IF(D219=3,"Picado",IF(D219=4,"Desfasado",IF(D219=5,"Paralizado","¿?"))))))</f>
        <v/>
      </c>
    </row>
    <row r="220">
      <c r="A220" s="80">
        <f>'ERROR FINAL'!A223</f>
        <v/>
      </c>
      <c r="B220" s="81">
        <f>'ERROR FINAL'!D223</f>
        <v/>
      </c>
      <c r="C220" s="314">
        <f>'ERROR FINAL'!G223</f>
        <v/>
      </c>
      <c r="D220" s="83">
        <f>'ERROR FINAL'!I223</f>
        <v/>
      </c>
      <c r="E220" s="315">
        <f>'ERROR FINAL'!U223</f>
        <v/>
      </c>
      <c r="F220" s="316">
        <f>'ERROR FINAL'!AG223</f>
        <v/>
      </c>
      <c r="G220" s="316">
        <f>'ERROR FINAL'!AS223</f>
        <v/>
      </c>
      <c r="H220" s="86">
        <f>IF('ERROR FINAL'!AT223="CONFORME","CONFORME","NO CONFORME")</f>
        <v/>
      </c>
      <c r="I220" s="87">
        <f>IF(D220=0,"Medición",IF(D220=1,"Daño físico",IF(D220=2,"Fuga",IF(D220=3,"Picado",IF(D220=4,"Desfasado",IF(D220=5,"Paralizado","¿?"))))))</f>
        <v/>
      </c>
    </row>
    <row r="221">
      <c r="A221" s="80">
        <f>'ERROR FINAL'!A224</f>
        <v/>
      </c>
      <c r="B221" s="81">
        <f>'ERROR FINAL'!D224</f>
        <v/>
      </c>
      <c r="C221" s="314">
        <f>'ERROR FINAL'!G224</f>
        <v/>
      </c>
      <c r="D221" s="83">
        <f>'ERROR FINAL'!I224</f>
        <v/>
      </c>
      <c r="E221" s="315">
        <f>'ERROR FINAL'!U224</f>
        <v/>
      </c>
      <c r="F221" s="316">
        <f>'ERROR FINAL'!AG224</f>
        <v/>
      </c>
      <c r="G221" s="316">
        <f>'ERROR FINAL'!AS224</f>
        <v/>
      </c>
      <c r="H221" s="86">
        <f>IF('ERROR FINAL'!AT224="CONFORME","CONFORME","NO CONFORME")</f>
        <v/>
      </c>
      <c r="I221" s="87">
        <f>IF(D221=0,"Medición",IF(D221=1,"Daño físico",IF(D221=2,"Fuga",IF(D221=3,"Picado",IF(D221=4,"Desfasado",IF(D221=5,"Paralizado","¿?"))))))</f>
        <v/>
      </c>
    </row>
    <row r="222">
      <c r="A222" s="80">
        <f>'ERROR FINAL'!A225</f>
        <v/>
      </c>
      <c r="B222" s="81">
        <f>'ERROR FINAL'!D225</f>
        <v/>
      </c>
      <c r="C222" s="314">
        <f>'ERROR FINAL'!G225</f>
        <v/>
      </c>
      <c r="D222" s="83">
        <f>'ERROR FINAL'!I225</f>
        <v/>
      </c>
      <c r="E222" s="315">
        <f>'ERROR FINAL'!U225</f>
        <v/>
      </c>
      <c r="F222" s="316">
        <f>'ERROR FINAL'!AG225</f>
        <v/>
      </c>
      <c r="G222" s="316">
        <f>'ERROR FINAL'!AS225</f>
        <v/>
      </c>
      <c r="H222" s="86">
        <f>IF('ERROR FINAL'!AT225="CONFORME","CONFORME","NO CONFORME")</f>
        <v/>
      </c>
      <c r="I222" s="87">
        <f>IF(D222=0,"Medición",IF(D222=1,"Daño físico",IF(D222=2,"Fuga",IF(D222=3,"Picado",IF(D222=4,"Desfasado",IF(D222=5,"Paralizado","¿?"))))))</f>
        <v/>
      </c>
    </row>
    <row r="223">
      <c r="A223" s="80">
        <f>'ERROR FINAL'!A226</f>
        <v/>
      </c>
      <c r="B223" s="81">
        <f>'ERROR FINAL'!D226</f>
        <v/>
      </c>
      <c r="C223" s="314">
        <f>'ERROR FINAL'!G226</f>
        <v/>
      </c>
      <c r="D223" s="83">
        <f>'ERROR FINAL'!I226</f>
        <v/>
      </c>
      <c r="E223" s="315">
        <f>'ERROR FINAL'!U226</f>
        <v/>
      </c>
      <c r="F223" s="316">
        <f>'ERROR FINAL'!AG226</f>
        <v/>
      </c>
      <c r="G223" s="316">
        <f>'ERROR FINAL'!AS226</f>
        <v/>
      </c>
      <c r="H223" s="86">
        <f>IF('ERROR FINAL'!AT226="CONFORME","CONFORME","NO CONFORME")</f>
        <v/>
      </c>
      <c r="I223" s="87">
        <f>IF(D223=0,"Medición",IF(D223=1,"Daño físico",IF(D223=2,"Fuga",IF(D223=3,"Picado",IF(D223=4,"Desfasado",IF(D223=5,"Paralizado","¿?"))))))</f>
        <v/>
      </c>
    </row>
    <row r="224">
      <c r="A224" s="80">
        <f>'ERROR FINAL'!A227</f>
        <v/>
      </c>
      <c r="B224" s="81">
        <f>'ERROR FINAL'!D227</f>
        <v/>
      </c>
      <c r="C224" s="314">
        <f>'ERROR FINAL'!G227</f>
        <v/>
      </c>
      <c r="D224" s="83">
        <f>'ERROR FINAL'!I227</f>
        <v/>
      </c>
      <c r="E224" s="315">
        <f>'ERROR FINAL'!U227</f>
        <v/>
      </c>
      <c r="F224" s="316">
        <f>'ERROR FINAL'!AG227</f>
        <v/>
      </c>
      <c r="G224" s="316">
        <f>'ERROR FINAL'!AS227</f>
        <v/>
      </c>
      <c r="H224" s="86">
        <f>IF('ERROR FINAL'!AT227="CONFORME","CONFORME","NO CONFORME")</f>
        <v/>
      </c>
      <c r="I224" s="87">
        <f>IF(D224=0,"Medición",IF(D224=1,"Daño físico",IF(D224=2,"Fuga",IF(D224=3,"Picado",IF(D224=4,"Desfasado",IF(D224=5,"Paralizado","¿?"))))))</f>
        <v/>
      </c>
    </row>
    <row r="225">
      <c r="A225" s="80">
        <f>'ERROR FINAL'!A228</f>
        <v/>
      </c>
      <c r="B225" s="81">
        <f>'ERROR FINAL'!D228</f>
        <v/>
      </c>
      <c r="C225" s="314">
        <f>'ERROR FINAL'!G228</f>
        <v/>
      </c>
      <c r="D225" s="83">
        <f>'ERROR FINAL'!I228</f>
        <v/>
      </c>
      <c r="E225" s="315">
        <f>'ERROR FINAL'!U228</f>
        <v/>
      </c>
      <c r="F225" s="316">
        <f>'ERROR FINAL'!AG228</f>
        <v/>
      </c>
      <c r="G225" s="316">
        <f>'ERROR FINAL'!AS228</f>
        <v/>
      </c>
      <c r="H225" s="86">
        <f>IF('ERROR FINAL'!AT228="CONFORME","CONFORME","NO CONFORME")</f>
        <v/>
      </c>
      <c r="I225" s="87">
        <f>IF(D225=0,"Medición",IF(D225=1,"Daño físico",IF(D225=2,"Fuga",IF(D225=3,"Picado",IF(D225=4,"Desfasado",IF(D225=5,"Paralizado","¿?"))))))</f>
        <v/>
      </c>
    </row>
    <row r="226">
      <c r="A226" s="80">
        <f>'ERROR FINAL'!A229</f>
        <v/>
      </c>
      <c r="B226" s="81">
        <f>'ERROR FINAL'!D229</f>
        <v/>
      </c>
      <c r="C226" s="314">
        <f>'ERROR FINAL'!G229</f>
        <v/>
      </c>
      <c r="D226" s="83">
        <f>'ERROR FINAL'!I229</f>
        <v/>
      </c>
      <c r="E226" s="315">
        <f>'ERROR FINAL'!U229</f>
        <v/>
      </c>
      <c r="F226" s="316">
        <f>'ERROR FINAL'!AG229</f>
        <v/>
      </c>
      <c r="G226" s="316">
        <f>'ERROR FINAL'!AS229</f>
        <v/>
      </c>
      <c r="H226" s="86">
        <f>IF('ERROR FINAL'!AT229="CONFORME","CONFORME","NO CONFORME")</f>
        <v/>
      </c>
      <c r="I226" s="87">
        <f>IF(D226=0,"Medición",IF(D226=1,"Daño físico",IF(D226=2,"Fuga",IF(D226=3,"Picado",IF(D226=4,"Desfasado",IF(D226=5,"Paralizado","¿?"))))))</f>
        <v/>
      </c>
    </row>
    <row r="227">
      <c r="A227" s="80">
        <f>'ERROR FINAL'!A230</f>
        <v/>
      </c>
      <c r="B227" s="81">
        <f>'ERROR FINAL'!D230</f>
        <v/>
      </c>
      <c r="C227" s="314">
        <f>'ERROR FINAL'!G230</f>
        <v/>
      </c>
      <c r="D227" s="83">
        <f>'ERROR FINAL'!I230</f>
        <v/>
      </c>
      <c r="E227" s="315">
        <f>'ERROR FINAL'!U230</f>
        <v/>
      </c>
      <c r="F227" s="316">
        <f>'ERROR FINAL'!AG230</f>
        <v/>
      </c>
      <c r="G227" s="316">
        <f>'ERROR FINAL'!AS230</f>
        <v/>
      </c>
      <c r="H227" s="86">
        <f>IF('ERROR FINAL'!AT230="CONFORME","CONFORME","NO CONFORME")</f>
        <v/>
      </c>
      <c r="I227" s="87">
        <f>IF(D227=0,"Medición",IF(D227=1,"Daño físico",IF(D227=2,"Fuga",IF(D227=3,"Picado",IF(D227=4,"Desfasado",IF(D227=5,"Paralizado","¿?"))))))</f>
        <v/>
      </c>
    </row>
    <row r="228">
      <c r="A228" s="80">
        <f>'ERROR FINAL'!A231</f>
        <v/>
      </c>
      <c r="B228" s="81">
        <f>'ERROR FINAL'!D231</f>
        <v/>
      </c>
      <c r="C228" s="314">
        <f>'ERROR FINAL'!G231</f>
        <v/>
      </c>
      <c r="D228" s="83">
        <f>'ERROR FINAL'!I231</f>
        <v/>
      </c>
      <c r="E228" s="315">
        <f>'ERROR FINAL'!U231</f>
        <v/>
      </c>
      <c r="F228" s="316">
        <f>'ERROR FINAL'!AG231</f>
        <v/>
      </c>
      <c r="G228" s="316">
        <f>'ERROR FINAL'!AS231</f>
        <v/>
      </c>
      <c r="H228" s="86">
        <f>IF('ERROR FINAL'!AT231="CONFORME","CONFORME","NO CONFORME")</f>
        <v/>
      </c>
      <c r="I228" s="87">
        <f>IF(D228=0,"Medición",IF(D228=1,"Daño físico",IF(D228=2,"Fuga",IF(D228=3,"Picado",IF(D228=4,"Desfasado",IF(D228=5,"Paralizado","¿?"))))))</f>
        <v/>
      </c>
    </row>
    <row r="229">
      <c r="A229" s="80">
        <f>'ERROR FINAL'!A232</f>
        <v/>
      </c>
      <c r="B229" s="81">
        <f>'ERROR FINAL'!D232</f>
        <v/>
      </c>
      <c r="C229" s="314">
        <f>'ERROR FINAL'!G232</f>
        <v/>
      </c>
      <c r="D229" s="83">
        <f>'ERROR FINAL'!I232</f>
        <v/>
      </c>
      <c r="E229" s="315">
        <f>'ERROR FINAL'!U232</f>
        <v/>
      </c>
      <c r="F229" s="316">
        <f>'ERROR FINAL'!AG232</f>
        <v/>
      </c>
      <c r="G229" s="316">
        <f>'ERROR FINAL'!AS232</f>
        <v/>
      </c>
      <c r="H229" s="86">
        <f>IF('ERROR FINAL'!AT232="CONFORME","CONFORME","NO CONFORME")</f>
        <v/>
      </c>
      <c r="I229" s="87">
        <f>IF(D229=0,"Medición",IF(D229=1,"Daño físico",IF(D229=2,"Fuga",IF(D229=3,"Picado",IF(D229=4,"Desfasado",IF(D229=5,"Paralizado","¿?"))))))</f>
        <v/>
      </c>
    </row>
    <row r="230">
      <c r="A230" s="80">
        <f>'ERROR FINAL'!A233</f>
        <v/>
      </c>
      <c r="B230" s="81">
        <f>'ERROR FINAL'!D233</f>
        <v/>
      </c>
      <c r="C230" s="314">
        <f>'ERROR FINAL'!G233</f>
        <v/>
      </c>
      <c r="D230" s="83">
        <f>'ERROR FINAL'!I233</f>
        <v/>
      </c>
      <c r="E230" s="315">
        <f>'ERROR FINAL'!U233</f>
        <v/>
      </c>
      <c r="F230" s="316">
        <f>'ERROR FINAL'!AG233</f>
        <v/>
      </c>
      <c r="G230" s="316">
        <f>'ERROR FINAL'!AS233</f>
        <v/>
      </c>
      <c r="H230" s="86">
        <f>IF('ERROR FINAL'!AT233="CONFORME","CONFORME","NO CONFORME")</f>
        <v/>
      </c>
      <c r="I230" s="87">
        <f>IF(D230=0,"Medición",IF(D230=1,"Daño físico",IF(D230=2,"Fuga",IF(D230=3,"Picado",IF(D230=4,"Desfasado",IF(D230=5,"Paralizado","¿?"))))))</f>
        <v/>
      </c>
    </row>
    <row r="231">
      <c r="A231" s="80">
        <f>'ERROR FINAL'!A234</f>
        <v/>
      </c>
      <c r="B231" s="81">
        <f>'ERROR FINAL'!D234</f>
        <v/>
      </c>
      <c r="C231" s="314">
        <f>'ERROR FINAL'!G234</f>
        <v/>
      </c>
      <c r="D231" s="83">
        <f>'ERROR FINAL'!I234</f>
        <v/>
      </c>
      <c r="E231" s="315">
        <f>'ERROR FINAL'!U234</f>
        <v/>
      </c>
      <c r="F231" s="316">
        <f>'ERROR FINAL'!AG234</f>
        <v/>
      </c>
      <c r="G231" s="316">
        <f>'ERROR FINAL'!AS234</f>
        <v/>
      </c>
      <c r="H231" s="86">
        <f>IF('ERROR FINAL'!AT234="CONFORME","CONFORME","NO CONFORME")</f>
        <v/>
      </c>
      <c r="I231" s="87">
        <f>IF(D231=0,"Medición",IF(D231=1,"Daño físico",IF(D231=2,"Fuga",IF(D231=3,"Picado",IF(D231=4,"Desfasado",IF(D231=5,"Paralizado","¿?"))))))</f>
        <v/>
      </c>
    </row>
    <row r="232">
      <c r="A232" s="80">
        <f>'ERROR FINAL'!A235</f>
        <v/>
      </c>
      <c r="B232" s="81">
        <f>'ERROR FINAL'!D235</f>
        <v/>
      </c>
      <c r="C232" s="314">
        <f>'ERROR FINAL'!G235</f>
        <v/>
      </c>
      <c r="D232" s="83">
        <f>'ERROR FINAL'!I235</f>
        <v/>
      </c>
      <c r="E232" s="315">
        <f>'ERROR FINAL'!U235</f>
        <v/>
      </c>
      <c r="F232" s="316">
        <f>'ERROR FINAL'!AG235</f>
        <v/>
      </c>
      <c r="G232" s="316">
        <f>'ERROR FINAL'!AS235</f>
        <v/>
      </c>
      <c r="H232" s="86">
        <f>IF('ERROR FINAL'!AT235="CONFORME","CONFORME","NO CONFORME")</f>
        <v/>
      </c>
      <c r="I232" s="87">
        <f>IF(D232=0,"Medición",IF(D232=1,"Daño físico",IF(D232=2,"Fuga",IF(D232=3,"Picado",IF(D232=4,"Desfasado",IF(D232=5,"Paralizado","¿?"))))))</f>
        <v/>
      </c>
    </row>
    <row r="233">
      <c r="A233" s="80">
        <f>'ERROR FINAL'!A236</f>
        <v/>
      </c>
      <c r="B233" s="81">
        <f>'ERROR FINAL'!D236</f>
        <v/>
      </c>
      <c r="C233" s="314">
        <f>'ERROR FINAL'!G236</f>
        <v/>
      </c>
      <c r="D233" s="83">
        <f>'ERROR FINAL'!I236</f>
        <v/>
      </c>
      <c r="E233" s="315">
        <f>'ERROR FINAL'!U236</f>
        <v/>
      </c>
      <c r="F233" s="316">
        <f>'ERROR FINAL'!AG236</f>
        <v/>
      </c>
      <c r="G233" s="316">
        <f>'ERROR FINAL'!AS236</f>
        <v/>
      </c>
      <c r="H233" s="86">
        <f>IF('ERROR FINAL'!AT236="CONFORME","CONFORME","NO CONFORME")</f>
        <v/>
      </c>
      <c r="I233" s="87">
        <f>IF(D233=0,"Medición",IF(D233=1,"Daño físico",IF(D233=2,"Fuga",IF(D233=3,"Picado",IF(D233=4,"Desfasado",IF(D233=5,"Paralizado","¿?"))))))</f>
        <v/>
      </c>
    </row>
    <row r="234">
      <c r="A234" s="80">
        <f>'ERROR FINAL'!A237</f>
        <v/>
      </c>
      <c r="B234" s="81">
        <f>'ERROR FINAL'!D237</f>
        <v/>
      </c>
      <c r="C234" s="314">
        <f>'ERROR FINAL'!G237</f>
        <v/>
      </c>
      <c r="D234" s="83">
        <f>'ERROR FINAL'!I237</f>
        <v/>
      </c>
      <c r="E234" s="315">
        <f>'ERROR FINAL'!U237</f>
        <v/>
      </c>
      <c r="F234" s="316">
        <f>'ERROR FINAL'!AG237</f>
        <v/>
      </c>
      <c r="G234" s="316">
        <f>'ERROR FINAL'!AS237</f>
        <v/>
      </c>
      <c r="H234" s="86">
        <f>IF('ERROR FINAL'!AT237="CONFORME","CONFORME","NO CONFORME")</f>
        <v/>
      </c>
      <c r="I234" s="87">
        <f>IF(D234=0,"Medición",IF(D234=1,"Daño físico",IF(D234=2,"Fuga",IF(D234=3,"Picado",IF(D234=4,"Desfasado",IF(D234=5,"Paralizado","¿?"))))))</f>
        <v/>
      </c>
    </row>
    <row r="235">
      <c r="A235" s="80">
        <f>'ERROR FINAL'!A238</f>
        <v/>
      </c>
      <c r="B235" s="81">
        <f>'ERROR FINAL'!D238</f>
        <v/>
      </c>
      <c r="C235" s="314">
        <f>'ERROR FINAL'!G238</f>
        <v/>
      </c>
      <c r="D235" s="83">
        <f>'ERROR FINAL'!I238</f>
        <v/>
      </c>
      <c r="E235" s="315">
        <f>'ERROR FINAL'!U238</f>
        <v/>
      </c>
      <c r="F235" s="316">
        <f>'ERROR FINAL'!AG238</f>
        <v/>
      </c>
      <c r="G235" s="316">
        <f>'ERROR FINAL'!AS238</f>
        <v/>
      </c>
      <c r="H235" s="86">
        <f>IF('ERROR FINAL'!AT238="CONFORME","CONFORME","NO CONFORME")</f>
        <v/>
      </c>
      <c r="I235" s="87">
        <f>IF(D235=0,"Medición",IF(D235=1,"Daño físico",IF(D235=2,"Fuga",IF(D235=3,"Picado",IF(D235=4,"Desfasado",IF(D235=5,"Paralizado","¿?"))))))</f>
        <v/>
      </c>
    </row>
    <row r="236">
      <c r="A236" s="80">
        <f>'ERROR FINAL'!A239</f>
        <v/>
      </c>
      <c r="B236" s="81">
        <f>'ERROR FINAL'!D239</f>
        <v/>
      </c>
      <c r="C236" s="314">
        <f>'ERROR FINAL'!G239</f>
        <v/>
      </c>
      <c r="D236" s="83">
        <f>'ERROR FINAL'!I239</f>
        <v/>
      </c>
      <c r="E236" s="315">
        <f>'ERROR FINAL'!U239</f>
        <v/>
      </c>
      <c r="F236" s="316">
        <f>'ERROR FINAL'!AG239</f>
        <v/>
      </c>
      <c r="G236" s="316">
        <f>'ERROR FINAL'!AS239</f>
        <v/>
      </c>
      <c r="H236" s="86">
        <f>IF('ERROR FINAL'!AT239="CONFORME","CONFORME","NO CONFORME")</f>
        <v/>
      </c>
      <c r="I236" s="87">
        <f>IF(D236=0,"Medición",IF(D236=1,"Daño físico",IF(D236=2,"Fuga",IF(D236=3,"Picado",IF(D236=4,"Desfasado",IF(D236=5,"Paralizado","¿?"))))))</f>
        <v/>
      </c>
    </row>
    <row r="237">
      <c r="A237" s="80">
        <f>'ERROR FINAL'!A240</f>
        <v/>
      </c>
      <c r="B237" s="81">
        <f>'ERROR FINAL'!D240</f>
        <v/>
      </c>
      <c r="C237" s="314">
        <f>'ERROR FINAL'!G240</f>
        <v/>
      </c>
      <c r="D237" s="83">
        <f>'ERROR FINAL'!I240</f>
        <v/>
      </c>
      <c r="E237" s="315">
        <f>'ERROR FINAL'!U240</f>
        <v/>
      </c>
      <c r="F237" s="316">
        <f>'ERROR FINAL'!AG240</f>
        <v/>
      </c>
      <c r="G237" s="316">
        <f>'ERROR FINAL'!AS240</f>
        <v/>
      </c>
      <c r="H237" s="86">
        <f>IF('ERROR FINAL'!AT240="CONFORME","CONFORME","NO CONFORME")</f>
        <v/>
      </c>
      <c r="I237" s="87">
        <f>IF(D237=0,"Medición",IF(D237=1,"Daño físico",IF(D237=2,"Fuga",IF(D237=3,"Picado",IF(D237=4,"Desfasado",IF(D237=5,"Paralizado","¿?"))))))</f>
        <v/>
      </c>
    </row>
    <row r="238">
      <c r="A238" s="80">
        <f>'ERROR FINAL'!A241</f>
        <v/>
      </c>
      <c r="B238" s="81">
        <f>'ERROR FINAL'!D241</f>
        <v/>
      </c>
      <c r="C238" s="314">
        <f>'ERROR FINAL'!G241</f>
        <v/>
      </c>
      <c r="D238" s="83">
        <f>'ERROR FINAL'!I241</f>
        <v/>
      </c>
      <c r="E238" s="315">
        <f>'ERROR FINAL'!U241</f>
        <v/>
      </c>
      <c r="F238" s="316">
        <f>'ERROR FINAL'!AG241</f>
        <v/>
      </c>
      <c r="G238" s="316">
        <f>'ERROR FINAL'!AS241</f>
        <v/>
      </c>
      <c r="H238" s="86">
        <f>IF('ERROR FINAL'!AT241="CONFORME","CONFORME","NO CONFORME")</f>
        <v/>
      </c>
      <c r="I238" s="87">
        <f>IF(D238=0,"Medición",IF(D238=1,"Daño físico",IF(D238=2,"Fuga",IF(D238=3,"Picado",IF(D238=4,"Desfasado",IF(D238=5,"Paralizado","¿?"))))))</f>
        <v/>
      </c>
    </row>
    <row r="239">
      <c r="A239" s="80">
        <f>'ERROR FINAL'!A242</f>
        <v/>
      </c>
      <c r="B239" s="81">
        <f>'ERROR FINAL'!D242</f>
        <v/>
      </c>
      <c r="C239" s="314">
        <f>'ERROR FINAL'!G242</f>
        <v/>
      </c>
      <c r="D239" s="83">
        <f>'ERROR FINAL'!I242</f>
        <v/>
      </c>
      <c r="E239" s="315">
        <f>'ERROR FINAL'!U242</f>
        <v/>
      </c>
      <c r="F239" s="316">
        <f>'ERROR FINAL'!AG242</f>
        <v/>
      </c>
      <c r="G239" s="316">
        <f>'ERROR FINAL'!AS242</f>
        <v/>
      </c>
      <c r="H239" s="86">
        <f>IF('ERROR FINAL'!AT242="CONFORME","CONFORME","NO CONFORME")</f>
        <v/>
      </c>
      <c r="I239" s="87">
        <f>IF(D239=0,"Medición",IF(D239=1,"Daño físico",IF(D239=2,"Fuga",IF(D239=3,"Picado",IF(D239=4,"Desfasado",IF(D239=5,"Paralizado","¿?"))))))</f>
        <v/>
      </c>
    </row>
    <row r="240">
      <c r="A240" s="80">
        <f>'ERROR FINAL'!A243</f>
        <v/>
      </c>
      <c r="B240" s="81">
        <f>'ERROR FINAL'!D243</f>
        <v/>
      </c>
      <c r="C240" s="314">
        <f>'ERROR FINAL'!G243</f>
        <v/>
      </c>
      <c r="D240" s="83">
        <f>'ERROR FINAL'!I243</f>
        <v/>
      </c>
      <c r="E240" s="315">
        <f>'ERROR FINAL'!U243</f>
        <v/>
      </c>
      <c r="F240" s="316">
        <f>'ERROR FINAL'!AG243</f>
        <v/>
      </c>
      <c r="G240" s="316">
        <f>'ERROR FINAL'!AS243</f>
        <v/>
      </c>
      <c r="H240" s="86">
        <f>IF('ERROR FINAL'!AT243="CONFORME","CONFORME","NO CONFORME")</f>
        <v/>
      </c>
      <c r="I240" s="87">
        <f>IF(D240=0,"Medición",IF(D240=1,"Daño físico",IF(D240=2,"Fuga",IF(D240=3,"Picado",IF(D240=4,"Desfasado",IF(D240=5,"Paralizado","¿?"))))))</f>
        <v/>
      </c>
    </row>
    <row r="241">
      <c r="A241" s="80">
        <f>'ERROR FINAL'!A244</f>
        <v/>
      </c>
      <c r="B241" s="81">
        <f>'ERROR FINAL'!D244</f>
        <v/>
      </c>
      <c r="C241" s="314">
        <f>'ERROR FINAL'!G244</f>
        <v/>
      </c>
      <c r="D241" s="83">
        <f>'ERROR FINAL'!I244</f>
        <v/>
      </c>
      <c r="E241" s="315">
        <f>'ERROR FINAL'!U244</f>
        <v/>
      </c>
      <c r="F241" s="316">
        <f>'ERROR FINAL'!AG244</f>
        <v/>
      </c>
      <c r="G241" s="316">
        <f>'ERROR FINAL'!AS244</f>
        <v/>
      </c>
      <c r="H241" s="86">
        <f>IF('ERROR FINAL'!AT244="CONFORME","CONFORME","NO CONFORME")</f>
        <v/>
      </c>
      <c r="I241" s="87">
        <f>IF(D241=0,"Medición",IF(D241=1,"Daño físico",IF(D241=2,"Fuga",IF(D241=3,"Picado",IF(D241=4,"Desfasado",IF(D241=5,"Paralizado","¿?"))))))</f>
        <v/>
      </c>
    </row>
    <row r="242">
      <c r="A242" s="80">
        <f>'ERROR FINAL'!A245</f>
        <v/>
      </c>
      <c r="B242" s="81">
        <f>'ERROR FINAL'!D245</f>
        <v/>
      </c>
      <c r="C242" s="314">
        <f>'ERROR FINAL'!G245</f>
        <v/>
      </c>
      <c r="D242" s="83">
        <f>'ERROR FINAL'!I245</f>
        <v/>
      </c>
      <c r="E242" s="315">
        <f>'ERROR FINAL'!U245</f>
        <v/>
      </c>
      <c r="F242" s="316">
        <f>'ERROR FINAL'!AG245</f>
        <v/>
      </c>
      <c r="G242" s="316">
        <f>'ERROR FINAL'!AS245</f>
        <v/>
      </c>
      <c r="H242" s="86">
        <f>IF('ERROR FINAL'!AT245="CONFORME","CONFORME","NO CONFORME")</f>
        <v/>
      </c>
      <c r="I242" s="87">
        <f>IF(D242=0,"Medición",IF(D242=1,"Daño físico",IF(D242=2,"Fuga",IF(D242=3,"Picado",IF(D242=4,"Desfasado",IF(D242=5,"Paralizado","¿?"))))))</f>
        <v/>
      </c>
    </row>
    <row r="243">
      <c r="A243" s="80">
        <f>'ERROR FINAL'!A246</f>
        <v/>
      </c>
      <c r="B243" s="81">
        <f>'ERROR FINAL'!D246</f>
        <v/>
      </c>
      <c r="C243" s="314">
        <f>'ERROR FINAL'!G246</f>
        <v/>
      </c>
      <c r="D243" s="83">
        <f>'ERROR FINAL'!I246</f>
        <v/>
      </c>
      <c r="E243" s="315">
        <f>'ERROR FINAL'!U246</f>
        <v/>
      </c>
      <c r="F243" s="316">
        <f>'ERROR FINAL'!AG246</f>
        <v/>
      </c>
      <c r="G243" s="316">
        <f>'ERROR FINAL'!AS246</f>
        <v/>
      </c>
      <c r="H243" s="86">
        <f>IF('ERROR FINAL'!AT246="CONFORME","CONFORME","NO CONFORME")</f>
        <v/>
      </c>
      <c r="I243" s="87">
        <f>IF(D243=0,"Medición",IF(D243=1,"Daño físico",IF(D243=2,"Fuga",IF(D243=3,"Picado",IF(D243=4,"Desfasado",IF(D243=5,"Paralizado","¿?"))))))</f>
        <v/>
      </c>
    </row>
    <row r="244">
      <c r="A244" s="80">
        <f>'ERROR FINAL'!A247</f>
        <v/>
      </c>
      <c r="B244" s="81">
        <f>'ERROR FINAL'!D247</f>
        <v/>
      </c>
      <c r="C244" s="314">
        <f>'ERROR FINAL'!G247</f>
        <v/>
      </c>
      <c r="D244" s="83">
        <f>'ERROR FINAL'!I247</f>
        <v/>
      </c>
      <c r="E244" s="315">
        <f>'ERROR FINAL'!U247</f>
        <v/>
      </c>
      <c r="F244" s="316">
        <f>'ERROR FINAL'!AG247</f>
        <v/>
      </c>
      <c r="G244" s="316">
        <f>'ERROR FINAL'!AS247</f>
        <v/>
      </c>
      <c r="H244" s="86">
        <f>IF('ERROR FINAL'!AT247="CONFORME","CONFORME","NO CONFORME")</f>
        <v/>
      </c>
      <c r="I244" s="87">
        <f>IF(D244=0,"Medición",IF(D244=1,"Daño físico",IF(D244=2,"Fuga",IF(D244=3,"Picado",IF(D244=4,"Desfasado",IF(D244=5,"Paralizado","¿?"))))))</f>
        <v/>
      </c>
    </row>
    <row r="245">
      <c r="A245" s="80">
        <f>'ERROR FINAL'!A248</f>
        <v/>
      </c>
      <c r="B245" s="81">
        <f>'ERROR FINAL'!D248</f>
        <v/>
      </c>
      <c r="C245" s="314">
        <f>'ERROR FINAL'!G248</f>
        <v/>
      </c>
      <c r="D245" s="83">
        <f>'ERROR FINAL'!I248</f>
        <v/>
      </c>
      <c r="E245" s="315">
        <f>'ERROR FINAL'!U248</f>
        <v/>
      </c>
      <c r="F245" s="316">
        <f>'ERROR FINAL'!AG248</f>
        <v/>
      </c>
      <c r="G245" s="316">
        <f>'ERROR FINAL'!AS248</f>
        <v/>
      </c>
      <c r="H245" s="86">
        <f>IF('ERROR FINAL'!AT248="CONFORME","CONFORME","NO CONFORME")</f>
        <v/>
      </c>
      <c r="I245" s="87">
        <f>IF(D245=0,"Medición",IF(D245=1,"Daño físico",IF(D245=2,"Fuga",IF(D245=3,"Picado",IF(D245=4,"Desfasado",IF(D245=5,"Paralizado","¿?"))))))</f>
        <v/>
      </c>
    </row>
    <row r="246">
      <c r="A246" s="80">
        <f>'ERROR FINAL'!A249</f>
        <v/>
      </c>
      <c r="B246" s="81">
        <f>'ERROR FINAL'!D249</f>
        <v/>
      </c>
      <c r="C246" s="314">
        <f>'ERROR FINAL'!G249</f>
        <v/>
      </c>
      <c r="D246" s="83">
        <f>'ERROR FINAL'!I249</f>
        <v/>
      </c>
      <c r="E246" s="315">
        <f>'ERROR FINAL'!U249</f>
        <v/>
      </c>
      <c r="F246" s="316">
        <f>'ERROR FINAL'!AG249</f>
        <v/>
      </c>
      <c r="G246" s="316">
        <f>'ERROR FINAL'!AS249</f>
        <v/>
      </c>
      <c r="H246" s="86">
        <f>IF('ERROR FINAL'!AT249="CONFORME","CONFORME","NO CONFORME")</f>
        <v/>
      </c>
      <c r="I246" s="87">
        <f>IF(D246=0,"Medición",IF(D246=1,"Daño físico",IF(D246=2,"Fuga",IF(D246=3,"Picado",IF(D246=4,"Desfasado",IF(D246=5,"Paralizado","¿?"))))))</f>
        <v/>
      </c>
    </row>
    <row r="247">
      <c r="A247" s="80">
        <f>'ERROR FINAL'!A250</f>
        <v/>
      </c>
      <c r="B247" s="81">
        <f>'ERROR FINAL'!D250</f>
        <v/>
      </c>
      <c r="C247" s="314">
        <f>'ERROR FINAL'!G250</f>
        <v/>
      </c>
      <c r="D247" s="83">
        <f>'ERROR FINAL'!I250</f>
        <v/>
      </c>
      <c r="E247" s="315">
        <f>'ERROR FINAL'!U250</f>
        <v/>
      </c>
      <c r="F247" s="316">
        <f>'ERROR FINAL'!AG250</f>
        <v/>
      </c>
      <c r="G247" s="316">
        <f>'ERROR FINAL'!AS250</f>
        <v/>
      </c>
      <c r="H247" s="86">
        <f>IF('ERROR FINAL'!AT250="CONFORME","CONFORME","NO CONFORME")</f>
        <v/>
      </c>
      <c r="I247" s="87">
        <f>IF(D247=0,"Medición",IF(D247=1,"Daño físico",IF(D247=2,"Fuga",IF(D247=3,"Picado",IF(D247=4,"Desfasado",IF(D247=5,"Paralizado","¿?"))))))</f>
        <v/>
      </c>
    </row>
    <row r="248">
      <c r="A248" s="80">
        <f>'ERROR FINAL'!A251</f>
        <v/>
      </c>
      <c r="B248" s="81">
        <f>'ERROR FINAL'!D251</f>
        <v/>
      </c>
      <c r="C248" s="314">
        <f>'ERROR FINAL'!G251</f>
        <v/>
      </c>
      <c r="D248" s="83">
        <f>'ERROR FINAL'!I251</f>
        <v/>
      </c>
      <c r="E248" s="315">
        <f>'ERROR FINAL'!U251</f>
        <v/>
      </c>
      <c r="F248" s="316">
        <f>'ERROR FINAL'!AG251</f>
        <v/>
      </c>
      <c r="G248" s="316">
        <f>'ERROR FINAL'!AS251</f>
        <v/>
      </c>
      <c r="H248" s="86">
        <f>IF('ERROR FINAL'!AT251="CONFORME","CONFORME","NO CONFORME")</f>
        <v/>
      </c>
      <c r="I248" s="87">
        <f>IF(D248=0,"Medición",IF(D248=1,"Daño físico",IF(D248=2,"Fuga",IF(D248=3,"Picado",IF(D248=4,"Desfasado",IF(D248=5,"Paralizado","¿?"))))))</f>
        <v/>
      </c>
    </row>
    <row r="249">
      <c r="A249" s="80">
        <f>'ERROR FINAL'!A252</f>
        <v/>
      </c>
      <c r="B249" s="81">
        <f>'ERROR FINAL'!D252</f>
        <v/>
      </c>
      <c r="C249" s="314">
        <f>'ERROR FINAL'!G252</f>
        <v/>
      </c>
      <c r="D249" s="83">
        <f>'ERROR FINAL'!I252</f>
        <v/>
      </c>
      <c r="E249" s="315">
        <f>'ERROR FINAL'!U252</f>
        <v/>
      </c>
      <c r="F249" s="316">
        <f>'ERROR FINAL'!AG252</f>
        <v/>
      </c>
      <c r="G249" s="316">
        <f>'ERROR FINAL'!AS252</f>
        <v/>
      </c>
      <c r="H249" s="86">
        <f>IF('ERROR FINAL'!AT252="CONFORME","CONFORME","NO CONFORME")</f>
        <v/>
      </c>
      <c r="I249" s="87">
        <f>IF(D249=0,"Medición",IF(D249=1,"Daño físico",IF(D249=2,"Fuga",IF(D249=3,"Picado",IF(D249=4,"Desfasado",IF(D249=5,"Paralizado","¿?"))))))</f>
        <v/>
      </c>
    </row>
    <row r="250">
      <c r="A250" s="80">
        <f>'ERROR FINAL'!A253</f>
        <v/>
      </c>
      <c r="B250" s="81">
        <f>'ERROR FINAL'!D253</f>
        <v/>
      </c>
      <c r="C250" s="314">
        <f>'ERROR FINAL'!G253</f>
        <v/>
      </c>
      <c r="D250" s="83">
        <f>'ERROR FINAL'!I253</f>
        <v/>
      </c>
      <c r="E250" s="315">
        <f>'ERROR FINAL'!U253</f>
        <v/>
      </c>
      <c r="F250" s="316">
        <f>'ERROR FINAL'!AG253</f>
        <v/>
      </c>
      <c r="G250" s="316">
        <f>'ERROR FINAL'!AS253</f>
        <v/>
      </c>
      <c r="H250" s="86">
        <f>IF('ERROR FINAL'!AT253="CONFORME","CONFORME","NO CONFORME")</f>
        <v/>
      </c>
      <c r="I250" s="87">
        <f>IF(D250=0,"Medición",IF(D250=1,"Daño físico",IF(D250=2,"Fuga",IF(D250=3,"Picado",IF(D250=4,"Desfasado",IF(D250=5,"Paralizado","¿?"))))))</f>
        <v/>
      </c>
    </row>
    <row r="251">
      <c r="A251" s="80">
        <f>'ERROR FINAL'!A254</f>
        <v/>
      </c>
      <c r="B251" s="81">
        <f>'ERROR FINAL'!D254</f>
        <v/>
      </c>
      <c r="C251" s="314">
        <f>'ERROR FINAL'!G254</f>
        <v/>
      </c>
      <c r="D251" s="83">
        <f>'ERROR FINAL'!I254</f>
        <v/>
      </c>
      <c r="E251" s="315">
        <f>'ERROR FINAL'!U254</f>
        <v/>
      </c>
      <c r="F251" s="316">
        <f>'ERROR FINAL'!AG254</f>
        <v/>
      </c>
      <c r="G251" s="316">
        <f>'ERROR FINAL'!AS254</f>
        <v/>
      </c>
      <c r="H251" s="86">
        <f>IF('ERROR FINAL'!AT254="CONFORME","CONFORME","NO CONFORME")</f>
        <v/>
      </c>
      <c r="I251" s="87">
        <f>IF(D251=0,"Medición",IF(D251=1,"Daño físico",IF(D251=2,"Fuga",IF(D251=3,"Picado",IF(D251=4,"Desfasado",IF(D251=5,"Paralizado","¿?"))))))</f>
        <v/>
      </c>
    </row>
    <row r="252">
      <c r="A252" s="80">
        <f>'ERROR FINAL'!A255</f>
        <v/>
      </c>
      <c r="B252" s="81">
        <f>'ERROR FINAL'!D255</f>
        <v/>
      </c>
      <c r="C252" s="314">
        <f>'ERROR FINAL'!G255</f>
        <v/>
      </c>
      <c r="D252" s="83">
        <f>'ERROR FINAL'!I255</f>
        <v/>
      </c>
      <c r="E252" s="315">
        <f>'ERROR FINAL'!U255</f>
        <v/>
      </c>
      <c r="F252" s="316">
        <f>'ERROR FINAL'!AG255</f>
        <v/>
      </c>
      <c r="G252" s="316">
        <f>'ERROR FINAL'!AS255</f>
        <v/>
      </c>
      <c r="H252" s="86">
        <f>IF('ERROR FINAL'!AT255="CONFORME","CONFORME","NO CONFORME")</f>
        <v/>
      </c>
      <c r="I252" s="87">
        <f>IF(D252=0,"Medición",IF(D252=1,"Daño físico",IF(D252=2,"Fuga",IF(D252=3,"Picado",IF(D252=4,"Desfasado",IF(D252=5,"Paralizado","¿?"))))))</f>
        <v/>
      </c>
    </row>
    <row r="253">
      <c r="A253" s="80">
        <f>'ERROR FINAL'!A256</f>
        <v/>
      </c>
      <c r="B253" s="81">
        <f>'ERROR FINAL'!D256</f>
        <v/>
      </c>
      <c r="C253" s="314">
        <f>'ERROR FINAL'!G256</f>
        <v/>
      </c>
      <c r="D253" s="83">
        <f>'ERROR FINAL'!I256</f>
        <v/>
      </c>
      <c r="E253" s="315">
        <f>'ERROR FINAL'!U256</f>
        <v/>
      </c>
      <c r="F253" s="316">
        <f>'ERROR FINAL'!AG256</f>
        <v/>
      </c>
      <c r="G253" s="316">
        <f>'ERROR FINAL'!AS256</f>
        <v/>
      </c>
      <c r="H253" s="86">
        <f>IF('ERROR FINAL'!AT256="CONFORME","CONFORME","NO CONFORME")</f>
        <v/>
      </c>
      <c r="I253" s="87">
        <f>IF(D253=0,"Medición",IF(D253=1,"Daño físico",IF(D253=2,"Fuga",IF(D253=3,"Picado",IF(D253=4,"Desfasado",IF(D253=5,"Paralizado","¿?"))))))</f>
        <v/>
      </c>
    </row>
    <row r="254">
      <c r="A254" s="80">
        <f>'ERROR FINAL'!A257</f>
        <v/>
      </c>
      <c r="B254" s="81">
        <f>'ERROR FINAL'!D257</f>
        <v/>
      </c>
      <c r="C254" s="314">
        <f>'ERROR FINAL'!G257</f>
        <v/>
      </c>
      <c r="D254" s="83">
        <f>'ERROR FINAL'!I257</f>
        <v/>
      </c>
      <c r="E254" s="315">
        <f>'ERROR FINAL'!U257</f>
        <v/>
      </c>
      <c r="F254" s="316">
        <f>'ERROR FINAL'!AG257</f>
        <v/>
      </c>
      <c r="G254" s="316">
        <f>'ERROR FINAL'!AS257</f>
        <v/>
      </c>
      <c r="H254" s="86">
        <f>IF('ERROR FINAL'!AT257="CONFORME","CONFORME","NO CONFORME")</f>
        <v/>
      </c>
      <c r="I254" s="87">
        <f>IF(D254=0,"Medición",IF(D254=1,"Daño físico",IF(D254=2,"Fuga",IF(D254=3,"Picado",IF(D254=4,"Desfasado",IF(D254=5,"Paralizado","¿?"))))))</f>
        <v/>
      </c>
    </row>
    <row r="255">
      <c r="A255" s="80">
        <f>'ERROR FINAL'!A258</f>
        <v/>
      </c>
      <c r="B255" s="81">
        <f>'ERROR FINAL'!D258</f>
        <v/>
      </c>
      <c r="C255" s="314">
        <f>'ERROR FINAL'!G258</f>
        <v/>
      </c>
      <c r="D255" s="83">
        <f>'ERROR FINAL'!I258</f>
        <v/>
      </c>
      <c r="E255" s="315">
        <f>'ERROR FINAL'!U258</f>
        <v/>
      </c>
      <c r="F255" s="316">
        <f>'ERROR FINAL'!AG258</f>
        <v/>
      </c>
      <c r="G255" s="316">
        <f>'ERROR FINAL'!AS258</f>
        <v/>
      </c>
      <c r="H255" s="86">
        <f>IF('ERROR FINAL'!AT258="CONFORME","CONFORME","NO CONFORME")</f>
        <v/>
      </c>
      <c r="I255" s="87">
        <f>IF(D255=0,"Medición",IF(D255=1,"Daño físico",IF(D255=2,"Fuga",IF(D255=3,"Picado",IF(D255=4,"Desfasado",IF(D255=5,"Paralizado","¿?"))))))</f>
        <v/>
      </c>
    </row>
    <row r="256">
      <c r="A256" s="80">
        <f>'ERROR FINAL'!A259</f>
        <v/>
      </c>
      <c r="B256" s="81">
        <f>'ERROR FINAL'!D259</f>
        <v/>
      </c>
      <c r="C256" s="314">
        <f>'ERROR FINAL'!G259</f>
        <v/>
      </c>
      <c r="D256" s="83">
        <f>'ERROR FINAL'!I259</f>
        <v/>
      </c>
      <c r="E256" s="315">
        <f>'ERROR FINAL'!U259</f>
        <v/>
      </c>
      <c r="F256" s="316">
        <f>'ERROR FINAL'!AG259</f>
        <v/>
      </c>
      <c r="G256" s="316">
        <f>'ERROR FINAL'!AS259</f>
        <v/>
      </c>
      <c r="H256" s="86">
        <f>IF('ERROR FINAL'!AT259="CONFORME","CONFORME","NO CONFORME")</f>
        <v/>
      </c>
      <c r="I256" s="87">
        <f>IF(D256=0,"Medición",IF(D256=1,"Daño físico",IF(D256=2,"Fuga",IF(D256=3,"Picado",IF(D256=4,"Desfasado",IF(D256=5,"Paralizado","¿?"))))))</f>
        <v/>
      </c>
    </row>
    <row r="257">
      <c r="A257" s="80">
        <f>'ERROR FINAL'!A260</f>
        <v/>
      </c>
      <c r="B257" s="81">
        <f>'ERROR FINAL'!D260</f>
        <v/>
      </c>
      <c r="C257" s="314">
        <f>'ERROR FINAL'!G260</f>
        <v/>
      </c>
      <c r="D257" s="83">
        <f>'ERROR FINAL'!I260</f>
        <v/>
      </c>
      <c r="E257" s="315">
        <f>'ERROR FINAL'!U260</f>
        <v/>
      </c>
      <c r="F257" s="316">
        <f>'ERROR FINAL'!AG260</f>
        <v/>
      </c>
      <c r="G257" s="316">
        <f>'ERROR FINAL'!AS260</f>
        <v/>
      </c>
      <c r="H257" s="86">
        <f>IF('ERROR FINAL'!AT260="CONFORME","CONFORME","NO CONFORME")</f>
        <v/>
      </c>
      <c r="I257" s="87">
        <f>IF(D257=0,"Medición",IF(D257=1,"Daño físico",IF(D257=2,"Fuga",IF(D257=3,"Picado",IF(D257=4,"Desfasado",IF(D257=5,"Paralizado","¿?"))))))</f>
        <v/>
      </c>
    </row>
    <row r="258">
      <c r="A258" s="80">
        <f>'ERROR FINAL'!A261</f>
        <v/>
      </c>
      <c r="B258" s="81">
        <f>'ERROR FINAL'!D261</f>
        <v/>
      </c>
      <c r="C258" s="314">
        <f>'ERROR FINAL'!G261</f>
        <v/>
      </c>
      <c r="D258" s="83">
        <f>'ERROR FINAL'!I261</f>
        <v/>
      </c>
      <c r="E258" s="315">
        <f>'ERROR FINAL'!U261</f>
        <v/>
      </c>
      <c r="F258" s="316">
        <f>'ERROR FINAL'!AG261</f>
        <v/>
      </c>
      <c r="G258" s="316">
        <f>'ERROR FINAL'!AS261</f>
        <v/>
      </c>
      <c r="H258" s="86">
        <f>IF('ERROR FINAL'!AT261="CONFORME","CONFORME","NO CONFORME")</f>
        <v/>
      </c>
      <c r="I258" s="87">
        <f>IF(D258=0,"Medición",IF(D258=1,"Daño físico",IF(D258=2,"Fuga",IF(D258=3,"Picado",IF(D258=4,"Desfasado",IF(D258=5,"Paralizado","¿?"))))))</f>
        <v/>
      </c>
    </row>
    <row r="259">
      <c r="A259" s="80">
        <f>'ERROR FINAL'!A262</f>
        <v/>
      </c>
      <c r="B259" s="81">
        <f>'ERROR FINAL'!D262</f>
        <v/>
      </c>
      <c r="C259" s="314">
        <f>'ERROR FINAL'!G262</f>
        <v/>
      </c>
      <c r="D259" s="83">
        <f>'ERROR FINAL'!I262</f>
        <v/>
      </c>
      <c r="E259" s="315">
        <f>'ERROR FINAL'!U262</f>
        <v/>
      </c>
      <c r="F259" s="316">
        <f>'ERROR FINAL'!AG262</f>
        <v/>
      </c>
      <c r="G259" s="316">
        <f>'ERROR FINAL'!AS262</f>
        <v/>
      </c>
      <c r="H259" s="86">
        <f>IF('ERROR FINAL'!AT262="CONFORME","CONFORME","NO CONFORME")</f>
        <v/>
      </c>
      <c r="I259" s="87">
        <f>IF(D259=0,"Medición",IF(D259=1,"Daño físico",IF(D259=2,"Fuga",IF(D259=3,"Picado",IF(D259=4,"Desfasado",IF(D259=5,"Paralizado","¿?"))))))</f>
        <v/>
      </c>
    </row>
    <row r="260">
      <c r="A260" s="80">
        <f>'ERROR FINAL'!A263</f>
        <v/>
      </c>
      <c r="B260" s="81">
        <f>'ERROR FINAL'!D263</f>
        <v/>
      </c>
      <c r="C260" s="314">
        <f>'ERROR FINAL'!G263</f>
        <v/>
      </c>
      <c r="D260" s="83">
        <f>'ERROR FINAL'!I263</f>
        <v/>
      </c>
      <c r="E260" s="315">
        <f>'ERROR FINAL'!U263</f>
        <v/>
      </c>
      <c r="F260" s="316">
        <f>'ERROR FINAL'!AG263</f>
        <v/>
      </c>
      <c r="G260" s="316">
        <f>'ERROR FINAL'!AS263</f>
        <v/>
      </c>
      <c r="H260" s="86">
        <f>IF('ERROR FINAL'!AT263="CONFORME","CONFORME","NO CONFORME")</f>
        <v/>
      </c>
      <c r="I260" s="87">
        <f>IF(D260=0,"Medición",IF(D260=1,"Daño físico",IF(D260=2,"Fuga",IF(D260=3,"Picado",IF(D260=4,"Desfasado",IF(D260=5,"Paralizado","¿?"))))))</f>
        <v/>
      </c>
    </row>
    <row r="261">
      <c r="A261" s="80">
        <f>'ERROR FINAL'!A264</f>
        <v/>
      </c>
      <c r="B261" s="81">
        <f>'ERROR FINAL'!D264</f>
        <v/>
      </c>
      <c r="C261" s="314">
        <f>'ERROR FINAL'!G264</f>
        <v/>
      </c>
      <c r="D261" s="83">
        <f>'ERROR FINAL'!I264</f>
        <v/>
      </c>
      <c r="E261" s="315">
        <f>'ERROR FINAL'!U264</f>
        <v/>
      </c>
      <c r="F261" s="316">
        <f>'ERROR FINAL'!AG264</f>
        <v/>
      </c>
      <c r="G261" s="316">
        <f>'ERROR FINAL'!AS264</f>
        <v/>
      </c>
      <c r="H261" s="86">
        <f>IF('ERROR FINAL'!AT264="CONFORME","CONFORME","NO CONFORME")</f>
        <v/>
      </c>
      <c r="I261" s="87">
        <f>IF(D261=0,"Medición",IF(D261=1,"Daño físico",IF(D261=2,"Fuga",IF(D261=3,"Picado",IF(D261=4,"Desfasado",IF(D261=5,"Paralizado","¿?"))))))</f>
        <v/>
      </c>
    </row>
    <row r="262">
      <c r="A262" s="80">
        <f>'ERROR FINAL'!A265</f>
        <v/>
      </c>
      <c r="B262" s="81">
        <f>'ERROR FINAL'!D265</f>
        <v/>
      </c>
      <c r="C262" s="314">
        <f>'ERROR FINAL'!G265</f>
        <v/>
      </c>
      <c r="D262" s="83">
        <f>'ERROR FINAL'!I265</f>
        <v/>
      </c>
      <c r="E262" s="315">
        <f>'ERROR FINAL'!U265</f>
        <v/>
      </c>
      <c r="F262" s="316">
        <f>'ERROR FINAL'!AG265</f>
        <v/>
      </c>
      <c r="G262" s="316">
        <f>'ERROR FINAL'!AS265</f>
        <v/>
      </c>
      <c r="H262" s="86">
        <f>IF('ERROR FINAL'!AT265="CONFORME","CONFORME","NO CONFORME")</f>
        <v/>
      </c>
      <c r="I262" s="87">
        <f>IF(D262=0,"Medición",IF(D262=1,"Daño físico",IF(D262=2,"Fuga",IF(D262=3,"Picado",IF(D262=4,"Desfasado",IF(D262=5,"Paralizado","¿?"))))))</f>
        <v/>
      </c>
    </row>
    <row r="263">
      <c r="A263" s="80">
        <f>'ERROR FINAL'!A266</f>
        <v/>
      </c>
      <c r="B263" s="81">
        <f>'ERROR FINAL'!D266</f>
        <v/>
      </c>
      <c r="C263" s="314">
        <f>'ERROR FINAL'!G266</f>
        <v/>
      </c>
      <c r="D263" s="83">
        <f>'ERROR FINAL'!I266</f>
        <v/>
      </c>
      <c r="E263" s="315">
        <f>'ERROR FINAL'!U266</f>
        <v/>
      </c>
      <c r="F263" s="316">
        <f>'ERROR FINAL'!AG266</f>
        <v/>
      </c>
      <c r="G263" s="316">
        <f>'ERROR FINAL'!AS266</f>
        <v/>
      </c>
      <c r="H263" s="86">
        <f>IF('ERROR FINAL'!AT266="CONFORME","CONFORME","NO CONFORME")</f>
        <v/>
      </c>
      <c r="I263" s="87">
        <f>IF(D263=0,"Medición",IF(D263=1,"Daño físico",IF(D263=2,"Fuga",IF(D263=3,"Picado",IF(D263=4,"Desfasado",IF(D263=5,"Paralizado","¿?"))))))</f>
        <v/>
      </c>
    </row>
    <row r="264">
      <c r="A264" s="80">
        <f>'ERROR FINAL'!A267</f>
        <v/>
      </c>
      <c r="B264" s="81">
        <f>'ERROR FINAL'!D267</f>
        <v/>
      </c>
      <c r="C264" s="314">
        <f>'ERROR FINAL'!G267</f>
        <v/>
      </c>
      <c r="D264" s="83">
        <f>'ERROR FINAL'!I267</f>
        <v/>
      </c>
      <c r="E264" s="315">
        <f>'ERROR FINAL'!U267</f>
        <v/>
      </c>
      <c r="F264" s="316">
        <f>'ERROR FINAL'!AG267</f>
        <v/>
      </c>
      <c r="G264" s="316">
        <f>'ERROR FINAL'!AS267</f>
        <v/>
      </c>
      <c r="H264" s="86">
        <f>IF('ERROR FINAL'!AT267="CONFORME","CONFORME","NO CONFORME")</f>
        <v/>
      </c>
      <c r="I264" s="87">
        <f>IF(D264=0,"Medición",IF(D264=1,"Daño físico",IF(D264=2,"Fuga",IF(D264=3,"Picado",IF(D264=4,"Desfasado",IF(D264=5,"Paralizado","¿?"))))))</f>
        <v/>
      </c>
    </row>
    <row r="265">
      <c r="A265" s="80">
        <f>'ERROR FINAL'!A268</f>
        <v/>
      </c>
      <c r="B265" s="81">
        <f>'ERROR FINAL'!D268</f>
        <v/>
      </c>
      <c r="C265" s="314">
        <f>'ERROR FINAL'!G268</f>
        <v/>
      </c>
      <c r="D265" s="83">
        <f>'ERROR FINAL'!I268</f>
        <v/>
      </c>
      <c r="E265" s="315">
        <f>'ERROR FINAL'!U268</f>
        <v/>
      </c>
      <c r="F265" s="316">
        <f>'ERROR FINAL'!AG268</f>
        <v/>
      </c>
      <c r="G265" s="316">
        <f>'ERROR FINAL'!AS268</f>
        <v/>
      </c>
      <c r="H265" s="86">
        <f>IF('ERROR FINAL'!AT268="CONFORME","CONFORME","NO CONFORME")</f>
        <v/>
      </c>
      <c r="I265" s="87">
        <f>IF(D265=0,"Medición",IF(D265=1,"Daño físico",IF(D265=2,"Fuga",IF(D265=3,"Picado",IF(D265=4,"Desfasado",IF(D265=5,"Paralizado","¿?"))))))</f>
        <v/>
      </c>
    </row>
    <row r="266">
      <c r="A266" s="80">
        <f>'ERROR FINAL'!A269</f>
        <v/>
      </c>
      <c r="B266" s="81">
        <f>'ERROR FINAL'!D269</f>
        <v/>
      </c>
      <c r="C266" s="314">
        <f>'ERROR FINAL'!G269</f>
        <v/>
      </c>
      <c r="D266" s="83">
        <f>'ERROR FINAL'!I269</f>
        <v/>
      </c>
      <c r="E266" s="315">
        <f>'ERROR FINAL'!U269</f>
        <v/>
      </c>
      <c r="F266" s="316">
        <f>'ERROR FINAL'!AG269</f>
        <v/>
      </c>
      <c r="G266" s="316">
        <f>'ERROR FINAL'!AS269</f>
        <v/>
      </c>
      <c r="H266" s="86">
        <f>IF('ERROR FINAL'!AT269="CONFORME","CONFORME","NO CONFORME")</f>
        <v/>
      </c>
      <c r="I266" s="87">
        <f>IF(D266=0,"Medición",IF(D266=1,"Daño físico",IF(D266=2,"Fuga",IF(D266=3,"Picado",IF(D266=4,"Desfasado",IF(D266=5,"Paralizado","¿?"))))))</f>
        <v/>
      </c>
    </row>
    <row r="267">
      <c r="A267" s="80">
        <f>'ERROR FINAL'!A270</f>
        <v/>
      </c>
      <c r="B267" s="81">
        <f>'ERROR FINAL'!D270</f>
        <v/>
      </c>
      <c r="C267" s="314">
        <f>'ERROR FINAL'!G270</f>
        <v/>
      </c>
      <c r="D267" s="83">
        <f>'ERROR FINAL'!I270</f>
        <v/>
      </c>
      <c r="E267" s="315">
        <f>'ERROR FINAL'!U270</f>
        <v/>
      </c>
      <c r="F267" s="316">
        <f>'ERROR FINAL'!AG270</f>
        <v/>
      </c>
      <c r="G267" s="316">
        <f>'ERROR FINAL'!AS270</f>
        <v/>
      </c>
      <c r="H267" s="86">
        <f>IF('ERROR FINAL'!AT270="CONFORME","CONFORME","NO CONFORME")</f>
        <v/>
      </c>
      <c r="I267" s="87">
        <f>IF(D267=0,"Medición",IF(D267=1,"Daño físico",IF(D267=2,"Fuga",IF(D267=3,"Picado",IF(D267=4,"Desfasado",IF(D267=5,"Paralizado","¿?"))))))</f>
        <v/>
      </c>
    </row>
    <row r="268">
      <c r="A268" s="80">
        <f>'ERROR FINAL'!A271</f>
        <v/>
      </c>
      <c r="B268" s="81">
        <f>'ERROR FINAL'!D271</f>
        <v/>
      </c>
      <c r="C268" s="314">
        <f>'ERROR FINAL'!G271</f>
        <v/>
      </c>
      <c r="D268" s="83">
        <f>'ERROR FINAL'!I271</f>
        <v/>
      </c>
      <c r="E268" s="315">
        <f>'ERROR FINAL'!U271</f>
        <v/>
      </c>
      <c r="F268" s="316">
        <f>'ERROR FINAL'!AG271</f>
        <v/>
      </c>
      <c r="G268" s="316">
        <f>'ERROR FINAL'!AS271</f>
        <v/>
      </c>
      <c r="H268" s="86">
        <f>IF('ERROR FINAL'!AT271="CONFORME","CONFORME","NO CONFORME")</f>
        <v/>
      </c>
      <c r="I268" s="87">
        <f>IF(D268=0,"Medición",IF(D268=1,"Daño físico",IF(D268=2,"Fuga",IF(D268=3,"Picado",IF(D268=4,"Desfasado",IF(D268=5,"Paralizado","¿?"))))))</f>
        <v/>
      </c>
    </row>
    <row r="269">
      <c r="A269" s="80">
        <f>'ERROR FINAL'!A272</f>
        <v/>
      </c>
      <c r="B269" s="81">
        <f>'ERROR FINAL'!D272</f>
        <v/>
      </c>
      <c r="C269" s="314">
        <f>'ERROR FINAL'!G272</f>
        <v/>
      </c>
      <c r="D269" s="83">
        <f>'ERROR FINAL'!I272</f>
        <v/>
      </c>
      <c r="E269" s="315">
        <f>'ERROR FINAL'!U272</f>
        <v/>
      </c>
      <c r="F269" s="316">
        <f>'ERROR FINAL'!AG272</f>
        <v/>
      </c>
      <c r="G269" s="316">
        <f>'ERROR FINAL'!AS272</f>
        <v/>
      </c>
      <c r="H269" s="86">
        <f>IF('ERROR FINAL'!AT272="CONFORME","CONFORME","NO CONFORME")</f>
        <v/>
      </c>
      <c r="I269" s="87">
        <f>IF(D269=0,"Medición",IF(D269=1,"Daño físico",IF(D269=2,"Fuga",IF(D269=3,"Picado",IF(D269=4,"Desfasado",IF(D269=5,"Paralizado","¿?"))))))</f>
        <v/>
      </c>
    </row>
    <row r="270">
      <c r="A270" s="80">
        <f>'ERROR FINAL'!A273</f>
        <v/>
      </c>
      <c r="B270" s="81">
        <f>'ERROR FINAL'!D273</f>
        <v/>
      </c>
      <c r="C270" s="314">
        <f>'ERROR FINAL'!G273</f>
        <v/>
      </c>
      <c r="D270" s="83">
        <f>'ERROR FINAL'!I273</f>
        <v/>
      </c>
      <c r="E270" s="315">
        <f>'ERROR FINAL'!U273</f>
        <v/>
      </c>
      <c r="F270" s="316">
        <f>'ERROR FINAL'!AG273</f>
        <v/>
      </c>
      <c r="G270" s="316">
        <f>'ERROR FINAL'!AS273</f>
        <v/>
      </c>
      <c r="H270" s="86">
        <f>IF('ERROR FINAL'!AT273="CONFORME","CONFORME","NO CONFORME")</f>
        <v/>
      </c>
      <c r="I270" s="87">
        <f>IF(D270=0,"Medición",IF(D270=1,"Daño físico",IF(D270=2,"Fuga",IF(D270=3,"Picado",IF(D270=4,"Desfasado",IF(D270=5,"Paralizado","¿?"))))))</f>
        <v/>
      </c>
    </row>
    <row r="271">
      <c r="A271" s="80">
        <f>'ERROR FINAL'!A274</f>
        <v/>
      </c>
      <c r="B271" s="81">
        <f>'ERROR FINAL'!D274</f>
        <v/>
      </c>
      <c r="C271" s="314">
        <f>'ERROR FINAL'!G274</f>
        <v/>
      </c>
      <c r="D271" s="83">
        <f>'ERROR FINAL'!I274</f>
        <v/>
      </c>
      <c r="E271" s="315">
        <f>'ERROR FINAL'!U274</f>
        <v/>
      </c>
      <c r="F271" s="316">
        <f>'ERROR FINAL'!AG274</f>
        <v/>
      </c>
      <c r="G271" s="316">
        <f>'ERROR FINAL'!AS274</f>
        <v/>
      </c>
      <c r="H271" s="86">
        <f>IF('ERROR FINAL'!AT274="CONFORME","CONFORME","NO CONFORME")</f>
        <v/>
      </c>
      <c r="I271" s="87">
        <f>IF(D271=0,"Medición",IF(D271=1,"Daño físico",IF(D271=2,"Fuga",IF(D271=3,"Picado",IF(D271=4,"Desfasado",IF(D271=5,"Paralizado","¿?"))))))</f>
        <v/>
      </c>
    </row>
    <row r="272">
      <c r="A272" s="80">
        <f>'ERROR FINAL'!A275</f>
        <v/>
      </c>
      <c r="B272" s="81">
        <f>'ERROR FINAL'!D275</f>
        <v/>
      </c>
      <c r="C272" s="314">
        <f>'ERROR FINAL'!G275</f>
        <v/>
      </c>
      <c r="D272" s="83">
        <f>'ERROR FINAL'!I275</f>
        <v/>
      </c>
      <c r="E272" s="315">
        <f>'ERROR FINAL'!U275</f>
        <v/>
      </c>
      <c r="F272" s="316">
        <f>'ERROR FINAL'!AG275</f>
        <v/>
      </c>
      <c r="G272" s="316">
        <f>'ERROR FINAL'!AS275</f>
        <v/>
      </c>
      <c r="H272" s="86">
        <f>IF('ERROR FINAL'!AT275="CONFORME","CONFORME","NO CONFORME")</f>
        <v/>
      </c>
      <c r="I272" s="87">
        <f>IF(D272=0,"Medición",IF(D272=1,"Daño físico",IF(D272=2,"Fuga",IF(D272=3,"Picado",IF(D272=4,"Desfasado",IF(D272=5,"Paralizado","¿?"))))))</f>
        <v/>
      </c>
    </row>
    <row r="273">
      <c r="A273" s="80">
        <f>'ERROR FINAL'!A276</f>
        <v/>
      </c>
      <c r="B273" s="81">
        <f>'ERROR FINAL'!D276</f>
        <v/>
      </c>
      <c r="C273" s="314">
        <f>'ERROR FINAL'!G276</f>
        <v/>
      </c>
      <c r="D273" s="83">
        <f>'ERROR FINAL'!I276</f>
        <v/>
      </c>
      <c r="E273" s="315">
        <f>'ERROR FINAL'!U276</f>
        <v/>
      </c>
      <c r="F273" s="316">
        <f>'ERROR FINAL'!AG276</f>
        <v/>
      </c>
      <c r="G273" s="316">
        <f>'ERROR FINAL'!AS276</f>
        <v/>
      </c>
      <c r="H273" s="86">
        <f>IF('ERROR FINAL'!AT276="CONFORME","CONFORME","NO CONFORME")</f>
        <v/>
      </c>
      <c r="I273" s="87">
        <f>IF(D273=0,"Medición",IF(D273=1,"Daño físico",IF(D273=2,"Fuga",IF(D273=3,"Picado",IF(D273=4,"Desfasado",IF(D273=5,"Paralizado","¿?"))))))</f>
        <v/>
      </c>
    </row>
    <row r="274">
      <c r="A274" s="80">
        <f>'ERROR FINAL'!A277</f>
        <v/>
      </c>
      <c r="B274" s="81">
        <f>'ERROR FINAL'!D277</f>
        <v/>
      </c>
      <c r="C274" s="314">
        <f>'ERROR FINAL'!G277</f>
        <v/>
      </c>
      <c r="D274" s="83">
        <f>'ERROR FINAL'!I277</f>
        <v/>
      </c>
      <c r="E274" s="315">
        <f>'ERROR FINAL'!U277</f>
        <v/>
      </c>
      <c r="F274" s="316">
        <f>'ERROR FINAL'!AG277</f>
        <v/>
      </c>
      <c r="G274" s="316">
        <f>'ERROR FINAL'!AS277</f>
        <v/>
      </c>
      <c r="H274" s="86">
        <f>IF('ERROR FINAL'!AT277="CONFORME","CONFORME","NO CONFORME")</f>
        <v/>
      </c>
      <c r="I274" s="87">
        <f>IF(D274=0,"Medición",IF(D274=1,"Daño físico",IF(D274=2,"Fuga",IF(D274=3,"Picado",IF(D274=4,"Desfasado",IF(D274=5,"Paralizado","¿?"))))))</f>
        <v/>
      </c>
    </row>
    <row r="275">
      <c r="A275" s="80">
        <f>'ERROR FINAL'!A278</f>
        <v/>
      </c>
      <c r="B275" s="81">
        <f>'ERROR FINAL'!D278</f>
        <v/>
      </c>
      <c r="C275" s="314">
        <f>'ERROR FINAL'!G278</f>
        <v/>
      </c>
      <c r="D275" s="83">
        <f>'ERROR FINAL'!I278</f>
        <v/>
      </c>
      <c r="E275" s="315">
        <f>'ERROR FINAL'!U278</f>
        <v/>
      </c>
      <c r="F275" s="316">
        <f>'ERROR FINAL'!AG278</f>
        <v/>
      </c>
      <c r="G275" s="316">
        <f>'ERROR FINAL'!AS278</f>
        <v/>
      </c>
      <c r="H275" s="86">
        <f>IF('ERROR FINAL'!AT278="CONFORME","CONFORME","NO CONFORME")</f>
        <v/>
      </c>
      <c r="I275" s="87">
        <f>IF(D275=0,"Medición",IF(D275=1,"Daño físico",IF(D275=2,"Fuga",IF(D275=3,"Picado",IF(D275=4,"Desfasado",IF(D275=5,"Paralizado","¿?"))))))</f>
        <v/>
      </c>
    </row>
    <row r="276">
      <c r="A276" s="80">
        <f>'ERROR FINAL'!A279</f>
        <v/>
      </c>
      <c r="B276" s="81">
        <f>'ERROR FINAL'!D279</f>
        <v/>
      </c>
      <c r="C276" s="314">
        <f>'ERROR FINAL'!G279</f>
        <v/>
      </c>
      <c r="D276" s="83">
        <f>'ERROR FINAL'!I279</f>
        <v/>
      </c>
      <c r="E276" s="315">
        <f>'ERROR FINAL'!U279</f>
        <v/>
      </c>
      <c r="F276" s="316">
        <f>'ERROR FINAL'!AG279</f>
        <v/>
      </c>
      <c r="G276" s="316">
        <f>'ERROR FINAL'!AS279</f>
        <v/>
      </c>
      <c r="H276" s="86">
        <f>IF('ERROR FINAL'!AT279="CONFORME","CONFORME","NO CONFORME")</f>
        <v/>
      </c>
      <c r="I276" s="87">
        <f>IF(D276=0,"Medición",IF(D276=1,"Daño físico",IF(D276=2,"Fuga",IF(D276=3,"Picado",IF(D276=4,"Desfasado",IF(D276=5,"Paralizado","¿?"))))))</f>
        <v/>
      </c>
    </row>
    <row r="277">
      <c r="A277" s="80">
        <f>'ERROR FINAL'!A280</f>
        <v/>
      </c>
      <c r="B277" s="81">
        <f>'ERROR FINAL'!D280</f>
        <v/>
      </c>
      <c r="C277" s="314">
        <f>'ERROR FINAL'!G280</f>
        <v/>
      </c>
      <c r="D277" s="83">
        <f>'ERROR FINAL'!I280</f>
        <v/>
      </c>
      <c r="E277" s="315">
        <f>'ERROR FINAL'!U280</f>
        <v/>
      </c>
      <c r="F277" s="316">
        <f>'ERROR FINAL'!AG280</f>
        <v/>
      </c>
      <c r="G277" s="316">
        <f>'ERROR FINAL'!AS280</f>
        <v/>
      </c>
      <c r="H277" s="86">
        <f>IF('ERROR FINAL'!AT280="CONFORME","CONFORME","NO CONFORME")</f>
        <v/>
      </c>
      <c r="I277" s="87">
        <f>IF(D277=0,"Medición",IF(D277=1,"Daño físico",IF(D277=2,"Fuga",IF(D277=3,"Picado",IF(D277=4,"Desfasado",IF(D277=5,"Paralizado","¿?"))))))</f>
        <v/>
      </c>
    </row>
    <row r="278">
      <c r="A278" s="80">
        <f>'ERROR FINAL'!A281</f>
        <v/>
      </c>
      <c r="B278" s="81">
        <f>'ERROR FINAL'!D281</f>
        <v/>
      </c>
      <c r="C278" s="314">
        <f>'ERROR FINAL'!G281</f>
        <v/>
      </c>
      <c r="D278" s="83">
        <f>'ERROR FINAL'!I281</f>
        <v/>
      </c>
      <c r="E278" s="315">
        <f>'ERROR FINAL'!U281</f>
        <v/>
      </c>
      <c r="F278" s="316">
        <f>'ERROR FINAL'!AG281</f>
        <v/>
      </c>
      <c r="G278" s="316">
        <f>'ERROR FINAL'!AS281</f>
        <v/>
      </c>
      <c r="H278" s="86">
        <f>IF('ERROR FINAL'!AT281="CONFORME","CONFORME","NO CONFORME")</f>
        <v/>
      </c>
      <c r="I278" s="87">
        <f>IF(D278=0,"Medición",IF(D278=1,"Daño físico",IF(D278=2,"Fuga",IF(D278=3,"Picado",IF(D278=4,"Desfasado",IF(D278=5,"Paralizado","¿?"))))))</f>
        <v/>
      </c>
    </row>
    <row r="279">
      <c r="A279" s="80">
        <f>'ERROR FINAL'!A282</f>
        <v/>
      </c>
      <c r="B279" s="81">
        <f>'ERROR FINAL'!D282</f>
        <v/>
      </c>
      <c r="C279" s="314">
        <f>'ERROR FINAL'!G282</f>
        <v/>
      </c>
      <c r="D279" s="83">
        <f>'ERROR FINAL'!I282</f>
        <v/>
      </c>
      <c r="E279" s="315">
        <f>'ERROR FINAL'!U282</f>
        <v/>
      </c>
      <c r="F279" s="316">
        <f>'ERROR FINAL'!AG282</f>
        <v/>
      </c>
      <c r="G279" s="316">
        <f>'ERROR FINAL'!AS282</f>
        <v/>
      </c>
      <c r="H279" s="86">
        <f>IF('ERROR FINAL'!AT282="CONFORME","CONFORME","NO CONFORME")</f>
        <v/>
      </c>
      <c r="I279" s="87">
        <f>IF(D279=0,"Medición",IF(D279=1,"Daño físico",IF(D279=2,"Fuga",IF(D279=3,"Picado",IF(D279=4,"Desfasado",IF(D279=5,"Paralizado","¿?"))))))</f>
        <v/>
      </c>
    </row>
    <row r="280">
      <c r="A280" s="80">
        <f>'ERROR FINAL'!A283</f>
        <v/>
      </c>
      <c r="B280" s="81">
        <f>'ERROR FINAL'!D283</f>
        <v/>
      </c>
      <c r="C280" s="314">
        <f>'ERROR FINAL'!G283</f>
        <v/>
      </c>
      <c r="D280" s="83">
        <f>'ERROR FINAL'!I283</f>
        <v/>
      </c>
      <c r="E280" s="315">
        <f>'ERROR FINAL'!U283</f>
        <v/>
      </c>
      <c r="F280" s="316">
        <f>'ERROR FINAL'!AG283</f>
        <v/>
      </c>
      <c r="G280" s="316">
        <f>'ERROR FINAL'!AS283</f>
        <v/>
      </c>
      <c r="H280" s="86">
        <f>IF('ERROR FINAL'!AT283="CONFORME","CONFORME","NO CONFORME")</f>
        <v/>
      </c>
      <c r="I280" s="87">
        <f>IF(D280=0,"Medición",IF(D280=1,"Daño físico",IF(D280=2,"Fuga",IF(D280=3,"Picado",IF(D280=4,"Desfasado",IF(D280=5,"Paralizado","¿?"))))))</f>
        <v/>
      </c>
    </row>
    <row r="281">
      <c r="A281" s="80">
        <f>'ERROR FINAL'!A284</f>
        <v/>
      </c>
      <c r="B281" s="81">
        <f>'ERROR FINAL'!D284</f>
        <v/>
      </c>
      <c r="C281" s="314">
        <f>'ERROR FINAL'!G284</f>
        <v/>
      </c>
      <c r="D281" s="83">
        <f>'ERROR FINAL'!I284</f>
        <v/>
      </c>
      <c r="E281" s="315">
        <f>'ERROR FINAL'!U284</f>
        <v/>
      </c>
      <c r="F281" s="316">
        <f>'ERROR FINAL'!AG284</f>
        <v/>
      </c>
      <c r="G281" s="316">
        <f>'ERROR FINAL'!AS284</f>
        <v/>
      </c>
      <c r="H281" s="86">
        <f>IF('ERROR FINAL'!AT284="CONFORME","CONFORME","NO CONFORME")</f>
        <v/>
      </c>
      <c r="I281" s="87">
        <f>IF(D281=0,"Medición",IF(D281=1,"Daño físico",IF(D281=2,"Fuga",IF(D281=3,"Picado",IF(D281=4,"Desfasado",IF(D281=5,"Paralizado","¿?"))))))</f>
        <v/>
      </c>
    </row>
    <row r="282">
      <c r="A282" s="80">
        <f>'ERROR FINAL'!A285</f>
        <v/>
      </c>
      <c r="B282" s="81">
        <f>'ERROR FINAL'!D285</f>
        <v/>
      </c>
      <c r="C282" s="314">
        <f>'ERROR FINAL'!G285</f>
        <v/>
      </c>
      <c r="D282" s="83">
        <f>'ERROR FINAL'!I285</f>
        <v/>
      </c>
      <c r="E282" s="315">
        <f>'ERROR FINAL'!U285</f>
        <v/>
      </c>
      <c r="F282" s="316">
        <f>'ERROR FINAL'!AG285</f>
        <v/>
      </c>
      <c r="G282" s="316">
        <f>'ERROR FINAL'!AS285</f>
        <v/>
      </c>
      <c r="H282" s="86">
        <f>IF('ERROR FINAL'!AT285="CONFORME","CONFORME","NO CONFORME")</f>
        <v/>
      </c>
      <c r="I282" s="87">
        <f>IF(D282=0,"Medición",IF(D282=1,"Daño físico",IF(D282=2,"Fuga",IF(D282=3,"Picado",IF(D282=4,"Desfasado",IF(D282=5,"Paralizado","¿?"))))))</f>
        <v/>
      </c>
    </row>
    <row r="283">
      <c r="A283" s="80">
        <f>'ERROR FINAL'!A286</f>
        <v/>
      </c>
      <c r="B283" s="81">
        <f>'ERROR FINAL'!D286</f>
        <v/>
      </c>
      <c r="C283" s="314">
        <f>'ERROR FINAL'!G286</f>
        <v/>
      </c>
      <c r="D283" s="83">
        <f>'ERROR FINAL'!I286</f>
        <v/>
      </c>
      <c r="E283" s="315">
        <f>'ERROR FINAL'!U286</f>
        <v/>
      </c>
      <c r="F283" s="316">
        <f>'ERROR FINAL'!AG286</f>
        <v/>
      </c>
      <c r="G283" s="316">
        <f>'ERROR FINAL'!AS286</f>
        <v/>
      </c>
      <c r="H283" s="86">
        <f>IF('ERROR FINAL'!AT286="CONFORME","CONFORME","NO CONFORME")</f>
        <v/>
      </c>
      <c r="I283" s="87">
        <f>IF(D283=0,"Medición",IF(D283=1,"Daño físico",IF(D283=2,"Fuga",IF(D283=3,"Picado",IF(D283=4,"Desfasado",IF(D283=5,"Paralizado","¿?"))))))</f>
        <v/>
      </c>
    </row>
    <row r="284">
      <c r="A284" s="80">
        <f>'ERROR FINAL'!A287</f>
        <v/>
      </c>
      <c r="B284" s="81">
        <f>'ERROR FINAL'!D287</f>
        <v/>
      </c>
      <c r="C284" s="314">
        <f>'ERROR FINAL'!G287</f>
        <v/>
      </c>
      <c r="D284" s="83">
        <f>'ERROR FINAL'!I287</f>
        <v/>
      </c>
      <c r="E284" s="315">
        <f>'ERROR FINAL'!U287</f>
        <v/>
      </c>
      <c r="F284" s="316">
        <f>'ERROR FINAL'!AG287</f>
        <v/>
      </c>
      <c r="G284" s="316">
        <f>'ERROR FINAL'!AS287</f>
        <v/>
      </c>
      <c r="H284" s="86">
        <f>IF('ERROR FINAL'!AT287="CONFORME","CONFORME","NO CONFORME")</f>
        <v/>
      </c>
      <c r="I284" s="87">
        <f>IF(D284=0,"Medición",IF(D284=1,"Daño físico",IF(D284=2,"Fuga",IF(D284=3,"Picado",IF(D284=4,"Desfasado",IF(D284=5,"Paralizado","¿?"))))))</f>
        <v/>
      </c>
    </row>
    <row r="285">
      <c r="A285" s="80">
        <f>'ERROR FINAL'!A288</f>
        <v/>
      </c>
      <c r="B285" s="81">
        <f>'ERROR FINAL'!D288</f>
        <v/>
      </c>
      <c r="C285" s="314">
        <f>'ERROR FINAL'!G288</f>
        <v/>
      </c>
      <c r="D285" s="83">
        <f>'ERROR FINAL'!I288</f>
        <v/>
      </c>
      <c r="E285" s="315">
        <f>'ERROR FINAL'!U288</f>
        <v/>
      </c>
      <c r="F285" s="316">
        <f>'ERROR FINAL'!AG288</f>
        <v/>
      </c>
      <c r="G285" s="316">
        <f>'ERROR FINAL'!AS288</f>
        <v/>
      </c>
      <c r="H285" s="86">
        <f>IF('ERROR FINAL'!AT288="CONFORME","CONFORME","NO CONFORME")</f>
        <v/>
      </c>
      <c r="I285" s="87">
        <f>IF(D285=0,"Medición",IF(D285=1,"Daño físico",IF(D285=2,"Fuga",IF(D285=3,"Picado",IF(D285=4,"Desfasado",IF(D285=5,"Paralizado","¿?"))))))</f>
        <v/>
      </c>
    </row>
    <row r="286">
      <c r="A286" s="80">
        <f>'ERROR FINAL'!A289</f>
        <v/>
      </c>
      <c r="B286" s="81">
        <f>'ERROR FINAL'!D289</f>
        <v/>
      </c>
      <c r="C286" s="314">
        <f>'ERROR FINAL'!G289</f>
        <v/>
      </c>
      <c r="D286" s="83">
        <f>'ERROR FINAL'!I289</f>
        <v/>
      </c>
      <c r="E286" s="315">
        <f>'ERROR FINAL'!U289</f>
        <v/>
      </c>
      <c r="F286" s="316">
        <f>'ERROR FINAL'!AG289</f>
        <v/>
      </c>
      <c r="G286" s="316">
        <f>'ERROR FINAL'!AS289</f>
        <v/>
      </c>
      <c r="H286" s="86">
        <f>IF('ERROR FINAL'!AT289="CONFORME","CONFORME","NO CONFORME")</f>
        <v/>
      </c>
      <c r="I286" s="87">
        <f>IF(D286=0,"Medición",IF(D286=1,"Daño físico",IF(D286=2,"Fuga",IF(D286=3,"Picado",IF(D286=4,"Desfasado",IF(D286=5,"Paralizado","¿?"))))))</f>
        <v/>
      </c>
    </row>
    <row r="287">
      <c r="A287" s="80">
        <f>'ERROR FINAL'!A290</f>
        <v/>
      </c>
      <c r="B287" s="81">
        <f>'ERROR FINAL'!D290</f>
        <v/>
      </c>
      <c r="C287" s="314">
        <f>'ERROR FINAL'!G290</f>
        <v/>
      </c>
      <c r="D287" s="83">
        <f>'ERROR FINAL'!I290</f>
        <v/>
      </c>
      <c r="E287" s="315">
        <f>'ERROR FINAL'!U290</f>
        <v/>
      </c>
      <c r="F287" s="316">
        <f>'ERROR FINAL'!AG290</f>
        <v/>
      </c>
      <c r="G287" s="316">
        <f>'ERROR FINAL'!AS290</f>
        <v/>
      </c>
      <c r="H287" s="86">
        <f>IF('ERROR FINAL'!AT290="CONFORME","CONFORME","NO CONFORME")</f>
        <v/>
      </c>
      <c r="I287" s="87">
        <f>IF(D287=0,"Medición",IF(D287=1,"Daño físico",IF(D287=2,"Fuga",IF(D287=3,"Picado",IF(D287=4,"Desfasado",IF(D287=5,"Paralizado","¿?"))))))</f>
        <v/>
      </c>
    </row>
    <row r="288">
      <c r="A288" s="80">
        <f>'ERROR FINAL'!A291</f>
        <v/>
      </c>
      <c r="B288" s="81">
        <f>'ERROR FINAL'!D291</f>
        <v/>
      </c>
      <c r="C288" s="314">
        <f>'ERROR FINAL'!G291</f>
        <v/>
      </c>
      <c r="D288" s="83">
        <f>'ERROR FINAL'!I291</f>
        <v/>
      </c>
      <c r="E288" s="315">
        <f>'ERROR FINAL'!U291</f>
        <v/>
      </c>
      <c r="F288" s="316">
        <f>'ERROR FINAL'!AG291</f>
        <v/>
      </c>
      <c r="G288" s="316">
        <f>'ERROR FINAL'!AS291</f>
        <v/>
      </c>
      <c r="H288" s="86">
        <f>IF('ERROR FINAL'!AT291="CONFORME","CONFORME","NO CONFORME")</f>
        <v/>
      </c>
      <c r="I288" s="87">
        <f>IF(D288=0,"Medición",IF(D288=1,"Daño físico",IF(D288=2,"Fuga",IF(D288=3,"Picado",IF(D288=4,"Desfasado",IF(D288=5,"Paralizado","¿?"))))))</f>
        <v/>
      </c>
    </row>
    <row r="289">
      <c r="A289" s="80">
        <f>'ERROR FINAL'!A292</f>
        <v/>
      </c>
      <c r="B289" s="81">
        <f>'ERROR FINAL'!D292</f>
        <v/>
      </c>
      <c r="C289" s="314">
        <f>'ERROR FINAL'!G292</f>
        <v/>
      </c>
      <c r="D289" s="83">
        <f>'ERROR FINAL'!I292</f>
        <v/>
      </c>
      <c r="E289" s="315">
        <f>'ERROR FINAL'!U292</f>
        <v/>
      </c>
      <c r="F289" s="316">
        <f>'ERROR FINAL'!AG292</f>
        <v/>
      </c>
      <c r="G289" s="316">
        <f>'ERROR FINAL'!AS292</f>
        <v/>
      </c>
      <c r="H289" s="86">
        <f>IF('ERROR FINAL'!AT292="CONFORME","CONFORME","NO CONFORME")</f>
        <v/>
      </c>
      <c r="I289" s="87">
        <f>IF(D289=0,"Medición",IF(D289=1,"Daño físico",IF(D289=2,"Fuga",IF(D289=3,"Picado",IF(D289=4,"Desfasado",IF(D289=5,"Paralizado","¿?"))))))</f>
        <v/>
      </c>
    </row>
    <row r="290">
      <c r="A290" s="80">
        <f>'ERROR FINAL'!A293</f>
        <v/>
      </c>
      <c r="B290" s="81">
        <f>'ERROR FINAL'!D293</f>
        <v/>
      </c>
      <c r="C290" s="314">
        <f>'ERROR FINAL'!G293</f>
        <v/>
      </c>
      <c r="D290" s="83">
        <f>'ERROR FINAL'!I293</f>
        <v/>
      </c>
      <c r="E290" s="315">
        <f>'ERROR FINAL'!U293</f>
        <v/>
      </c>
      <c r="F290" s="316">
        <f>'ERROR FINAL'!AG293</f>
        <v/>
      </c>
      <c r="G290" s="316">
        <f>'ERROR FINAL'!AS293</f>
        <v/>
      </c>
      <c r="H290" s="86">
        <f>IF('ERROR FINAL'!AT293="CONFORME","CONFORME","NO CONFORME")</f>
        <v/>
      </c>
      <c r="I290" s="87">
        <f>IF(D290=0,"Medición",IF(D290=1,"Daño físico",IF(D290=2,"Fuga",IF(D290=3,"Picado",IF(D290=4,"Desfasado",IF(D290=5,"Paralizado","¿?"))))))</f>
        <v/>
      </c>
    </row>
    <row r="291">
      <c r="A291" s="80">
        <f>'ERROR FINAL'!A294</f>
        <v/>
      </c>
      <c r="B291" s="81">
        <f>'ERROR FINAL'!D294</f>
        <v/>
      </c>
      <c r="C291" s="314">
        <f>'ERROR FINAL'!G294</f>
        <v/>
      </c>
      <c r="D291" s="83">
        <f>'ERROR FINAL'!I294</f>
        <v/>
      </c>
      <c r="E291" s="315">
        <f>'ERROR FINAL'!U294</f>
        <v/>
      </c>
      <c r="F291" s="316">
        <f>'ERROR FINAL'!AG294</f>
        <v/>
      </c>
      <c r="G291" s="316">
        <f>'ERROR FINAL'!AS294</f>
        <v/>
      </c>
      <c r="H291" s="86">
        <f>IF('ERROR FINAL'!AT294="CONFORME","CONFORME","NO CONFORME")</f>
        <v/>
      </c>
      <c r="I291" s="87">
        <f>IF(D291=0,"Medición",IF(D291=1,"Daño físico",IF(D291=2,"Fuga",IF(D291=3,"Picado",IF(D291=4,"Desfasado",IF(D291=5,"Paralizado","¿?"))))))</f>
        <v/>
      </c>
    </row>
    <row r="292">
      <c r="A292" s="80">
        <f>'ERROR FINAL'!A295</f>
        <v/>
      </c>
      <c r="B292" s="81">
        <f>'ERROR FINAL'!D295</f>
        <v/>
      </c>
      <c r="C292" s="314">
        <f>'ERROR FINAL'!G295</f>
        <v/>
      </c>
      <c r="D292" s="83">
        <f>'ERROR FINAL'!I295</f>
        <v/>
      </c>
      <c r="E292" s="315">
        <f>'ERROR FINAL'!U295</f>
        <v/>
      </c>
      <c r="F292" s="316">
        <f>'ERROR FINAL'!AG295</f>
        <v/>
      </c>
      <c r="G292" s="316">
        <f>'ERROR FINAL'!AS295</f>
        <v/>
      </c>
      <c r="H292" s="86">
        <f>IF('ERROR FINAL'!AT295="CONFORME","CONFORME","NO CONFORME")</f>
        <v/>
      </c>
      <c r="I292" s="87">
        <f>IF(D292=0,"Medición",IF(D292=1,"Daño físico",IF(D292=2,"Fuga",IF(D292=3,"Picado",IF(D292=4,"Desfasado",IF(D292=5,"Paralizado","¿?"))))))</f>
        <v/>
      </c>
    </row>
    <row r="293">
      <c r="A293" s="80">
        <f>'ERROR FINAL'!A296</f>
        <v/>
      </c>
      <c r="B293" s="81">
        <f>'ERROR FINAL'!D296</f>
        <v/>
      </c>
      <c r="C293" s="314">
        <f>'ERROR FINAL'!G296</f>
        <v/>
      </c>
      <c r="D293" s="83">
        <f>'ERROR FINAL'!I296</f>
        <v/>
      </c>
      <c r="E293" s="315">
        <f>'ERROR FINAL'!U296</f>
        <v/>
      </c>
      <c r="F293" s="316">
        <f>'ERROR FINAL'!AG296</f>
        <v/>
      </c>
      <c r="G293" s="316">
        <f>'ERROR FINAL'!AS296</f>
        <v/>
      </c>
      <c r="H293" s="86">
        <f>IF('ERROR FINAL'!AT296="CONFORME","CONFORME","NO CONFORME")</f>
        <v/>
      </c>
      <c r="I293" s="87">
        <f>IF(D293=0,"Medición",IF(D293=1,"Daño físico",IF(D293=2,"Fuga",IF(D293=3,"Picado",IF(D293=4,"Desfasado",IF(D293=5,"Paralizado","¿?"))))))</f>
        <v/>
      </c>
    </row>
    <row r="294">
      <c r="A294" s="80">
        <f>'ERROR FINAL'!A297</f>
        <v/>
      </c>
      <c r="B294" s="81">
        <f>'ERROR FINAL'!D297</f>
        <v/>
      </c>
      <c r="C294" s="314">
        <f>'ERROR FINAL'!G297</f>
        <v/>
      </c>
      <c r="D294" s="83">
        <f>'ERROR FINAL'!I297</f>
        <v/>
      </c>
      <c r="E294" s="315">
        <f>'ERROR FINAL'!U297</f>
        <v/>
      </c>
      <c r="F294" s="316">
        <f>'ERROR FINAL'!AG297</f>
        <v/>
      </c>
      <c r="G294" s="316">
        <f>'ERROR FINAL'!AS297</f>
        <v/>
      </c>
      <c r="H294" s="86">
        <f>IF('ERROR FINAL'!AT297="CONFORME","CONFORME","NO CONFORME")</f>
        <v/>
      </c>
      <c r="I294" s="87">
        <f>IF(D294=0,"Medición",IF(D294=1,"Daño físico",IF(D294=2,"Fuga",IF(D294=3,"Picado",IF(D294=4,"Desfasado",IF(D294=5,"Paralizado","¿?"))))))</f>
        <v/>
      </c>
    </row>
    <row r="295">
      <c r="A295" s="80">
        <f>'ERROR FINAL'!A298</f>
        <v/>
      </c>
      <c r="B295" s="81">
        <f>'ERROR FINAL'!D298</f>
        <v/>
      </c>
      <c r="C295" s="314">
        <f>'ERROR FINAL'!G298</f>
        <v/>
      </c>
      <c r="D295" s="83">
        <f>'ERROR FINAL'!I298</f>
        <v/>
      </c>
      <c r="E295" s="315">
        <f>'ERROR FINAL'!U298</f>
        <v/>
      </c>
      <c r="F295" s="316">
        <f>'ERROR FINAL'!AG298</f>
        <v/>
      </c>
      <c r="G295" s="316">
        <f>'ERROR FINAL'!AS298</f>
        <v/>
      </c>
      <c r="H295" s="86">
        <f>IF('ERROR FINAL'!AT298="CONFORME","CONFORME","NO CONFORME")</f>
        <v/>
      </c>
      <c r="I295" s="87">
        <f>IF(D295=0,"Medición",IF(D295=1,"Daño físico",IF(D295=2,"Fuga",IF(D295=3,"Picado",IF(D295=4,"Desfasado",IF(D295=5,"Paralizado","¿?"))))))</f>
        <v/>
      </c>
    </row>
    <row r="296">
      <c r="A296" s="80">
        <f>'ERROR FINAL'!A299</f>
        <v/>
      </c>
      <c r="B296" s="81">
        <f>'ERROR FINAL'!D299</f>
        <v/>
      </c>
      <c r="C296" s="314">
        <f>'ERROR FINAL'!G299</f>
        <v/>
      </c>
      <c r="D296" s="83">
        <f>'ERROR FINAL'!I299</f>
        <v/>
      </c>
      <c r="E296" s="315">
        <f>'ERROR FINAL'!U299</f>
        <v/>
      </c>
      <c r="F296" s="316">
        <f>'ERROR FINAL'!AG299</f>
        <v/>
      </c>
      <c r="G296" s="316">
        <f>'ERROR FINAL'!AS299</f>
        <v/>
      </c>
      <c r="H296" s="86">
        <f>IF('ERROR FINAL'!AT299="CONFORME","CONFORME","NO CONFORME")</f>
        <v/>
      </c>
      <c r="I296" s="87">
        <f>IF(D296=0,"Medición",IF(D296=1,"Daño físico",IF(D296=2,"Fuga",IF(D296=3,"Picado",IF(D296=4,"Desfasado",IF(D296=5,"Paralizado","¿?"))))))</f>
        <v/>
      </c>
    </row>
    <row r="297">
      <c r="A297" s="80">
        <f>'ERROR FINAL'!A300</f>
        <v/>
      </c>
      <c r="B297" s="81">
        <f>'ERROR FINAL'!D300</f>
        <v/>
      </c>
      <c r="C297" s="314">
        <f>'ERROR FINAL'!G300</f>
        <v/>
      </c>
      <c r="D297" s="83">
        <f>'ERROR FINAL'!I300</f>
        <v/>
      </c>
      <c r="E297" s="315">
        <f>'ERROR FINAL'!U300</f>
        <v/>
      </c>
      <c r="F297" s="316">
        <f>'ERROR FINAL'!AG300</f>
        <v/>
      </c>
      <c r="G297" s="316">
        <f>'ERROR FINAL'!AS300</f>
        <v/>
      </c>
      <c r="H297" s="86">
        <f>IF('ERROR FINAL'!AT300="CONFORME","CONFORME","NO CONFORME")</f>
        <v/>
      </c>
      <c r="I297" s="87">
        <f>IF(D297=0,"Medición",IF(D297=1,"Daño físico",IF(D297=2,"Fuga",IF(D297=3,"Picado",IF(D297=4,"Desfasado",IF(D297=5,"Paralizado","¿?"))))))</f>
        <v/>
      </c>
    </row>
    <row r="298">
      <c r="A298" s="80">
        <f>'ERROR FINAL'!A301</f>
        <v/>
      </c>
      <c r="B298" s="81">
        <f>'ERROR FINAL'!D301</f>
        <v/>
      </c>
      <c r="C298" s="314">
        <f>'ERROR FINAL'!G301</f>
        <v/>
      </c>
      <c r="D298" s="83">
        <f>'ERROR FINAL'!I301</f>
        <v/>
      </c>
      <c r="E298" s="315">
        <f>'ERROR FINAL'!U301</f>
        <v/>
      </c>
      <c r="F298" s="316">
        <f>'ERROR FINAL'!AG301</f>
        <v/>
      </c>
      <c r="G298" s="316">
        <f>'ERROR FINAL'!AS301</f>
        <v/>
      </c>
      <c r="H298" s="86">
        <f>IF('ERROR FINAL'!AT301="CONFORME","CONFORME","NO CONFORME")</f>
        <v/>
      </c>
      <c r="I298" s="87">
        <f>IF(D298=0,"Medición",IF(D298=1,"Daño físico",IF(D298=2,"Fuga",IF(D298=3,"Picado",IF(D298=4,"Desfasado",IF(D298=5,"Paralizado","¿?"))))))</f>
        <v/>
      </c>
    </row>
    <row r="299">
      <c r="A299" s="80">
        <f>'ERROR FINAL'!A302</f>
        <v/>
      </c>
      <c r="B299" s="81">
        <f>'ERROR FINAL'!D302</f>
        <v/>
      </c>
      <c r="C299" s="314">
        <f>'ERROR FINAL'!G302</f>
        <v/>
      </c>
      <c r="D299" s="83">
        <f>'ERROR FINAL'!I302</f>
        <v/>
      </c>
      <c r="E299" s="315">
        <f>'ERROR FINAL'!U302</f>
        <v/>
      </c>
      <c r="F299" s="316">
        <f>'ERROR FINAL'!AG302</f>
        <v/>
      </c>
      <c r="G299" s="316">
        <f>'ERROR FINAL'!AS302</f>
        <v/>
      </c>
      <c r="H299" s="86">
        <f>IF('ERROR FINAL'!AT302="CONFORME","CONFORME","NO CONFORME")</f>
        <v/>
      </c>
      <c r="I299" s="87">
        <f>IF(D299=0,"Medición",IF(D299=1,"Daño físico",IF(D299=2,"Fuga",IF(D299=3,"Picado",IF(D299=4,"Desfasado",IF(D299=5,"Paralizado","¿?"))))))</f>
        <v/>
      </c>
    </row>
    <row r="300">
      <c r="A300" s="80">
        <f>'ERROR FINAL'!A303</f>
        <v/>
      </c>
      <c r="B300" s="81">
        <f>'ERROR FINAL'!D303</f>
        <v/>
      </c>
      <c r="C300" s="314">
        <f>'ERROR FINAL'!G303</f>
        <v/>
      </c>
      <c r="D300" s="83">
        <f>'ERROR FINAL'!I303</f>
        <v/>
      </c>
      <c r="E300" s="315">
        <f>'ERROR FINAL'!U303</f>
        <v/>
      </c>
      <c r="F300" s="316">
        <f>'ERROR FINAL'!AG303</f>
        <v/>
      </c>
      <c r="G300" s="316">
        <f>'ERROR FINAL'!AS303</f>
        <v/>
      </c>
      <c r="H300" s="86">
        <f>IF('ERROR FINAL'!AT303="CONFORME","CONFORME","NO CONFORME")</f>
        <v/>
      </c>
      <c r="I300" s="87">
        <f>IF(D300=0,"Medición",IF(D300=1,"Daño físico",IF(D300=2,"Fuga",IF(D300=3,"Picado",IF(D300=4,"Desfasado",IF(D300=5,"Paralizado","¿?"))))))</f>
        <v/>
      </c>
    </row>
    <row r="301">
      <c r="A301" s="80">
        <f>'ERROR FINAL'!A304</f>
        <v/>
      </c>
      <c r="B301" s="81">
        <f>'ERROR FINAL'!D304</f>
        <v/>
      </c>
      <c r="C301" s="314">
        <f>'ERROR FINAL'!G304</f>
        <v/>
      </c>
      <c r="D301" s="83">
        <f>'ERROR FINAL'!I304</f>
        <v/>
      </c>
      <c r="E301" s="315">
        <f>'ERROR FINAL'!U304</f>
        <v/>
      </c>
      <c r="F301" s="316">
        <f>'ERROR FINAL'!AG304</f>
        <v/>
      </c>
      <c r="G301" s="316">
        <f>'ERROR FINAL'!AS304</f>
        <v/>
      </c>
      <c r="H301" s="86">
        <f>IF('ERROR FINAL'!AT304="CONFORME","CONFORME","NO CONFORME")</f>
        <v/>
      </c>
      <c r="I301" s="87">
        <f>IF(D301=0,"Medición",IF(D301=1,"Daño físico",IF(D301=2,"Fuga",IF(D301=3,"Picado",IF(D301=4,"Desfasado",IF(D301=5,"Paralizado","¿?"))))))</f>
        <v/>
      </c>
    </row>
    <row r="302">
      <c r="A302" s="80">
        <f>'ERROR FINAL'!A305</f>
        <v/>
      </c>
      <c r="B302" s="81">
        <f>'ERROR FINAL'!D305</f>
        <v/>
      </c>
      <c r="C302" s="314">
        <f>'ERROR FINAL'!G305</f>
        <v/>
      </c>
      <c r="D302" s="83">
        <f>'ERROR FINAL'!I305</f>
        <v/>
      </c>
      <c r="E302" s="315">
        <f>'ERROR FINAL'!U305</f>
        <v/>
      </c>
      <c r="F302" s="316">
        <f>'ERROR FINAL'!AG305</f>
        <v/>
      </c>
      <c r="G302" s="316">
        <f>'ERROR FINAL'!AS305</f>
        <v/>
      </c>
      <c r="H302" s="86">
        <f>IF('ERROR FINAL'!AT305="CONFORME","CONFORME","NO CONFORME")</f>
        <v/>
      </c>
      <c r="I302" s="87">
        <f>IF(D302=0,"Medición",IF(D302=1,"Daño físico",IF(D302=2,"Fuga",IF(D302=3,"Picado",IF(D302=4,"Desfasado",IF(D302=5,"Paralizado","¿?"))))))</f>
        <v/>
      </c>
    </row>
    <row r="303">
      <c r="A303" s="80">
        <f>'ERROR FINAL'!A306</f>
        <v/>
      </c>
      <c r="B303" s="81">
        <f>'ERROR FINAL'!D306</f>
        <v/>
      </c>
      <c r="C303" s="314">
        <f>'ERROR FINAL'!G306</f>
        <v/>
      </c>
      <c r="D303" s="83">
        <f>'ERROR FINAL'!I306</f>
        <v/>
      </c>
      <c r="E303" s="315">
        <f>'ERROR FINAL'!U306</f>
        <v/>
      </c>
      <c r="F303" s="316">
        <f>'ERROR FINAL'!AG306</f>
        <v/>
      </c>
      <c r="G303" s="316">
        <f>'ERROR FINAL'!AS306</f>
        <v/>
      </c>
      <c r="H303" s="86">
        <f>IF('ERROR FINAL'!AT306="CONFORME","CONFORME","NO CONFORME")</f>
        <v/>
      </c>
      <c r="I303" s="87">
        <f>IF(D303=0,"Medición",IF(D303=1,"Daño físico",IF(D303=2,"Fuga",IF(D303=3,"Picado",IF(D303=4,"Desfasado",IF(D303=5,"Paralizado","¿?"))))))</f>
        <v/>
      </c>
    </row>
    <row r="304">
      <c r="A304" s="80">
        <f>'ERROR FINAL'!A307</f>
        <v/>
      </c>
      <c r="B304" s="81">
        <f>'ERROR FINAL'!D307</f>
        <v/>
      </c>
      <c r="C304" s="314">
        <f>'ERROR FINAL'!G307</f>
        <v/>
      </c>
      <c r="D304" s="83">
        <f>'ERROR FINAL'!I307</f>
        <v/>
      </c>
      <c r="E304" s="315">
        <f>'ERROR FINAL'!U307</f>
        <v/>
      </c>
      <c r="F304" s="316">
        <f>'ERROR FINAL'!AG307</f>
        <v/>
      </c>
      <c r="G304" s="316">
        <f>'ERROR FINAL'!AS307</f>
        <v/>
      </c>
      <c r="H304" s="86">
        <f>IF('ERROR FINAL'!AT307="CONFORME","CONFORME","NO CONFORME")</f>
        <v/>
      </c>
      <c r="I304" s="87">
        <f>IF(D304=0,"Medición",IF(D304=1,"Daño físico",IF(D304=2,"Fuga",IF(D304=3,"Picado",IF(D304=4,"Desfasado",IF(D304=5,"Paralizado","¿?"))))))</f>
        <v/>
      </c>
    </row>
    <row r="305">
      <c r="A305" s="80">
        <f>'ERROR FINAL'!A308</f>
        <v/>
      </c>
      <c r="B305" s="81">
        <f>'ERROR FINAL'!D308</f>
        <v/>
      </c>
      <c r="C305" s="314">
        <f>'ERROR FINAL'!G308</f>
        <v/>
      </c>
      <c r="D305" s="83">
        <f>'ERROR FINAL'!I308</f>
        <v/>
      </c>
      <c r="E305" s="315">
        <f>'ERROR FINAL'!U308</f>
        <v/>
      </c>
      <c r="F305" s="316">
        <f>'ERROR FINAL'!AG308</f>
        <v/>
      </c>
      <c r="G305" s="316">
        <f>'ERROR FINAL'!AS308</f>
        <v/>
      </c>
      <c r="H305" s="86">
        <f>IF('ERROR FINAL'!AT308="CONFORME","CONFORME","NO CONFORME")</f>
        <v/>
      </c>
      <c r="I305" s="87">
        <f>IF(D305=0,"Medición",IF(D305=1,"Daño físico",IF(D305=2,"Fuga",IF(D305=3,"Picado",IF(D305=4,"Desfasado",IF(D305=5,"Paralizado","¿?"))))))</f>
        <v/>
      </c>
    </row>
    <row r="306">
      <c r="A306" s="80">
        <f>'ERROR FINAL'!A309</f>
        <v/>
      </c>
      <c r="B306" s="81">
        <f>'ERROR FINAL'!D309</f>
        <v/>
      </c>
      <c r="C306" s="314">
        <f>'ERROR FINAL'!G309</f>
        <v/>
      </c>
      <c r="D306" s="83">
        <f>'ERROR FINAL'!I309</f>
        <v/>
      </c>
      <c r="E306" s="315">
        <f>'ERROR FINAL'!U309</f>
        <v/>
      </c>
      <c r="F306" s="316">
        <f>'ERROR FINAL'!AG309</f>
        <v/>
      </c>
      <c r="G306" s="316">
        <f>'ERROR FINAL'!AS309</f>
        <v/>
      </c>
      <c r="H306" s="86">
        <f>IF('ERROR FINAL'!AT309="CONFORME","CONFORME","NO CONFORME")</f>
        <v/>
      </c>
      <c r="I306" s="87">
        <f>IF(D306=0,"Medición",IF(D306=1,"Daño físico",IF(D306=2,"Fuga",IF(D306=3,"Picado",IF(D306=4,"Desfasado",IF(D306=5,"Paralizado","¿?"))))))</f>
        <v/>
      </c>
    </row>
    <row r="307">
      <c r="A307" s="80">
        <f>'ERROR FINAL'!A310</f>
        <v/>
      </c>
      <c r="B307" s="81">
        <f>'ERROR FINAL'!D310</f>
        <v/>
      </c>
      <c r="C307" s="314">
        <f>'ERROR FINAL'!G310</f>
        <v/>
      </c>
      <c r="D307" s="83">
        <f>'ERROR FINAL'!I310</f>
        <v/>
      </c>
      <c r="E307" s="315">
        <f>'ERROR FINAL'!U310</f>
        <v/>
      </c>
      <c r="F307" s="316">
        <f>'ERROR FINAL'!AG310</f>
        <v/>
      </c>
      <c r="G307" s="316">
        <f>'ERROR FINAL'!AS310</f>
        <v/>
      </c>
      <c r="H307" s="86">
        <f>IF('ERROR FINAL'!AT310="CONFORME","CONFORME","NO CONFORME")</f>
        <v/>
      </c>
      <c r="I307" s="87">
        <f>IF(D307=0,"Medición",IF(D307=1,"Daño físico",IF(D307=2,"Fuga",IF(D307=3,"Picado",IF(D307=4,"Desfasado",IF(D307=5,"Paralizado","¿?"))))))</f>
        <v/>
      </c>
    </row>
    <row r="308">
      <c r="A308" s="80">
        <f>'ERROR FINAL'!A311</f>
        <v/>
      </c>
      <c r="B308" s="81">
        <f>'ERROR FINAL'!D311</f>
        <v/>
      </c>
      <c r="C308" s="314">
        <f>'ERROR FINAL'!G311</f>
        <v/>
      </c>
      <c r="D308" s="83">
        <f>'ERROR FINAL'!I311</f>
        <v/>
      </c>
      <c r="E308" s="315">
        <f>'ERROR FINAL'!U311</f>
        <v/>
      </c>
      <c r="F308" s="316">
        <f>'ERROR FINAL'!AG311</f>
        <v/>
      </c>
      <c r="G308" s="316">
        <f>'ERROR FINAL'!AS311</f>
        <v/>
      </c>
      <c r="H308" s="86">
        <f>IF('ERROR FINAL'!AT311="CONFORME","CONFORME","NO CONFORME")</f>
        <v/>
      </c>
      <c r="I308" s="87">
        <f>IF(D308=0,"Medición",IF(D308=1,"Daño físico",IF(D308=2,"Fuga",IF(D308=3,"Picado",IF(D308=4,"Desfasado",IF(D308=5,"Paralizado","¿?"))))))</f>
        <v/>
      </c>
    </row>
    <row r="309">
      <c r="A309" s="80">
        <f>'ERROR FINAL'!A312</f>
        <v/>
      </c>
      <c r="B309" s="81">
        <f>'ERROR FINAL'!D312</f>
        <v/>
      </c>
      <c r="C309" s="314">
        <f>'ERROR FINAL'!G312</f>
        <v/>
      </c>
      <c r="D309" s="83">
        <f>'ERROR FINAL'!I312</f>
        <v/>
      </c>
      <c r="E309" s="315">
        <f>'ERROR FINAL'!U312</f>
        <v/>
      </c>
      <c r="F309" s="316">
        <f>'ERROR FINAL'!AG312</f>
        <v/>
      </c>
      <c r="G309" s="316">
        <f>'ERROR FINAL'!AS312</f>
        <v/>
      </c>
      <c r="H309" s="86">
        <f>IF('ERROR FINAL'!AT312="CONFORME","CONFORME","NO CONFORME")</f>
        <v/>
      </c>
      <c r="I309" s="87">
        <f>IF(D309=0,"Medición",IF(D309=1,"Daño físico",IF(D309=2,"Fuga",IF(D309=3,"Picado",IF(D309=4,"Desfasado",IF(D309=5,"Paralizado","¿?"))))))</f>
        <v/>
      </c>
    </row>
    <row r="310">
      <c r="A310" s="80">
        <f>'ERROR FINAL'!A313</f>
        <v/>
      </c>
      <c r="B310" s="81">
        <f>'ERROR FINAL'!D313</f>
        <v/>
      </c>
      <c r="C310" s="314">
        <f>'ERROR FINAL'!G313</f>
        <v/>
      </c>
      <c r="D310" s="83">
        <f>'ERROR FINAL'!I313</f>
        <v/>
      </c>
      <c r="E310" s="315">
        <f>'ERROR FINAL'!U313</f>
        <v/>
      </c>
      <c r="F310" s="316">
        <f>'ERROR FINAL'!AG313</f>
        <v/>
      </c>
      <c r="G310" s="316">
        <f>'ERROR FINAL'!AS313</f>
        <v/>
      </c>
      <c r="H310" s="86">
        <f>IF('ERROR FINAL'!AT313="CONFORME","CONFORME","NO CONFORME")</f>
        <v/>
      </c>
      <c r="I310" s="87">
        <f>IF(D310=0,"Medición",IF(D310=1,"Daño físico",IF(D310=2,"Fuga",IF(D310=3,"Picado",IF(D310=4,"Desfasado",IF(D310=5,"Paralizado","¿?"))))))</f>
        <v/>
      </c>
    </row>
    <row r="311">
      <c r="A311" s="80">
        <f>'ERROR FINAL'!A314</f>
        <v/>
      </c>
      <c r="B311" s="81">
        <f>'ERROR FINAL'!D314</f>
        <v/>
      </c>
      <c r="C311" s="314">
        <f>'ERROR FINAL'!G314</f>
        <v/>
      </c>
      <c r="D311" s="83">
        <f>'ERROR FINAL'!I314</f>
        <v/>
      </c>
      <c r="E311" s="315">
        <f>'ERROR FINAL'!U314</f>
        <v/>
      </c>
      <c r="F311" s="316">
        <f>'ERROR FINAL'!AG314</f>
        <v/>
      </c>
      <c r="G311" s="316">
        <f>'ERROR FINAL'!AS314</f>
        <v/>
      </c>
      <c r="H311" s="86">
        <f>IF('ERROR FINAL'!AT314="CONFORME","CONFORME","NO CONFORME")</f>
        <v/>
      </c>
      <c r="I311" s="87">
        <f>IF(D311=0,"Medición",IF(D311=1,"Daño físico",IF(D311=2,"Fuga",IF(D311=3,"Picado",IF(D311=4,"Desfasado",IF(D311=5,"Paralizado","¿?"))))))</f>
        <v/>
      </c>
    </row>
    <row r="312">
      <c r="A312" s="80">
        <f>'ERROR FINAL'!A315</f>
        <v/>
      </c>
      <c r="B312" s="81">
        <f>'ERROR FINAL'!D315</f>
        <v/>
      </c>
      <c r="C312" s="314">
        <f>'ERROR FINAL'!G315</f>
        <v/>
      </c>
      <c r="D312" s="83">
        <f>'ERROR FINAL'!I315</f>
        <v/>
      </c>
      <c r="E312" s="315">
        <f>'ERROR FINAL'!U315</f>
        <v/>
      </c>
      <c r="F312" s="316">
        <f>'ERROR FINAL'!AG315</f>
        <v/>
      </c>
      <c r="G312" s="316">
        <f>'ERROR FINAL'!AS315</f>
        <v/>
      </c>
      <c r="H312" s="86">
        <f>IF('ERROR FINAL'!AT315="CONFORME","CONFORME","NO CONFORME")</f>
        <v/>
      </c>
      <c r="I312" s="87">
        <f>IF(D312=0,"Medición",IF(D312=1,"Daño físico",IF(D312=2,"Fuga",IF(D312=3,"Picado",IF(D312=4,"Desfasado",IF(D312=5,"Paralizado","¿?"))))))</f>
        <v/>
      </c>
    </row>
    <row r="313">
      <c r="A313" s="80">
        <f>'ERROR FINAL'!A316</f>
        <v/>
      </c>
      <c r="B313" s="81">
        <f>'ERROR FINAL'!D316</f>
        <v/>
      </c>
      <c r="C313" s="314">
        <f>'ERROR FINAL'!G316</f>
        <v/>
      </c>
      <c r="D313" s="83">
        <f>'ERROR FINAL'!I316</f>
        <v/>
      </c>
      <c r="E313" s="315">
        <f>'ERROR FINAL'!U316</f>
        <v/>
      </c>
      <c r="F313" s="316">
        <f>'ERROR FINAL'!AG316</f>
        <v/>
      </c>
      <c r="G313" s="316">
        <f>'ERROR FINAL'!AS316</f>
        <v/>
      </c>
      <c r="H313" s="86">
        <f>IF('ERROR FINAL'!AT316="CONFORME","CONFORME","NO CONFORME")</f>
        <v/>
      </c>
      <c r="I313" s="87">
        <f>IF(D313=0,"Medición",IF(D313=1,"Daño físico",IF(D313=2,"Fuga",IF(D313=3,"Picado",IF(D313=4,"Desfasado",IF(D313=5,"Paralizado","¿?"))))))</f>
        <v/>
      </c>
    </row>
    <row r="314">
      <c r="A314" s="80">
        <f>'ERROR FINAL'!A317</f>
        <v/>
      </c>
      <c r="B314" s="81">
        <f>'ERROR FINAL'!D317</f>
        <v/>
      </c>
      <c r="C314" s="314">
        <f>'ERROR FINAL'!G317</f>
        <v/>
      </c>
      <c r="D314" s="83">
        <f>'ERROR FINAL'!I317</f>
        <v/>
      </c>
      <c r="E314" s="315">
        <f>'ERROR FINAL'!U317</f>
        <v/>
      </c>
      <c r="F314" s="316">
        <f>'ERROR FINAL'!AG317</f>
        <v/>
      </c>
      <c r="G314" s="316">
        <f>'ERROR FINAL'!AS317</f>
        <v/>
      </c>
      <c r="H314" s="86">
        <f>IF('ERROR FINAL'!AT317="CONFORME","CONFORME","NO CONFORME")</f>
        <v/>
      </c>
      <c r="I314" s="87">
        <f>IF(D314=0,"Medición",IF(D314=1,"Daño físico",IF(D314=2,"Fuga",IF(D314=3,"Picado",IF(D314=4,"Desfasado",IF(D314=5,"Paralizado","¿?"))))))</f>
        <v/>
      </c>
    </row>
    <row r="315">
      <c r="A315" s="80">
        <f>'ERROR FINAL'!A318</f>
        <v/>
      </c>
      <c r="B315" s="81">
        <f>'ERROR FINAL'!D318</f>
        <v/>
      </c>
      <c r="C315" s="314">
        <f>'ERROR FINAL'!G318</f>
        <v/>
      </c>
      <c r="D315" s="83">
        <f>'ERROR FINAL'!I318</f>
        <v/>
      </c>
      <c r="E315" s="315">
        <f>'ERROR FINAL'!U318</f>
        <v/>
      </c>
      <c r="F315" s="316">
        <f>'ERROR FINAL'!AG318</f>
        <v/>
      </c>
      <c r="G315" s="316">
        <f>'ERROR FINAL'!AS318</f>
        <v/>
      </c>
      <c r="H315" s="86">
        <f>IF('ERROR FINAL'!AT318="CONFORME","CONFORME","NO CONFORME")</f>
        <v/>
      </c>
      <c r="I315" s="87">
        <f>IF(D315=0,"Medición",IF(D315=1,"Daño físico",IF(D315=2,"Fuga",IF(D315=3,"Picado",IF(D315=4,"Desfasado",IF(D315=5,"Paralizado","¿?"))))))</f>
        <v/>
      </c>
    </row>
    <row r="316">
      <c r="A316" s="80">
        <f>'ERROR FINAL'!A319</f>
        <v/>
      </c>
      <c r="B316" s="81">
        <f>'ERROR FINAL'!D319</f>
        <v/>
      </c>
      <c r="C316" s="314">
        <f>'ERROR FINAL'!G319</f>
        <v/>
      </c>
      <c r="D316" s="83">
        <f>'ERROR FINAL'!I319</f>
        <v/>
      </c>
      <c r="E316" s="315">
        <f>'ERROR FINAL'!U319</f>
        <v/>
      </c>
      <c r="F316" s="316">
        <f>'ERROR FINAL'!AG319</f>
        <v/>
      </c>
      <c r="G316" s="316">
        <f>'ERROR FINAL'!AS319</f>
        <v/>
      </c>
      <c r="H316" s="86">
        <f>IF('ERROR FINAL'!AT319="CONFORME","CONFORME","NO CONFORME")</f>
        <v/>
      </c>
      <c r="I316" s="87">
        <f>IF(D316=0,"Medición",IF(D316=1,"Daño físico",IF(D316=2,"Fuga",IF(D316=3,"Picado",IF(D316=4,"Desfasado",IF(D316=5,"Paralizado","¿?"))))))</f>
        <v/>
      </c>
    </row>
    <row r="317">
      <c r="A317" s="80">
        <f>'ERROR FINAL'!A320</f>
        <v/>
      </c>
      <c r="B317" s="81">
        <f>'ERROR FINAL'!D320</f>
        <v/>
      </c>
      <c r="C317" s="314">
        <f>'ERROR FINAL'!G320</f>
        <v/>
      </c>
      <c r="D317" s="83">
        <f>'ERROR FINAL'!I320</f>
        <v/>
      </c>
      <c r="E317" s="315">
        <f>'ERROR FINAL'!U320</f>
        <v/>
      </c>
      <c r="F317" s="316">
        <f>'ERROR FINAL'!AG320</f>
        <v/>
      </c>
      <c r="G317" s="316">
        <f>'ERROR FINAL'!AS320</f>
        <v/>
      </c>
      <c r="H317" s="86">
        <f>IF('ERROR FINAL'!AT320="CONFORME","CONFORME","NO CONFORME")</f>
        <v/>
      </c>
      <c r="I317" s="87">
        <f>IF(D317=0,"Medición",IF(D317=1,"Daño físico",IF(D317=2,"Fuga",IF(D317=3,"Picado",IF(D317=4,"Desfasado",IF(D317=5,"Paralizado","¿?"))))))</f>
        <v/>
      </c>
    </row>
    <row r="318">
      <c r="A318" s="80">
        <f>'ERROR FINAL'!A321</f>
        <v/>
      </c>
      <c r="B318" s="81">
        <f>'ERROR FINAL'!D321</f>
        <v/>
      </c>
      <c r="C318" s="314">
        <f>'ERROR FINAL'!G321</f>
        <v/>
      </c>
      <c r="D318" s="83">
        <f>'ERROR FINAL'!I321</f>
        <v/>
      </c>
      <c r="E318" s="315">
        <f>'ERROR FINAL'!U321</f>
        <v/>
      </c>
      <c r="F318" s="316">
        <f>'ERROR FINAL'!AG321</f>
        <v/>
      </c>
      <c r="G318" s="316">
        <f>'ERROR FINAL'!AS321</f>
        <v/>
      </c>
      <c r="H318" s="86">
        <f>IF('ERROR FINAL'!AT321="CONFORME","CONFORME","NO CONFORME")</f>
        <v/>
      </c>
      <c r="I318" s="87">
        <f>IF(D318=0,"Medición",IF(D318=1,"Daño físico",IF(D318=2,"Fuga",IF(D318=3,"Picado",IF(D318=4,"Desfasado",IF(D318=5,"Paralizado","¿?"))))))</f>
        <v/>
      </c>
    </row>
    <row r="319">
      <c r="A319" s="80">
        <f>'ERROR FINAL'!A322</f>
        <v/>
      </c>
      <c r="B319" s="81">
        <f>'ERROR FINAL'!D322</f>
        <v/>
      </c>
      <c r="C319" s="314">
        <f>'ERROR FINAL'!G322</f>
        <v/>
      </c>
      <c r="D319" s="83">
        <f>'ERROR FINAL'!I322</f>
        <v/>
      </c>
      <c r="E319" s="315">
        <f>'ERROR FINAL'!U322</f>
        <v/>
      </c>
      <c r="F319" s="316">
        <f>'ERROR FINAL'!AG322</f>
        <v/>
      </c>
      <c r="G319" s="316">
        <f>'ERROR FINAL'!AS322</f>
        <v/>
      </c>
      <c r="H319" s="86">
        <f>IF('ERROR FINAL'!AT322="CONFORME","CONFORME","NO CONFORME")</f>
        <v/>
      </c>
      <c r="I319" s="87">
        <f>IF(D319=0,"Medición",IF(D319=1,"Daño físico",IF(D319=2,"Fuga",IF(D319=3,"Picado",IF(D319=4,"Desfasado",IF(D319=5,"Paralizado","¿?"))))))</f>
        <v/>
      </c>
    </row>
    <row r="320">
      <c r="A320" s="80">
        <f>'ERROR FINAL'!A323</f>
        <v/>
      </c>
      <c r="B320" s="81">
        <f>'ERROR FINAL'!D323</f>
        <v/>
      </c>
      <c r="C320" s="314">
        <f>'ERROR FINAL'!G323</f>
        <v/>
      </c>
      <c r="D320" s="83">
        <f>'ERROR FINAL'!I323</f>
        <v/>
      </c>
      <c r="E320" s="315">
        <f>'ERROR FINAL'!U323</f>
        <v/>
      </c>
      <c r="F320" s="316">
        <f>'ERROR FINAL'!AG323</f>
        <v/>
      </c>
      <c r="G320" s="316">
        <f>'ERROR FINAL'!AS323</f>
        <v/>
      </c>
      <c r="H320" s="86">
        <f>IF('ERROR FINAL'!AT323="CONFORME","CONFORME","NO CONFORME")</f>
        <v/>
      </c>
      <c r="I320" s="87">
        <f>IF(D320=0,"Medición",IF(D320=1,"Daño físico",IF(D320=2,"Fuga",IF(D320=3,"Picado",IF(D320=4,"Desfasado",IF(D320=5,"Paralizado","¿?"))))))</f>
        <v/>
      </c>
    </row>
    <row r="321">
      <c r="A321" s="80">
        <f>'ERROR FINAL'!A324</f>
        <v/>
      </c>
      <c r="B321" s="81">
        <f>'ERROR FINAL'!D324</f>
        <v/>
      </c>
      <c r="C321" s="314">
        <f>'ERROR FINAL'!G324</f>
        <v/>
      </c>
      <c r="D321" s="83">
        <f>'ERROR FINAL'!I324</f>
        <v/>
      </c>
      <c r="E321" s="315">
        <f>'ERROR FINAL'!U324</f>
        <v/>
      </c>
      <c r="F321" s="316">
        <f>'ERROR FINAL'!AG324</f>
        <v/>
      </c>
      <c r="G321" s="316">
        <f>'ERROR FINAL'!AS324</f>
        <v/>
      </c>
      <c r="H321" s="86">
        <f>IF('ERROR FINAL'!AT324="CONFORME","CONFORME","NO CONFORME")</f>
        <v/>
      </c>
      <c r="I321" s="87">
        <f>IF(D321=0,"Medición",IF(D321=1,"Daño físico",IF(D321=2,"Fuga",IF(D321=3,"Picado",IF(D321=4,"Desfasado",IF(D321=5,"Paralizado","¿?"))))))</f>
        <v/>
      </c>
    </row>
    <row r="322">
      <c r="A322" s="80">
        <f>'ERROR FINAL'!A325</f>
        <v/>
      </c>
      <c r="B322" s="81">
        <f>'ERROR FINAL'!D325</f>
        <v/>
      </c>
      <c r="C322" s="314">
        <f>'ERROR FINAL'!G325</f>
        <v/>
      </c>
      <c r="D322" s="83">
        <f>'ERROR FINAL'!I325</f>
        <v/>
      </c>
      <c r="E322" s="315">
        <f>'ERROR FINAL'!U325</f>
        <v/>
      </c>
      <c r="F322" s="316">
        <f>'ERROR FINAL'!AG325</f>
        <v/>
      </c>
      <c r="G322" s="316">
        <f>'ERROR FINAL'!AS325</f>
        <v/>
      </c>
      <c r="H322" s="86">
        <f>IF('ERROR FINAL'!AT325="CONFORME","CONFORME","NO CONFORME")</f>
        <v/>
      </c>
      <c r="I322" s="87">
        <f>IF(D322=0,"Medición",IF(D322=1,"Daño físico",IF(D322=2,"Fuga",IF(D322=3,"Picado",IF(D322=4,"Desfasado",IF(D322=5,"Paralizado","¿?"))))))</f>
        <v/>
      </c>
    </row>
    <row r="323">
      <c r="A323" s="80">
        <f>'ERROR FINAL'!A326</f>
        <v/>
      </c>
      <c r="B323" s="81">
        <f>'ERROR FINAL'!D326</f>
        <v/>
      </c>
      <c r="C323" s="314">
        <f>'ERROR FINAL'!G326</f>
        <v/>
      </c>
      <c r="D323" s="83">
        <f>'ERROR FINAL'!I326</f>
        <v/>
      </c>
      <c r="E323" s="315">
        <f>'ERROR FINAL'!U326</f>
        <v/>
      </c>
      <c r="F323" s="316">
        <f>'ERROR FINAL'!AG326</f>
        <v/>
      </c>
      <c r="G323" s="316">
        <f>'ERROR FINAL'!AS326</f>
        <v/>
      </c>
      <c r="H323" s="86">
        <f>IF('ERROR FINAL'!AT326="CONFORME","CONFORME","NO CONFORME")</f>
        <v/>
      </c>
      <c r="I323" s="87">
        <f>IF(D323=0,"Medición",IF(D323=1,"Daño físico",IF(D323=2,"Fuga",IF(D323=3,"Picado",IF(D323=4,"Desfasado",IF(D323=5,"Paralizado","¿?"))))))</f>
        <v/>
      </c>
    </row>
    <row r="324">
      <c r="A324" s="80">
        <f>'ERROR FINAL'!A327</f>
        <v/>
      </c>
      <c r="B324" s="81">
        <f>'ERROR FINAL'!D327</f>
        <v/>
      </c>
      <c r="C324" s="314">
        <f>'ERROR FINAL'!G327</f>
        <v/>
      </c>
      <c r="D324" s="83">
        <f>'ERROR FINAL'!I327</f>
        <v/>
      </c>
      <c r="E324" s="315">
        <f>'ERROR FINAL'!U327</f>
        <v/>
      </c>
      <c r="F324" s="316">
        <f>'ERROR FINAL'!AG327</f>
        <v/>
      </c>
      <c r="G324" s="316">
        <f>'ERROR FINAL'!AS327</f>
        <v/>
      </c>
      <c r="H324" s="86">
        <f>IF('ERROR FINAL'!AT327="CONFORME","CONFORME","NO CONFORME")</f>
        <v/>
      </c>
      <c r="I324" s="87">
        <f>IF(D324=0,"Medición",IF(D324=1,"Daño físico",IF(D324=2,"Fuga",IF(D324=3,"Picado",IF(D324=4,"Desfasado",IF(D324=5,"Paralizado","¿?"))))))</f>
        <v/>
      </c>
    </row>
    <row r="325">
      <c r="A325" s="80">
        <f>'ERROR FINAL'!A328</f>
        <v/>
      </c>
      <c r="B325" s="81">
        <f>'ERROR FINAL'!D328</f>
        <v/>
      </c>
      <c r="C325" s="314">
        <f>'ERROR FINAL'!G328</f>
        <v/>
      </c>
      <c r="D325" s="83">
        <f>'ERROR FINAL'!I328</f>
        <v/>
      </c>
      <c r="E325" s="315">
        <f>'ERROR FINAL'!U328</f>
        <v/>
      </c>
      <c r="F325" s="316">
        <f>'ERROR FINAL'!AG328</f>
        <v/>
      </c>
      <c r="G325" s="316">
        <f>'ERROR FINAL'!AS328</f>
        <v/>
      </c>
      <c r="H325" s="86">
        <f>IF('ERROR FINAL'!AT328="CONFORME","CONFORME","NO CONFORME")</f>
        <v/>
      </c>
      <c r="I325" s="87">
        <f>IF(D325=0,"Medición",IF(D325=1,"Daño físico",IF(D325=2,"Fuga",IF(D325=3,"Picado",IF(D325=4,"Desfasado",IF(D325=5,"Paralizado","¿?"))))))</f>
        <v/>
      </c>
    </row>
    <row r="326">
      <c r="A326" s="80">
        <f>'ERROR FINAL'!A329</f>
        <v/>
      </c>
      <c r="B326" s="81">
        <f>'ERROR FINAL'!D329</f>
        <v/>
      </c>
      <c r="C326" s="314">
        <f>'ERROR FINAL'!G329</f>
        <v/>
      </c>
      <c r="D326" s="83">
        <f>'ERROR FINAL'!I329</f>
        <v/>
      </c>
      <c r="E326" s="315">
        <f>'ERROR FINAL'!U329</f>
        <v/>
      </c>
      <c r="F326" s="316">
        <f>'ERROR FINAL'!AG329</f>
        <v/>
      </c>
      <c r="G326" s="316">
        <f>'ERROR FINAL'!AS329</f>
        <v/>
      </c>
      <c r="H326" s="86">
        <f>IF('ERROR FINAL'!AT329="CONFORME","CONFORME","NO CONFORME")</f>
        <v/>
      </c>
      <c r="I326" s="87">
        <f>IF(D326=0,"Medición",IF(D326=1,"Daño físico",IF(D326=2,"Fuga",IF(D326=3,"Picado",IF(D326=4,"Desfasado",IF(D326=5,"Paralizado","¿?"))))))</f>
        <v/>
      </c>
    </row>
    <row r="327">
      <c r="A327" s="80">
        <f>'ERROR FINAL'!A330</f>
        <v/>
      </c>
      <c r="B327" s="81">
        <f>'ERROR FINAL'!D330</f>
        <v/>
      </c>
      <c r="C327" s="314">
        <f>'ERROR FINAL'!G330</f>
        <v/>
      </c>
      <c r="D327" s="83">
        <f>'ERROR FINAL'!I330</f>
        <v/>
      </c>
      <c r="E327" s="315">
        <f>'ERROR FINAL'!U330</f>
        <v/>
      </c>
      <c r="F327" s="316">
        <f>'ERROR FINAL'!AG330</f>
        <v/>
      </c>
      <c r="G327" s="316">
        <f>'ERROR FINAL'!AS330</f>
        <v/>
      </c>
      <c r="H327" s="86">
        <f>IF('ERROR FINAL'!AT330="CONFORME","CONFORME","NO CONFORME")</f>
        <v/>
      </c>
      <c r="I327" s="87">
        <f>IF(D327=0,"Medición",IF(D327=1,"Daño físico",IF(D327=2,"Fuga",IF(D327=3,"Picado",IF(D327=4,"Desfasado",IF(D327=5,"Paralizado","¿?"))))))</f>
        <v/>
      </c>
    </row>
    <row r="328">
      <c r="A328" s="80">
        <f>'ERROR FINAL'!A331</f>
        <v/>
      </c>
      <c r="B328" s="81">
        <f>'ERROR FINAL'!D331</f>
        <v/>
      </c>
      <c r="C328" s="314">
        <f>'ERROR FINAL'!G331</f>
        <v/>
      </c>
      <c r="D328" s="83">
        <f>'ERROR FINAL'!I331</f>
        <v/>
      </c>
      <c r="E328" s="315">
        <f>'ERROR FINAL'!U331</f>
        <v/>
      </c>
      <c r="F328" s="316">
        <f>'ERROR FINAL'!AG331</f>
        <v/>
      </c>
      <c r="G328" s="316">
        <f>'ERROR FINAL'!AS331</f>
        <v/>
      </c>
      <c r="H328" s="86">
        <f>IF('ERROR FINAL'!AT331="CONFORME","CONFORME","NO CONFORME")</f>
        <v/>
      </c>
      <c r="I328" s="87">
        <f>IF(D328=0,"Medición",IF(D328=1,"Daño físico",IF(D328=2,"Fuga",IF(D328=3,"Picado",IF(D328=4,"Desfasado",IF(D328=5,"Paralizado","¿?"))))))</f>
        <v/>
      </c>
    </row>
    <row r="329">
      <c r="A329" s="80">
        <f>'ERROR FINAL'!A332</f>
        <v/>
      </c>
      <c r="B329" s="81">
        <f>'ERROR FINAL'!D332</f>
        <v/>
      </c>
      <c r="C329" s="314">
        <f>'ERROR FINAL'!G332</f>
        <v/>
      </c>
      <c r="D329" s="83">
        <f>'ERROR FINAL'!I332</f>
        <v/>
      </c>
      <c r="E329" s="315">
        <f>'ERROR FINAL'!U332</f>
        <v/>
      </c>
      <c r="F329" s="316">
        <f>'ERROR FINAL'!AG332</f>
        <v/>
      </c>
      <c r="G329" s="316">
        <f>'ERROR FINAL'!AS332</f>
        <v/>
      </c>
      <c r="H329" s="86">
        <f>IF('ERROR FINAL'!AT332="CONFORME","CONFORME","NO CONFORME")</f>
        <v/>
      </c>
      <c r="I329" s="87">
        <f>IF(D329=0,"Medición",IF(D329=1,"Daño físico",IF(D329=2,"Fuga",IF(D329=3,"Picado",IF(D329=4,"Desfasado",IF(D329=5,"Paralizado","¿?"))))))</f>
        <v/>
      </c>
    </row>
    <row r="330">
      <c r="A330" s="80">
        <f>'ERROR FINAL'!A333</f>
        <v/>
      </c>
      <c r="B330" s="81">
        <f>'ERROR FINAL'!D333</f>
        <v/>
      </c>
      <c r="C330" s="314">
        <f>'ERROR FINAL'!G333</f>
        <v/>
      </c>
      <c r="D330" s="83">
        <f>'ERROR FINAL'!I333</f>
        <v/>
      </c>
      <c r="E330" s="315">
        <f>'ERROR FINAL'!U333</f>
        <v/>
      </c>
      <c r="F330" s="316">
        <f>'ERROR FINAL'!AG333</f>
        <v/>
      </c>
      <c r="G330" s="316">
        <f>'ERROR FINAL'!AS333</f>
        <v/>
      </c>
      <c r="H330" s="86">
        <f>IF('ERROR FINAL'!AT333="CONFORME","CONFORME","NO CONFORME")</f>
        <v/>
      </c>
      <c r="I330" s="87">
        <f>IF(D330=0,"Medición",IF(D330=1,"Daño físico",IF(D330=2,"Fuga",IF(D330=3,"Picado",IF(D330=4,"Desfasado",IF(D330=5,"Paralizado","¿?"))))))</f>
        <v/>
      </c>
    </row>
    <row r="331">
      <c r="A331" s="80">
        <f>'ERROR FINAL'!A334</f>
        <v/>
      </c>
      <c r="B331" s="81">
        <f>'ERROR FINAL'!D334</f>
        <v/>
      </c>
      <c r="C331" s="314">
        <f>'ERROR FINAL'!G334</f>
        <v/>
      </c>
      <c r="D331" s="83">
        <f>'ERROR FINAL'!I334</f>
        <v/>
      </c>
      <c r="E331" s="315">
        <f>'ERROR FINAL'!U334</f>
        <v/>
      </c>
      <c r="F331" s="316">
        <f>'ERROR FINAL'!AG334</f>
        <v/>
      </c>
      <c r="G331" s="316">
        <f>'ERROR FINAL'!AS334</f>
        <v/>
      </c>
      <c r="H331" s="86">
        <f>IF('ERROR FINAL'!AT334="CONFORME","CONFORME","NO CONFORME")</f>
        <v/>
      </c>
      <c r="I331" s="87">
        <f>IF(D331=0,"Medición",IF(D331=1,"Daño físico",IF(D331=2,"Fuga",IF(D331=3,"Picado",IF(D331=4,"Desfasado",IF(D331=5,"Paralizado","¿?"))))))</f>
        <v/>
      </c>
    </row>
    <row r="332">
      <c r="A332" s="80">
        <f>'ERROR FINAL'!A335</f>
        <v/>
      </c>
      <c r="B332" s="81">
        <f>'ERROR FINAL'!D335</f>
        <v/>
      </c>
      <c r="C332" s="314">
        <f>'ERROR FINAL'!G335</f>
        <v/>
      </c>
      <c r="D332" s="83">
        <f>'ERROR FINAL'!I335</f>
        <v/>
      </c>
      <c r="E332" s="315">
        <f>'ERROR FINAL'!U335</f>
        <v/>
      </c>
      <c r="F332" s="316">
        <f>'ERROR FINAL'!AG335</f>
        <v/>
      </c>
      <c r="G332" s="316">
        <f>'ERROR FINAL'!AS335</f>
        <v/>
      </c>
      <c r="H332" s="86">
        <f>IF('ERROR FINAL'!AT335="CONFORME","CONFORME","NO CONFORME")</f>
        <v/>
      </c>
      <c r="I332" s="87">
        <f>IF(D332=0,"Medición",IF(D332=1,"Daño físico",IF(D332=2,"Fuga",IF(D332=3,"Picado",IF(D332=4,"Desfasado",IF(D332=5,"Paralizado","¿?"))))))</f>
        <v/>
      </c>
    </row>
    <row r="333">
      <c r="A333" s="80">
        <f>'ERROR FINAL'!A336</f>
        <v/>
      </c>
      <c r="B333" s="81">
        <f>'ERROR FINAL'!D336</f>
        <v/>
      </c>
      <c r="C333" s="314">
        <f>'ERROR FINAL'!G336</f>
        <v/>
      </c>
      <c r="D333" s="83">
        <f>'ERROR FINAL'!I336</f>
        <v/>
      </c>
      <c r="E333" s="315">
        <f>'ERROR FINAL'!U336</f>
        <v/>
      </c>
      <c r="F333" s="316">
        <f>'ERROR FINAL'!AG336</f>
        <v/>
      </c>
      <c r="G333" s="316">
        <f>'ERROR FINAL'!AS336</f>
        <v/>
      </c>
      <c r="H333" s="86">
        <f>IF('ERROR FINAL'!AT336="CONFORME","CONFORME","NO CONFORME")</f>
        <v/>
      </c>
      <c r="I333" s="87">
        <f>IF(D333=0,"Medición",IF(D333=1,"Daño físico",IF(D333=2,"Fuga",IF(D333=3,"Picado",IF(D333=4,"Desfasado",IF(D333=5,"Paralizado","¿?"))))))</f>
        <v/>
      </c>
    </row>
    <row r="334">
      <c r="A334" s="80">
        <f>'ERROR FINAL'!A337</f>
        <v/>
      </c>
      <c r="B334" s="81">
        <f>'ERROR FINAL'!D337</f>
        <v/>
      </c>
      <c r="C334" s="314">
        <f>'ERROR FINAL'!G337</f>
        <v/>
      </c>
      <c r="D334" s="83">
        <f>'ERROR FINAL'!I337</f>
        <v/>
      </c>
      <c r="E334" s="315">
        <f>'ERROR FINAL'!U337</f>
        <v/>
      </c>
      <c r="F334" s="316">
        <f>'ERROR FINAL'!AG337</f>
        <v/>
      </c>
      <c r="G334" s="316">
        <f>'ERROR FINAL'!AS337</f>
        <v/>
      </c>
      <c r="H334" s="86">
        <f>IF('ERROR FINAL'!AT337="CONFORME","CONFORME","NO CONFORME")</f>
        <v/>
      </c>
      <c r="I334" s="87">
        <f>IF(D334=0,"Medición",IF(D334=1,"Daño físico",IF(D334=2,"Fuga",IF(D334=3,"Picado",IF(D334=4,"Desfasado",IF(D334=5,"Paralizado","¿?"))))))</f>
        <v/>
      </c>
    </row>
    <row r="335">
      <c r="A335" s="80">
        <f>'ERROR FINAL'!A338</f>
        <v/>
      </c>
      <c r="B335" s="81">
        <f>'ERROR FINAL'!D338</f>
        <v/>
      </c>
      <c r="C335" s="314">
        <f>'ERROR FINAL'!G338</f>
        <v/>
      </c>
      <c r="D335" s="83">
        <f>'ERROR FINAL'!I338</f>
        <v/>
      </c>
      <c r="E335" s="315">
        <f>'ERROR FINAL'!U338</f>
        <v/>
      </c>
      <c r="F335" s="316">
        <f>'ERROR FINAL'!AG338</f>
        <v/>
      </c>
      <c r="G335" s="316">
        <f>'ERROR FINAL'!AS338</f>
        <v/>
      </c>
      <c r="H335" s="86">
        <f>IF('ERROR FINAL'!AT338="CONFORME","CONFORME","NO CONFORME")</f>
        <v/>
      </c>
      <c r="I335" s="87">
        <f>IF(D335=0,"Medición",IF(D335=1,"Daño físico",IF(D335=2,"Fuga",IF(D335=3,"Picado",IF(D335=4,"Desfasado",IF(D335=5,"Paralizado","¿?"))))))</f>
        <v/>
      </c>
    </row>
    <row r="336">
      <c r="A336" s="80">
        <f>'ERROR FINAL'!A339</f>
        <v/>
      </c>
      <c r="B336" s="81">
        <f>'ERROR FINAL'!D339</f>
        <v/>
      </c>
      <c r="C336" s="314">
        <f>'ERROR FINAL'!G339</f>
        <v/>
      </c>
      <c r="D336" s="83">
        <f>'ERROR FINAL'!I339</f>
        <v/>
      </c>
      <c r="E336" s="315">
        <f>'ERROR FINAL'!U339</f>
        <v/>
      </c>
      <c r="F336" s="316">
        <f>'ERROR FINAL'!AG339</f>
        <v/>
      </c>
      <c r="G336" s="316">
        <f>'ERROR FINAL'!AS339</f>
        <v/>
      </c>
      <c r="H336" s="86">
        <f>IF('ERROR FINAL'!AT339="CONFORME","CONFORME","NO CONFORME")</f>
        <v/>
      </c>
      <c r="I336" s="87">
        <f>IF(D336=0,"Medición",IF(D336=1,"Daño físico",IF(D336=2,"Fuga",IF(D336=3,"Picado",IF(D336=4,"Desfasado",IF(D336=5,"Paralizado","¿?"))))))</f>
        <v/>
      </c>
    </row>
    <row r="337">
      <c r="A337" s="80">
        <f>'ERROR FINAL'!A340</f>
        <v/>
      </c>
      <c r="B337" s="81">
        <f>'ERROR FINAL'!D340</f>
        <v/>
      </c>
      <c r="C337" s="314">
        <f>'ERROR FINAL'!G340</f>
        <v/>
      </c>
      <c r="D337" s="83">
        <f>'ERROR FINAL'!I340</f>
        <v/>
      </c>
      <c r="E337" s="315">
        <f>'ERROR FINAL'!U340</f>
        <v/>
      </c>
      <c r="F337" s="316">
        <f>'ERROR FINAL'!AG340</f>
        <v/>
      </c>
      <c r="G337" s="316">
        <f>'ERROR FINAL'!AS340</f>
        <v/>
      </c>
      <c r="H337" s="86">
        <f>IF('ERROR FINAL'!AT340="CONFORME","CONFORME","NO CONFORME")</f>
        <v/>
      </c>
      <c r="I337" s="87">
        <f>IF(D337=0,"Medición",IF(D337=1,"Daño físico",IF(D337=2,"Fuga",IF(D337=3,"Picado",IF(D337=4,"Desfasado",IF(D337=5,"Paralizado","¿?"))))))</f>
        <v/>
      </c>
    </row>
    <row r="338">
      <c r="A338" s="80">
        <f>'ERROR FINAL'!A341</f>
        <v/>
      </c>
      <c r="B338" s="81">
        <f>'ERROR FINAL'!D341</f>
        <v/>
      </c>
      <c r="C338" s="314">
        <f>'ERROR FINAL'!G341</f>
        <v/>
      </c>
      <c r="D338" s="83">
        <f>'ERROR FINAL'!I341</f>
        <v/>
      </c>
      <c r="E338" s="315">
        <f>'ERROR FINAL'!U341</f>
        <v/>
      </c>
      <c r="F338" s="316">
        <f>'ERROR FINAL'!AG341</f>
        <v/>
      </c>
      <c r="G338" s="316">
        <f>'ERROR FINAL'!AS341</f>
        <v/>
      </c>
      <c r="H338" s="86">
        <f>IF('ERROR FINAL'!AT341="CONFORME","CONFORME","NO CONFORME")</f>
        <v/>
      </c>
      <c r="I338" s="87">
        <f>IF(D338=0,"Medición",IF(D338=1,"Daño físico",IF(D338=2,"Fuga",IF(D338=3,"Picado",IF(D338=4,"Desfasado",IF(D338=5,"Paralizado","¿?"))))))</f>
        <v/>
      </c>
    </row>
    <row r="339">
      <c r="A339" s="80">
        <f>'ERROR FINAL'!A342</f>
        <v/>
      </c>
      <c r="B339" s="81">
        <f>'ERROR FINAL'!D342</f>
        <v/>
      </c>
      <c r="C339" s="314">
        <f>'ERROR FINAL'!G342</f>
        <v/>
      </c>
      <c r="D339" s="83">
        <f>'ERROR FINAL'!I342</f>
        <v/>
      </c>
      <c r="E339" s="315">
        <f>'ERROR FINAL'!U342</f>
        <v/>
      </c>
      <c r="F339" s="316">
        <f>'ERROR FINAL'!AG342</f>
        <v/>
      </c>
      <c r="G339" s="316">
        <f>'ERROR FINAL'!AS342</f>
        <v/>
      </c>
      <c r="H339" s="86">
        <f>IF('ERROR FINAL'!AT342="CONFORME","CONFORME","NO CONFORME")</f>
        <v/>
      </c>
      <c r="I339" s="87">
        <f>IF(D339=0,"Medición",IF(D339=1,"Daño físico",IF(D339=2,"Fuga",IF(D339=3,"Picado",IF(D339=4,"Desfasado",IF(D339=5,"Paralizado","¿?"))))))</f>
        <v/>
      </c>
    </row>
    <row r="340">
      <c r="A340" s="80">
        <f>'ERROR FINAL'!A343</f>
        <v/>
      </c>
      <c r="B340" s="81">
        <f>'ERROR FINAL'!D343</f>
        <v/>
      </c>
      <c r="C340" s="314">
        <f>'ERROR FINAL'!G343</f>
        <v/>
      </c>
      <c r="D340" s="83">
        <f>'ERROR FINAL'!I343</f>
        <v/>
      </c>
      <c r="E340" s="315">
        <f>'ERROR FINAL'!U343</f>
        <v/>
      </c>
      <c r="F340" s="316">
        <f>'ERROR FINAL'!AG343</f>
        <v/>
      </c>
      <c r="G340" s="316">
        <f>'ERROR FINAL'!AS343</f>
        <v/>
      </c>
      <c r="H340" s="86">
        <f>IF('ERROR FINAL'!AT343="CONFORME","CONFORME","NO CONFORME")</f>
        <v/>
      </c>
      <c r="I340" s="87">
        <f>IF(D340=0,"Medición",IF(D340=1,"Daño físico",IF(D340=2,"Fuga",IF(D340=3,"Picado",IF(D340=4,"Desfasado",IF(D340=5,"Paralizado","¿?"))))))</f>
        <v/>
      </c>
    </row>
    <row r="341">
      <c r="A341" s="80">
        <f>'ERROR FINAL'!A344</f>
        <v/>
      </c>
      <c r="B341" s="81">
        <f>'ERROR FINAL'!D344</f>
        <v/>
      </c>
      <c r="C341" s="314">
        <f>'ERROR FINAL'!G344</f>
        <v/>
      </c>
      <c r="D341" s="83">
        <f>'ERROR FINAL'!I344</f>
        <v/>
      </c>
      <c r="E341" s="315">
        <f>'ERROR FINAL'!U344</f>
        <v/>
      </c>
      <c r="F341" s="316">
        <f>'ERROR FINAL'!AG344</f>
        <v/>
      </c>
      <c r="G341" s="316">
        <f>'ERROR FINAL'!AS344</f>
        <v/>
      </c>
      <c r="H341" s="86">
        <f>IF('ERROR FINAL'!AT344="CONFORME","CONFORME","NO CONFORME")</f>
        <v/>
      </c>
      <c r="I341" s="87">
        <f>IF(D341=0,"Medición",IF(D341=1,"Daño físico",IF(D341=2,"Fuga",IF(D341=3,"Picado",IF(D341=4,"Desfasado",IF(D341=5,"Paralizado","¿?"))))))</f>
        <v/>
      </c>
    </row>
    <row r="342">
      <c r="A342" s="80">
        <f>'ERROR FINAL'!A345</f>
        <v/>
      </c>
      <c r="B342" s="81">
        <f>'ERROR FINAL'!D345</f>
        <v/>
      </c>
      <c r="C342" s="314">
        <f>'ERROR FINAL'!G345</f>
        <v/>
      </c>
      <c r="D342" s="83">
        <f>'ERROR FINAL'!I345</f>
        <v/>
      </c>
      <c r="E342" s="315">
        <f>'ERROR FINAL'!U345</f>
        <v/>
      </c>
      <c r="F342" s="316">
        <f>'ERROR FINAL'!AG345</f>
        <v/>
      </c>
      <c r="G342" s="316">
        <f>'ERROR FINAL'!AS345</f>
        <v/>
      </c>
      <c r="H342" s="86">
        <f>IF('ERROR FINAL'!AT345="CONFORME","CONFORME","NO CONFORME")</f>
        <v/>
      </c>
      <c r="I342" s="87">
        <f>IF(D342=0,"Medición",IF(D342=1,"Daño físico",IF(D342=2,"Fuga",IF(D342=3,"Picado",IF(D342=4,"Desfasado",IF(D342=5,"Paralizado","¿?"))))))</f>
        <v/>
      </c>
    </row>
    <row r="343">
      <c r="A343" s="80">
        <f>'ERROR FINAL'!A346</f>
        <v/>
      </c>
      <c r="B343" s="81">
        <f>'ERROR FINAL'!D346</f>
        <v/>
      </c>
      <c r="C343" s="314">
        <f>'ERROR FINAL'!G346</f>
        <v/>
      </c>
      <c r="D343" s="83">
        <f>'ERROR FINAL'!I346</f>
        <v/>
      </c>
      <c r="E343" s="315">
        <f>'ERROR FINAL'!U346</f>
        <v/>
      </c>
      <c r="F343" s="316">
        <f>'ERROR FINAL'!AG346</f>
        <v/>
      </c>
      <c r="G343" s="316">
        <f>'ERROR FINAL'!AS346</f>
        <v/>
      </c>
      <c r="H343" s="86">
        <f>IF('ERROR FINAL'!AT346="CONFORME","CONFORME","NO CONFORME")</f>
        <v/>
      </c>
      <c r="I343" s="87">
        <f>IF(D343=0,"Medición",IF(D343=1,"Daño físico",IF(D343=2,"Fuga",IF(D343=3,"Picado",IF(D343=4,"Desfasado",IF(D343=5,"Paralizado","¿?"))))))</f>
        <v/>
      </c>
    </row>
    <row r="344">
      <c r="A344" s="80">
        <f>'ERROR FINAL'!A347</f>
        <v/>
      </c>
      <c r="B344" s="81">
        <f>'ERROR FINAL'!D347</f>
        <v/>
      </c>
      <c r="C344" s="314">
        <f>'ERROR FINAL'!G347</f>
        <v/>
      </c>
      <c r="D344" s="83">
        <f>'ERROR FINAL'!I347</f>
        <v/>
      </c>
      <c r="E344" s="315">
        <f>'ERROR FINAL'!U347</f>
        <v/>
      </c>
      <c r="F344" s="316">
        <f>'ERROR FINAL'!AG347</f>
        <v/>
      </c>
      <c r="G344" s="316">
        <f>'ERROR FINAL'!AS347</f>
        <v/>
      </c>
      <c r="H344" s="86">
        <f>IF('ERROR FINAL'!AT347="CONFORME","CONFORME","NO CONFORME")</f>
        <v/>
      </c>
      <c r="I344" s="87">
        <f>IF(D344=0,"Medición",IF(D344=1,"Daño físico",IF(D344=2,"Fuga",IF(D344=3,"Picado",IF(D344=4,"Desfasado",IF(D344=5,"Paralizado","¿?"))))))</f>
        <v/>
      </c>
    </row>
    <row r="345">
      <c r="A345" s="80">
        <f>'ERROR FINAL'!A348</f>
        <v/>
      </c>
      <c r="B345" s="81">
        <f>'ERROR FINAL'!D348</f>
        <v/>
      </c>
      <c r="C345" s="314">
        <f>'ERROR FINAL'!G348</f>
        <v/>
      </c>
      <c r="D345" s="83">
        <f>'ERROR FINAL'!I348</f>
        <v/>
      </c>
      <c r="E345" s="315">
        <f>'ERROR FINAL'!U348</f>
        <v/>
      </c>
      <c r="F345" s="316">
        <f>'ERROR FINAL'!AG348</f>
        <v/>
      </c>
      <c r="G345" s="316">
        <f>'ERROR FINAL'!AS348</f>
        <v/>
      </c>
      <c r="H345" s="86">
        <f>IF('ERROR FINAL'!AT348="CONFORME","CONFORME","NO CONFORME")</f>
        <v/>
      </c>
      <c r="I345" s="87">
        <f>IF(D345=0,"Medición",IF(D345=1,"Daño físico",IF(D345=2,"Fuga",IF(D345=3,"Picado",IF(D345=4,"Desfasado",IF(D345=5,"Paralizado","¿?"))))))</f>
        <v/>
      </c>
    </row>
    <row r="346">
      <c r="A346" s="80">
        <f>'ERROR FINAL'!A349</f>
        <v/>
      </c>
      <c r="B346" s="81">
        <f>'ERROR FINAL'!D349</f>
        <v/>
      </c>
      <c r="C346" s="314">
        <f>'ERROR FINAL'!G349</f>
        <v/>
      </c>
      <c r="D346" s="83">
        <f>'ERROR FINAL'!I349</f>
        <v/>
      </c>
      <c r="E346" s="315">
        <f>'ERROR FINAL'!U349</f>
        <v/>
      </c>
      <c r="F346" s="316">
        <f>'ERROR FINAL'!AG349</f>
        <v/>
      </c>
      <c r="G346" s="316">
        <f>'ERROR FINAL'!AS349</f>
        <v/>
      </c>
      <c r="H346" s="86">
        <f>IF('ERROR FINAL'!AT349="CONFORME","CONFORME","NO CONFORME")</f>
        <v/>
      </c>
      <c r="I346" s="87">
        <f>IF(D346=0,"Medición",IF(D346=1,"Daño físico",IF(D346=2,"Fuga",IF(D346=3,"Picado",IF(D346=4,"Desfasado",IF(D346=5,"Paralizado","¿?"))))))</f>
        <v/>
      </c>
    </row>
    <row r="347">
      <c r="A347" s="80">
        <f>'ERROR FINAL'!A350</f>
        <v/>
      </c>
      <c r="B347" s="81">
        <f>'ERROR FINAL'!D350</f>
        <v/>
      </c>
      <c r="C347" s="314">
        <f>'ERROR FINAL'!G350</f>
        <v/>
      </c>
      <c r="D347" s="83">
        <f>'ERROR FINAL'!I350</f>
        <v/>
      </c>
      <c r="E347" s="315">
        <f>'ERROR FINAL'!U350</f>
        <v/>
      </c>
      <c r="F347" s="316">
        <f>'ERROR FINAL'!AG350</f>
        <v/>
      </c>
      <c r="G347" s="316">
        <f>'ERROR FINAL'!AS350</f>
        <v/>
      </c>
      <c r="H347" s="86">
        <f>IF('ERROR FINAL'!AT350="CONFORME","CONFORME","NO CONFORME")</f>
        <v/>
      </c>
      <c r="I347" s="87">
        <f>IF(D347=0,"Medición",IF(D347=1,"Daño físico",IF(D347=2,"Fuga",IF(D347=3,"Picado",IF(D347=4,"Desfasado",IF(D347=5,"Paralizado","¿?"))))))</f>
        <v/>
      </c>
    </row>
    <row r="348">
      <c r="A348" s="80">
        <f>'ERROR FINAL'!A351</f>
        <v/>
      </c>
      <c r="B348" s="81">
        <f>'ERROR FINAL'!D351</f>
        <v/>
      </c>
      <c r="C348" s="314">
        <f>'ERROR FINAL'!G351</f>
        <v/>
      </c>
      <c r="D348" s="83">
        <f>'ERROR FINAL'!I351</f>
        <v/>
      </c>
      <c r="E348" s="315">
        <f>'ERROR FINAL'!U351</f>
        <v/>
      </c>
      <c r="F348" s="316">
        <f>'ERROR FINAL'!AG351</f>
        <v/>
      </c>
      <c r="G348" s="316">
        <f>'ERROR FINAL'!AS351</f>
        <v/>
      </c>
      <c r="H348" s="86">
        <f>IF('ERROR FINAL'!AT351="CONFORME","CONFORME","NO CONFORME")</f>
        <v/>
      </c>
      <c r="I348" s="87">
        <f>IF(D348=0,"Medición",IF(D348=1,"Daño físico",IF(D348=2,"Fuga",IF(D348=3,"Picado",IF(D348=4,"Desfasado",IF(D348=5,"Paralizado","¿?"))))))</f>
        <v/>
      </c>
    </row>
    <row r="349">
      <c r="A349" s="80">
        <f>'ERROR FINAL'!A352</f>
        <v/>
      </c>
      <c r="B349" s="81">
        <f>'ERROR FINAL'!D352</f>
        <v/>
      </c>
      <c r="C349" s="314">
        <f>'ERROR FINAL'!G352</f>
        <v/>
      </c>
      <c r="D349" s="83">
        <f>'ERROR FINAL'!I352</f>
        <v/>
      </c>
      <c r="E349" s="315">
        <f>'ERROR FINAL'!U352</f>
        <v/>
      </c>
      <c r="F349" s="316">
        <f>'ERROR FINAL'!AG352</f>
        <v/>
      </c>
      <c r="G349" s="316">
        <f>'ERROR FINAL'!AS352</f>
        <v/>
      </c>
      <c r="H349" s="86">
        <f>IF('ERROR FINAL'!AT352="CONFORME","CONFORME","NO CONFORME")</f>
        <v/>
      </c>
      <c r="I349" s="87">
        <f>IF(D349=0,"Medición",IF(D349=1,"Daño físico",IF(D349=2,"Fuga",IF(D349=3,"Picado",IF(D349=4,"Desfasado",IF(D349=5,"Paralizado","¿?"))))))</f>
        <v/>
      </c>
    </row>
    <row r="350">
      <c r="A350" s="80">
        <f>'ERROR FINAL'!A353</f>
        <v/>
      </c>
      <c r="B350" s="81">
        <f>'ERROR FINAL'!D353</f>
        <v/>
      </c>
      <c r="C350" s="314">
        <f>'ERROR FINAL'!G353</f>
        <v/>
      </c>
      <c r="D350" s="83">
        <f>'ERROR FINAL'!I353</f>
        <v/>
      </c>
      <c r="E350" s="315">
        <f>'ERROR FINAL'!U353</f>
        <v/>
      </c>
      <c r="F350" s="316">
        <f>'ERROR FINAL'!AG353</f>
        <v/>
      </c>
      <c r="G350" s="316">
        <f>'ERROR FINAL'!AS353</f>
        <v/>
      </c>
      <c r="H350" s="86">
        <f>IF('ERROR FINAL'!AT353="CONFORME","CONFORME","NO CONFORME")</f>
        <v/>
      </c>
      <c r="I350" s="87">
        <f>IF(D350=0,"Medición",IF(D350=1,"Daño físico",IF(D350=2,"Fuga",IF(D350=3,"Picado",IF(D350=4,"Desfasado",IF(D350=5,"Paralizado","¿?"))))))</f>
        <v/>
      </c>
    </row>
    <row r="351">
      <c r="A351" s="80">
        <f>'ERROR FINAL'!A354</f>
        <v/>
      </c>
      <c r="B351" s="81">
        <f>'ERROR FINAL'!D354</f>
        <v/>
      </c>
      <c r="C351" s="314">
        <f>'ERROR FINAL'!G354</f>
        <v/>
      </c>
      <c r="D351" s="83">
        <f>'ERROR FINAL'!I354</f>
        <v/>
      </c>
      <c r="E351" s="315">
        <f>'ERROR FINAL'!U354</f>
        <v/>
      </c>
      <c r="F351" s="316">
        <f>'ERROR FINAL'!AG354</f>
        <v/>
      </c>
      <c r="G351" s="316">
        <f>'ERROR FINAL'!AS354</f>
        <v/>
      </c>
      <c r="H351" s="86">
        <f>IF('ERROR FINAL'!AT354="CONFORME","CONFORME","NO CONFORME")</f>
        <v/>
      </c>
      <c r="I351" s="87">
        <f>IF(D351=0,"Medición",IF(D351=1,"Daño físico",IF(D351=2,"Fuga",IF(D351=3,"Picado",IF(D351=4,"Desfasado",IF(D351=5,"Paralizado","¿?"))))))</f>
        <v/>
      </c>
    </row>
    <row r="352">
      <c r="A352" s="80">
        <f>'ERROR FINAL'!A355</f>
        <v/>
      </c>
      <c r="B352" s="81">
        <f>'ERROR FINAL'!D355</f>
        <v/>
      </c>
      <c r="C352" s="314">
        <f>'ERROR FINAL'!G355</f>
        <v/>
      </c>
      <c r="D352" s="83">
        <f>'ERROR FINAL'!I355</f>
        <v/>
      </c>
      <c r="E352" s="315">
        <f>'ERROR FINAL'!U355</f>
        <v/>
      </c>
      <c r="F352" s="316">
        <f>'ERROR FINAL'!AG355</f>
        <v/>
      </c>
      <c r="G352" s="316">
        <f>'ERROR FINAL'!AS355</f>
        <v/>
      </c>
      <c r="H352" s="86">
        <f>IF('ERROR FINAL'!AT355="CONFORME","CONFORME","NO CONFORME")</f>
        <v/>
      </c>
      <c r="I352" s="87">
        <f>IF(D352=0,"Medición",IF(D352=1,"Daño físico",IF(D352=2,"Fuga",IF(D352=3,"Picado",IF(D352=4,"Desfasado",IF(D352=5,"Paralizado","¿?"))))))</f>
        <v/>
      </c>
    </row>
    <row r="353">
      <c r="A353" s="80">
        <f>'ERROR FINAL'!A356</f>
        <v/>
      </c>
      <c r="B353" s="81">
        <f>'ERROR FINAL'!D356</f>
        <v/>
      </c>
      <c r="C353" s="314">
        <f>'ERROR FINAL'!G356</f>
        <v/>
      </c>
      <c r="D353" s="83">
        <f>'ERROR FINAL'!I356</f>
        <v/>
      </c>
      <c r="E353" s="315">
        <f>'ERROR FINAL'!U356</f>
        <v/>
      </c>
      <c r="F353" s="316">
        <f>'ERROR FINAL'!AG356</f>
        <v/>
      </c>
      <c r="G353" s="316">
        <f>'ERROR FINAL'!AS356</f>
        <v/>
      </c>
      <c r="H353" s="86">
        <f>IF('ERROR FINAL'!AT356="CONFORME","CONFORME","NO CONFORME")</f>
        <v/>
      </c>
      <c r="I353" s="87">
        <f>IF(D353=0,"Medición",IF(D353=1,"Daño físico",IF(D353=2,"Fuga",IF(D353=3,"Picado",IF(D353=4,"Desfasado",IF(D353=5,"Paralizado","¿?"))))))</f>
        <v/>
      </c>
    </row>
    <row r="354">
      <c r="A354" s="80">
        <f>'ERROR FINAL'!A357</f>
        <v/>
      </c>
      <c r="B354" s="81">
        <f>'ERROR FINAL'!D357</f>
        <v/>
      </c>
      <c r="C354" s="314">
        <f>'ERROR FINAL'!G357</f>
        <v/>
      </c>
      <c r="D354" s="83">
        <f>'ERROR FINAL'!I357</f>
        <v/>
      </c>
      <c r="E354" s="315">
        <f>'ERROR FINAL'!U357</f>
        <v/>
      </c>
      <c r="F354" s="316">
        <f>'ERROR FINAL'!AG357</f>
        <v/>
      </c>
      <c r="G354" s="316">
        <f>'ERROR FINAL'!AS357</f>
        <v/>
      </c>
      <c r="H354" s="86">
        <f>IF('ERROR FINAL'!AT357="CONFORME","CONFORME","NO CONFORME")</f>
        <v/>
      </c>
      <c r="I354" s="87">
        <f>IF(D354=0,"Medición",IF(D354=1,"Daño físico",IF(D354=2,"Fuga",IF(D354=3,"Picado",IF(D354=4,"Desfasado",IF(D354=5,"Paralizado","¿?"))))))</f>
        <v/>
      </c>
    </row>
    <row r="355">
      <c r="A355" s="80">
        <f>'ERROR FINAL'!A358</f>
        <v/>
      </c>
      <c r="B355" s="81">
        <f>'ERROR FINAL'!D358</f>
        <v/>
      </c>
      <c r="C355" s="314">
        <f>'ERROR FINAL'!G358</f>
        <v/>
      </c>
      <c r="D355" s="83">
        <f>'ERROR FINAL'!I358</f>
        <v/>
      </c>
      <c r="E355" s="315">
        <f>'ERROR FINAL'!U358</f>
        <v/>
      </c>
      <c r="F355" s="316">
        <f>'ERROR FINAL'!AG358</f>
        <v/>
      </c>
      <c r="G355" s="316">
        <f>'ERROR FINAL'!AS358</f>
        <v/>
      </c>
      <c r="H355" s="86">
        <f>IF('ERROR FINAL'!AT358="CONFORME","CONFORME","NO CONFORME")</f>
        <v/>
      </c>
      <c r="I355" s="87">
        <f>IF(D355=0,"Medición",IF(D355=1,"Daño físico",IF(D355=2,"Fuga",IF(D355=3,"Picado",IF(D355=4,"Desfasado",IF(D355=5,"Paralizado","¿?"))))))</f>
        <v/>
      </c>
    </row>
    <row r="356">
      <c r="A356" s="80">
        <f>'ERROR FINAL'!A359</f>
        <v/>
      </c>
      <c r="B356" s="81">
        <f>'ERROR FINAL'!D359</f>
        <v/>
      </c>
      <c r="C356" s="314">
        <f>'ERROR FINAL'!G359</f>
        <v/>
      </c>
      <c r="D356" s="83">
        <f>'ERROR FINAL'!I359</f>
        <v/>
      </c>
      <c r="E356" s="315">
        <f>'ERROR FINAL'!U359</f>
        <v/>
      </c>
      <c r="F356" s="316">
        <f>'ERROR FINAL'!AG359</f>
        <v/>
      </c>
      <c r="G356" s="316">
        <f>'ERROR FINAL'!AS359</f>
        <v/>
      </c>
      <c r="H356" s="86">
        <f>IF('ERROR FINAL'!AT359="CONFORME","CONFORME","NO CONFORME")</f>
        <v/>
      </c>
      <c r="I356" s="87">
        <f>IF(D356=0,"Medición",IF(D356=1,"Daño físico",IF(D356=2,"Fuga",IF(D356=3,"Picado",IF(D356=4,"Desfasado",IF(D356=5,"Paralizado","¿?"))))))</f>
        <v/>
      </c>
    </row>
    <row r="357">
      <c r="A357" s="80">
        <f>'ERROR FINAL'!A360</f>
        <v/>
      </c>
      <c r="B357" s="81">
        <f>'ERROR FINAL'!D360</f>
        <v/>
      </c>
      <c r="C357" s="314">
        <f>'ERROR FINAL'!G360</f>
        <v/>
      </c>
      <c r="D357" s="83">
        <f>'ERROR FINAL'!I360</f>
        <v/>
      </c>
      <c r="E357" s="315">
        <f>'ERROR FINAL'!U360</f>
        <v/>
      </c>
      <c r="F357" s="316">
        <f>'ERROR FINAL'!AG360</f>
        <v/>
      </c>
      <c r="G357" s="316">
        <f>'ERROR FINAL'!AS360</f>
        <v/>
      </c>
      <c r="H357" s="86">
        <f>IF('ERROR FINAL'!AT360="CONFORME","CONFORME","NO CONFORME")</f>
        <v/>
      </c>
      <c r="I357" s="87">
        <f>IF(D357=0,"Medición",IF(D357=1,"Daño físico",IF(D357=2,"Fuga",IF(D357=3,"Picado",IF(D357=4,"Desfasado",IF(D357=5,"Paralizado","¿?"))))))</f>
        <v/>
      </c>
    </row>
    <row r="358">
      <c r="A358" s="80">
        <f>'ERROR FINAL'!A361</f>
        <v/>
      </c>
      <c r="B358" s="81">
        <f>'ERROR FINAL'!D361</f>
        <v/>
      </c>
      <c r="C358" s="314">
        <f>'ERROR FINAL'!G361</f>
        <v/>
      </c>
      <c r="D358" s="83">
        <f>'ERROR FINAL'!I361</f>
        <v/>
      </c>
      <c r="E358" s="315">
        <f>'ERROR FINAL'!U361</f>
        <v/>
      </c>
      <c r="F358" s="316">
        <f>'ERROR FINAL'!AG361</f>
        <v/>
      </c>
      <c r="G358" s="316">
        <f>'ERROR FINAL'!AS361</f>
        <v/>
      </c>
      <c r="H358" s="86">
        <f>IF('ERROR FINAL'!AT361="CONFORME","CONFORME","NO CONFORME")</f>
        <v/>
      </c>
      <c r="I358" s="87">
        <f>IF(D358=0,"Medición",IF(D358=1,"Daño físico",IF(D358=2,"Fuga",IF(D358=3,"Picado",IF(D358=4,"Desfasado",IF(D358=5,"Paralizado","¿?"))))))</f>
        <v/>
      </c>
    </row>
    <row r="359">
      <c r="A359" s="80">
        <f>'ERROR FINAL'!A362</f>
        <v/>
      </c>
      <c r="B359" s="81">
        <f>'ERROR FINAL'!D362</f>
        <v/>
      </c>
      <c r="C359" s="314">
        <f>'ERROR FINAL'!G362</f>
        <v/>
      </c>
      <c r="D359" s="83">
        <f>'ERROR FINAL'!I362</f>
        <v/>
      </c>
      <c r="E359" s="315">
        <f>'ERROR FINAL'!U362</f>
        <v/>
      </c>
      <c r="F359" s="316">
        <f>'ERROR FINAL'!AG362</f>
        <v/>
      </c>
      <c r="G359" s="316">
        <f>'ERROR FINAL'!AS362</f>
        <v/>
      </c>
      <c r="H359" s="86">
        <f>IF('ERROR FINAL'!AT362="CONFORME","CONFORME","NO CONFORME")</f>
        <v/>
      </c>
      <c r="I359" s="87">
        <f>IF(D359=0,"Medición",IF(D359=1,"Daño físico",IF(D359=2,"Fuga",IF(D359=3,"Picado",IF(D359=4,"Desfasado",IF(D359=5,"Paralizado","¿?"))))))</f>
        <v/>
      </c>
    </row>
    <row r="360">
      <c r="A360" s="80">
        <f>'ERROR FINAL'!A363</f>
        <v/>
      </c>
      <c r="B360" s="81">
        <f>'ERROR FINAL'!D363</f>
        <v/>
      </c>
      <c r="C360" s="314">
        <f>'ERROR FINAL'!G363</f>
        <v/>
      </c>
      <c r="D360" s="83">
        <f>'ERROR FINAL'!I363</f>
        <v/>
      </c>
      <c r="E360" s="315">
        <f>'ERROR FINAL'!U363</f>
        <v/>
      </c>
      <c r="F360" s="316">
        <f>'ERROR FINAL'!AG363</f>
        <v/>
      </c>
      <c r="G360" s="316">
        <f>'ERROR FINAL'!AS363</f>
        <v/>
      </c>
      <c r="H360" s="86">
        <f>IF('ERROR FINAL'!AT363="CONFORME","CONFORME","NO CONFORME")</f>
        <v/>
      </c>
      <c r="I360" s="87">
        <f>IF(D360=0,"Medición",IF(D360=1,"Daño físico",IF(D360=2,"Fuga",IF(D360=3,"Picado",IF(D360=4,"Desfasado",IF(D360=5,"Paralizado","¿?"))))))</f>
        <v/>
      </c>
    </row>
    <row r="361">
      <c r="A361" s="80">
        <f>'ERROR FINAL'!A364</f>
        <v/>
      </c>
      <c r="B361" s="81">
        <f>'ERROR FINAL'!D364</f>
        <v/>
      </c>
      <c r="C361" s="314">
        <f>'ERROR FINAL'!G364</f>
        <v/>
      </c>
      <c r="D361" s="83">
        <f>'ERROR FINAL'!I364</f>
        <v/>
      </c>
      <c r="E361" s="315">
        <f>'ERROR FINAL'!U364</f>
        <v/>
      </c>
      <c r="F361" s="316">
        <f>'ERROR FINAL'!AG364</f>
        <v/>
      </c>
      <c r="G361" s="316">
        <f>'ERROR FINAL'!AS364</f>
        <v/>
      </c>
      <c r="H361" s="86">
        <f>IF('ERROR FINAL'!AT364="CONFORME","CONFORME","NO CONFORME")</f>
        <v/>
      </c>
      <c r="I361" s="87">
        <f>IF(D361=0,"Medición",IF(D361=1,"Daño físico",IF(D361=2,"Fuga",IF(D361=3,"Picado",IF(D361=4,"Desfasado",IF(D361=5,"Paralizado","¿?"))))))</f>
        <v/>
      </c>
    </row>
    <row r="362">
      <c r="A362" s="80">
        <f>'ERROR FINAL'!A365</f>
        <v/>
      </c>
      <c r="B362" s="81">
        <f>'ERROR FINAL'!D365</f>
        <v/>
      </c>
      <c r="C362" s="314">
        <f>'ERROR FINAL'!G365</f>
        <v/>
      </c>
      <c r="D362" s="83">
        <f>'ERROR FINAL'!I365</f>
        <v/>
      </c>
      <c r="E362" s="315">
        <f>'ERROR FINAL'!U365</f>
        <v/>
      </c>
      <c r="F362" s="316">
        <f>'ERROR FINAL'!AG365</f>
        <v/>
      </c>
      <c r="G362" s="316">
        <f>'ERROR FINAL'!AS365</f>
        <v/>
      </c>
      <c r="H362" s="86">
        <f>IF('ERROR FINAL'!AT365="CONFORME","CONFORME","NO CONFORME")</f>
        <v/>
      </c>
      <c r="I362" s="87">
        <f>IF(D362=0,"Medición",IF(D362=1,"Daño físico",IF(D362=2,"Fuga",IF(D362=3,"Picado",IF(D362=4,"Desfasado",IF(D362=5,"Paralizado","¿?"))))))</f>
        <v/>
      </c>
    </row>
    <row r="363">
      <c r="A363" s="80">
        <f>'ERROR FINAL'!A366</f>
        <v/>
      </c>
      <c r="B363" s="81">
        <f>'ERROR FINAL'!D366</f>
        <v/>
      </c>
      <c r="C363" s="314">
        <f>'ERROR FINAL'!G366</f>
        <v/>
      </c>
      <c r="D363" s="83">
        <f>'ERROR FINAL'!I366</f>
        <v/>
      </c>
      <c r="E363" s="315">
        <f>'ERROR FINAL'!U366</f>
        <v/>
      </c>
      <c r="F363" s="316">
        <f>'ERROR FINAL'!AG366</f>
        <v/>
      </c>
      <c r="G363" s="316">
        <f>'ERROR FINAL'!AS366</f>
        <v/>
      </c>
      <c r="H363" s="86">
        <f>IF('ERROR FINAL'!AT366="CONFORME","CONFORME","NO CONFORME")</f>
        <v/>
      </c>
      <c r="I363" s="87">
        <f>IF(D363=0,"Medición",IF(D363=1,"Daño físico",IF(D363=2,"Fuga",IF(D363=3,"Picado",IF(D363=4,"Desfasado",IF(D363=5,"Paralizado","¿?"))))))</f>
        <v/>
      </c>
    </row>
    <row r="364">
      <c r="A364" s="80">
        <f>'ERROR FINAL'!A367</f>
        <v/>
      </c>
      <c r="B364" s="81">
        <f>'ERROR FINAL'!D367</f>
        <v/>
      </c>
      <c r="C364" s="314">
        <f>'ERROR FINAL'!G367</f>
        <v/>
      </c>
      <c r="D364" s="83">
        <f>'ERROR FINAL'!I367</f>
        <v/>
      </c>
      <c r="E364" s="315">
        <f>'ERROR FINAL'!U367</f>
        <v/>
      </c>
      <c r="F364" s="316">
        <f>'ERROR FINAL'!AG367</f>
        <v/>
      </c>
      <c r="G364" s="316">
        <f>'ERROR FINAL'!AS367</f>
        <v/>
      </c>
      <c r="H364" s="86">
        <f>IF('ERROR FINAL'!AT367="CONFORME","CONFORME","NO CONFORME")</f>
        <v/>
      </c>
      <c r="I364" s="87">
        <f>IF(D364=0,"Medición",IF(D364=1,"Daño físico",IF(D364=2,"Fuga",IF(D364=3,"Picado",IF(D364=4,"Desfasado",IF(D364=5,"Paralizado","¿?"))))))</f>
        <v/>
      </c>
    </row>
    <row r="365">
      <c r="A365" s="80">
        <f>'ERROR FINAL'!A368</f>
        <v/>
      </c>
      <c r="B365" s="81">
        <f>'ERROR FINAL'!D368</f>
        <v/>
      </c>
      <c r="C365" s="314">
        <f>'ERROR FINAL'!G368</f>
        <v/>
      </c>
      <c r="D365" s="83">
        <f>'ERROR FINAL'!I368</f>
        <v/>
      </c>
      <c r="E365" s="315">
        <f>'ERROR FINAL'!U368</f>
        <v/>
      </c>
      <c r="F365" s="316">
        <f>'ERROR FINAL'!AG368</f>
        <v/>
      </c>
      <c r="G365" s="316">
        <f>'ERROR FINAL'!AS368</f>
        <v/>
      </c>
      <c r="H365" s="86">
        <f>IF('ERROR FINAL'!AT368="CONFORME","CONFORME","NO CONFORME")</f>
        <v/>
      </c>
      <c r="I365" s="87">
        <f>IF(D365=0,"Medición",IF(D365=1,"Daño físico",IF(D365=2,"Fuga",IF(D365=3,"Picado",IF(D365=4,"Desfasado",IF(D365=5,"Paralizado","¿?"))))))</f>
        <v/>
      </c>
    </row>
    <row r="366">
      <c r="A366" s="80">
        <f>'ERROR FINAL'!A369</f>
        <v/>
      </c>
      <c r="B366" s="81">
        <f>'ERROR FINAL'!D369</f>
        <v/>
      </c>
      <c r="C366" s="314">
        <f>'ERROR FINAL'!G369</f>
        <v/>
      </c>
      <c r="D366" s="83">
        <f>'ERROR FINAL'!I369</f>
        <v/>
      </c>
      <c r="E366" s="315">
        <f>'ERROR FINAL'!U369</f>
        <v/>
      </c>
      <c r="F366" s="316">
        <f>'ERROR FINAL'!AG369</f>
        <v/>
      </c>
      <c r="G366" s="316">
        <f>'ERROR FINAL'!AS369</f>
        <v/>
      </c>
      <c r="H366" s="86">
        <f>IF('ERROR FINAL'!AT369="CONFORME","CONFORME","NO CONFORME")</f>
        <v/>
      </c>
      <c r="I366" s="87">
        <f>IF(D366=0,"Medición",IF(D366=1,"Daño físico",IF(D366=2,"Fuga",IF(D366=3,"Picado",IF(D366=4,"Desfasado",IF(D366=5,"Paralizado","¿?"))))))</f>
        <v/>
      </c>
    </row>
    <row r="367">
      <c r="A367" s="80">
        <f>'ERROR FINAL'!A370</f>
        <v/>
      </c>
      <c r="B367" s="81">
        <f>'ERROR FINAL'!D370</f>
        <v/>
      </c>
      <c r="C367" s="314">
        <f>'ERROR FINAL'!G370</f>
        <v/>
      </c>
      <c r="D367" s="83">
        <f>'ERROR FINAL'!I370</f>
        <v/>
      </c>
      <c r="E367" s="315">
        <f>'ERROR FINAL'!U370</f>
        <v/>
      </c>
      <c r="F367" s="316">
        <f>'ERROR FINAL'!AG370</f>
        <v/>
      </c>
      <c r="G367" s="316">
        <f>'ERROR FINAL'!AS370</f>
        <v/>
      </c>
      <c r="H367" s="86">
        <f>IF('ERROR FINAL'!AT370="CONFORME","CONFORME","NO CONFORME")</f>
        <v/>
      </c>
      <c r="I367" s="87">
        <f>IF(D367=0,"Medición",IF(D367=1,"Daño físico",IF(D367=2,"Fuga",IF(D367=3,"Picado",IF(D367=4,"Desfasado",IF(D367=5,"Paralizado","¿?"))))))</f>
        <v/>
      </c>
    </row>
    <row r="368">
      <c r="A368" s="80">
        <f>'ERROR FINAL'!A371</f>
        <v/>
      </c>
      <c r="B368" s="81">
        <f>'ERROR FINAL'!D371</f>
        <v/>
      </c>
      <c r="C368" s="314">
        <f>'ERROR FINAL'!G371</f>
        <v/>
      </c>
      <c r="D368" s="83">
        <f>'ERROR FINAL'!I371</f>
        <v/>
      </c>
      <c r="E368" s="315">
        <f>'ERROR FINAL'!U371</f>
        <v/>
      </c>
      <c r="F368" s="316">
        <f>'ERROR FINAL'!AG371</f>
        <v/>
      </c>
      <c r="G368" s="316">
        <f>'ERROR FINAL'!AS371</f>
        <v/>
      </c>
      <c r="H368" s="86">
        <f>IF('ERROR FINAL'!AT371="CONFORME","CONFORME","NO CONFORME")</f>
        <v/>
      </c>
      <c r="I368" s="87">
        <f>IF(D368=0,"Medición",IF(D368=1,"Daño físico",IF(D368=2,"Fuga",IF(D368=3,"Picado",IF(D368=4,"Desfasado",IF(D368=5,"Paralizado","¿?"))))))</f>
        <v/>
      </c>
    </row>
    <row r="369">
      <c r="A369" s="80">
        <f>'ERROR FINAL'!A372</f>
        <v/>
      </c>
      <c r="B369" s="81">
        <f>'ERROR FINAL'!D372</f>
        <v/>
      </c>
      <c r="C369" s="314">
        <f>'ERROR FINAL'!G372</f>
        <v/>
      </c>
      <c r="D369" s="83">
        <f>'ERROR FINAL'!I372</f>
        <v/>
      </c>
      <c r="E369" s="315">
        <f>'ERROR FINAL'!U372</f>
        <v/>
      </c>
      <c r="F369" s="316">
        <f>'ERROR FINAL'!AG372</f>
        <v/>
      </c>
      <c r="G369" s="316">
        <f>'ERROR FINAL'!AS372</f>
        <v/>
      </c>
      <c r="H369" s="86">
        <f>IF('ERROR FINAL'!AT372="CONFORME","CONFORME","NO CONFORME")</f>
        <v/>
      </c>
      <c r="I369" s="87">
        <f>IF(D369=0,"Medición",IF(D369=1,"Daño físico",IF(D369=2,"Fuga",IF(D369=3,"Picado",IF(D369=4,"Desfasado",IF(D369=5,"Paralizado","¿?"))))))</f>
        <v/>
      </c>
    </row>
    <row r="370">
      <c r="A370" s="80">
        <f>'ERROR FINAL'!A373</f>
        <v/>
      </c>
      <c r="B370" s="81">
        <f>'ERROR FINAL'!D373</f>
        <v/>
      </c>
      <c r="C370" s="314">
        <f>'ERROR FINAL'!G373</f>
        <v/>
      </c>
      <c r="D370" s="83">
        <f>'ERROR FINAL'!I373</f>
        <v/>
      </c>
      <c r="E370" s="315">
        <f>'ERROR FINAL'!U373</f>
        <v/>
      </c>
      <c r="F370" s="316">
        <f>'ERROR FINAL'!AG373</f>
        <v/>
      </c>
      <c r="G370" s="316">
        <f>'ERROR FINAL'!AS373</f>
        <v/>
      </c>
      <c r="H370" s="86">
        <f>IF('ERROR FINAL'!AT373="CONFORME","CONFORME","NO CONFORME")</f>
        <v/>
      </c>
      <c r="I370" s="87">
        <f>IF(D370=0,"Medición",IF(D370=1,"Daño físico",IF(D370=2,"Fuga",IF(D370=3,"Picado",IF(D370=4,"Desfasado",IF(D370=5,"Paralizado","¿?"))))))</f>
        <v/>
      </c>
    </row>
    <row r="371">
      <c r="A371" s="80">
        <f>'ERROR FINAL'!A374</f>
        <v/>
      </c>
      <c r="B371" s="81">
        <f>'ERROR FINAL'!D374</f>
        <v/>
      </c>
      <c r="C371" s="314">
        <f>'ERROR FINAL'!G374</f>
        <v/>
      </c>
      <c r="D371" s="83">
        <f>'ERROR FINAL'!I374</f>
        <v/>
      </c>
      <c r="E371" s="315">
        <f>'ERROR FINAL'!U374</f>
        <v/>
      </c>
      <c r="F371" s="316">
        <f>'ERROR FINAL'!AG374</f>
        <v/>
      </c>
      <c r="G371" s="316">
        <f>'ERROR FINAL'!AS374</f>
        <v/>
      </c>
      <c r="H371" s="86">
        <f>IF('ERROR FINAL'!AT374="CONFORME","CONFORME","NO CONFORME")</f>
        <v/>
      </c>
      <c r="I371" s="87">
        <f>IF(D371=0,"Medición",IF(D371=1,"Daño físico",IF(D371=2,"Fuga",IF(D371=3,"Picado",IF(D371=4,"Desfasado",IF(D371=5,"Paralizado","¿?"))))))</f>
        <v/>
      </c>
    </row>
    <row r="372">
      <c r="A372" s="80">
        <f>'ERROR FINAL'!A375</f>
        <v/>
      </c>
      <c r="B372" s="81">
        <f>'ERROR FINAL'!D375</f>
        <v/>
      </c>
      <c r="C372" s="314">
        <f>'ERROR FINAL'!G375</f>
        <v/>
      </c>
      <c r="D372" s="83">
        <f>'ERROR FINAL'!I375</f>
        <v/>
      </c>
      <c r="E372" s="315">
        <f>'ERROR FINAL'!U375</f>
        <v/>
      </c>
      <c r="F372" s="316">
        <f>'ERROR FINAL'!AG375</f>
        <v/>
      </c>
      <c r="G372" s="316">
        <f>'ERROR FINAL'!AS375</f>
        <v/>
      </c>
      <c r="H372" s="86">
        <f>IF('ERROR FINAL'!AT375="CONFORME","CONFORME","NO CONFORME")</f>
        <v/>
      </c>
      <c r="I372" s="87">
        <f>IF(D372=0,"Medición",IF(D372=1,"Daño físico",IF(D372=2,"Fuga",IF(D372=3,"Picado",IF(D372=4,"Desfasado",IF(D372=5,"Paralizado","¿?"))))))</f>
        <v/>
      </c>
    </row>
    <row r="373">
      <c r="A373" s="80">
        <f>'ERROR FINAL'!A376</f>
        <v/>
      </c>
      <c r="B373" s="81">
        <f>'ERROR FINAL'!D376</f>
        <v/>
      </c>
      <c r="C373" s="314">
        <f>'ERROR FINAL'!G376</f>
        <v/>
      </c>
      <c r="D373" s="83">
        <f>'ERROR FINAL'!I376</f>
        <v/>
      </c>
      <c r="E373" s="315">
        <f>'ERROR FINAL'!U376</f>
        <v/>
      </c>
      <c r="F373" s="316">
        <f>'ERROR FINAL'!AG376</f>
        <v/>
      </c>
      <c r="G373" s="316">
        <f>'ERROR FINAL'!AS376</f>
        <v/>
      </c>
      <c r="H373" s="86">
        <f>IF('ERROR FINAL'!AT376="CONFORME","CONFORME","NO CONFORME")</f>
        <v/>
      </c>
      <c r="I373" s="87">
        <f>IF(D373=0,"Medición",IF(D373=1,"Daño físico",IF(D373=2,"Fuga",IF(D373=3,"Picado",IF(D373=4,"Desfasado",IF(D373=5,"Paralizado","¿?"))))))</f>
        <v/>
      </c>
    </row>
    <row r="374">
      <c r="A374" s="80">
        <f>'ERROR FINAL'!A377</f>
        <v/>
      </c>
      <c r="B374" s="81">
        <f>'ERROR FINAL'!D377</f>
        <v/>
      </c>
      <c r="C374" s="314">
        <f>'ERROR FINAL'!G377</f>
        <v/>
      </c>
      <c r="D374" s="83">
        <f>'ERROR FINAL'!I377</f>
        <v/>
      </c>
      <c r="E374" s="315">
        <f>'ERROR FINAL'!U377</f>
        <v/>
      </c>
      <c r="F374" s="316">
        <f>'ERROR FINAL'!AG377</f>
        <v/>
      </c>
      <c r="G374" s="316">
        <f>'ERROR FINAL'!AS377</f>
        <v/>
      </c>
      <c r="H374" s="86">
        <f>IF('ERROR FINAL'!AT377="CONFORME","CONFORME","NO CONFORME")</f>
        <v/>
      </c>
      <c r="I374" s="87">
        <f>IF(D374=0,"Medición",IF(D374=1,"Daño físico",IF(D374=2,"Fuga",IF(D374=3,"Picado",IF(D374=4,"Desfasado",IF(D374=5,"Paralizado","¿?"))))))</f>
        <v/>
      </c>
    </row>
    <row r="375">
      <c r="A375" s="80">
        <f>'ERROR FINAL'!A378</f>
        <v/>
      </c>
      <c r="B375" s="81">
        <f>'ERROR FINAL'!D378</f>
        <v/>
      </c>
      <c r="C375" s="314">
        <f>'ERROR FINAL'!G378</f>
        <v/>
      </c>
      <c r="D375" s="83">
        <f>'ERROR FINAL'!I378</f>
        <v/>
      </c>
      <c r="E375" s="315">
        <f>'ERROR FINAL'!U378</f>
        <v/>
      </c>
      <c r="F375" s="316">
        <f>'ERROR FINAL'!AG378</f>
        <v/>
      </c>
      <c r="G375" s="316">
        <f>'ERROR FINAL'!AS378</f>
        <v/>
      </c>
      <c r="H375" s="86">
        <f>IF('ERROR FINAL'!AT378="CONFORME","CONFORME","NO CONFORME")</f>
        <v/>
      </c>
      <c r="I375" s="87">
        <f>IF(D375=0,"Medición",IF(D375=1,"Daño físico",IF(D375=2,"Fuga",IF(D375=3,"Picado",IF(D375=4,"Desfasado",IF(D375=5,"Paralizado","¿?"))))))</f>
        <v/>
      </c>
    </row>
    <row r="376">
      <c r="A376" s="80">
        <f>'ERROR FINAL'!A379</f>
        <v/>
      </c>
      <c r="B376" s="81">
        <f>'ERROR FINAL'!D379</f>
        <v/>
      </c>
      <c r="C376" s="314">
        <f>'ERROR FINAL'!G379</f>
        <v/>
      </c>
      <c r="D376" s="83">
        <f>'ERROR FINAL'!I379</f>
        <v/>
      </c>
      <c r="E376" s="315">
        <f>'ERROR FINAL'!U379</f>
        <v/>
      </c>
      <c r="F376" s="316">
        <f>'ERROR FINAL'!AG379</f>
        <v/>
      </c>
      <c r="G376" s="316">
        <f>'ERROR FINAL'!AS379</f>
        <v/>
      </c>
      <c r="H376" s="86">
        <f>IF('ERROR FINAL'!AT379="CONFORME","CONFORME","NO CONFORME")</f>
        <v/>
      </c>
      <c r="I376" s="87">
        <f>IF(D376=0,"Medición",IF(D376=1,"Daño físico",IF(D376=2,"Fuga",IF(D376=3,"Picado",IF(D376=4,"Desfasado",IF(D376=5,"Paralizado","¿?"))))))</f>
        <v/>
      </c>
    </row>
    <row r="377">
      <c r="A377" s="80">
        <f>'ERROR FINAL'!A380</f>
        <v/>
      </c>
      <c r="B377" s="81">
        <f>'ERROR FINAL'!D380</f>
        <v/>
      </c>
      <c r="C377" s="314">
        <f>'ERROR FINAL'!G380</f>
        <v/>
      </c>
      <c r="D377" s="83">
        <f>'ERROR FINAL'!I380</f>
        <v/>
      </c>
      <c r="E377" s="315">
        <f>'ERROR FINAL'!U380</f>
        <v/>
      </c>
      <c r="F377" s="316">
        <f>'ERROR FINAL'!AG380</f>
        <v/>
      </c>
      <c r="G377" s="316">
        <f>'ERROR FINAL'!AS380</f>
        <v/>
      </c>
      <c r="H377" s="86">
        <f>IF('ERROR FINAL'!AT380="CONFORME","CONFORME","NO CONFORME")</f>
        <v/>
      </c>
      <c r="I377" s="87">
        <f>IF(D377=0,"Medición",IF(D377=1,"Daño físico",IF(D377=2,"Fuga",IF(D377=3,"Picado",IF(D377=4,"Desfasado",IF(D377=5,"Paralizado","¿?"))))))</f>
        <v/>
      </c>
    </row>
    <row r="378">
      <c r="A378" s="80">
        <f>'ERROR FINAL'!A381</f>
        <v/>
      </c>
      <c r="B378" s="81">
        <f>'ERROR FINAL'!D381</f>
        <v/>
      </c>
      <c r="C378" s="314">
        <f>'ERROR FINAL'!G381</f>
        <v/>
      </c>
      <c r="D378" s="83">
        <f>'ERROR FINAL'!I381</f>
        <v/>
      </c>
      <c r="E378" s="315">
        <f>'ERROR FINAL'!U381</f>
        <v/>
      </c>
      <c r="F378" s="316">
        <f>'ERROR FINAL'!AG381</f>
        <v/>
      </c>
      <c r="G378" s="316">
        <f>'ERROR FINAL'!AS381</f>
        <v/>
      </c>
      <c r="H378" s="86">
        <f>IF('ERROR FINAL'!AT381="CONFORME","CONFORME","NO CONFORME")</f>
        <v/>
      </c>
      <c r="I378" s="87">
        <f>IF(D378=0,"Medición",IF(D378=1,"Daño físico",IF(D378=2,"Fuga",IF(D378=3,"Picado",IF(D378=4,"Desfasado",IF(D378=5,"Paralizado","¿?"))))))</f>
        <v/>
      </c>
    </row>
  </sheetData>
  <autoFilter ref="A5:I18"/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378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378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378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378">
    <cfRule type="cellIs" priority="1" operator="equal" dxfId="0">
      <formula>"NO CONFORME"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E24" sqref="E24"/>
    </sheetView>
  </sheetViews>
  <sheetFormatPr baseColWidth="10" defaultRowHeight="12.75"/>
  <sheetData>
    <row r="1" ht="20.25" customHeight="1">
      <c r="A1" s="208" t="n"/>
    </row>
    <row r="2" ht="12.75" customHeight="1" thickBot="1"/>
    <row r="3">
      <c r="A3" s="317" t="inlineStr">
        <is>
          <t>Item</t>
        </is>
      </c>
      <c r="B3" s="318" t="inlineStr">
        <is>
          <t>N° de banco de ensayo</t>
        </is>
      </c>
      <c r="C3" s="319" t="inlineStr">
        <is>
          <t># Medidor</t>
        </is>
      </c>
      <c r="D3" s="227" t="inlineStr">
        <is>
          <t>Presión Estática
(Estado)</t>
        </is>
      </c>
      <c r="E3" s="217" t="inlineStr">
        <is>
          <t>Q3
E %</t>
        </is>
      </c>
      <c r="F3" s="217" t="inlineStr">
        <is>
          <t>Q2
E %</t>
        </is>
      </c>
      <c r="G3" s="217" t="inlineStr">
        <is>
          <t>Q1
E %</t>
        </is>
      </c>
      <c r="H3" s="320" t="inlineStr">
        <is>
          <t>Estado</t>
        </is>
      </c>
      <c r="I3" s="320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pageMargins left="0" right="0" top="0" bottom="0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7" sqref="D27"/>
    </sheetView>
  </sheetViews>
  <sheetFormatPr baseColWidth="10" defaultColWidth="11.5703125" defaultRowHeight="12.75"/>
  <cols>
    <col width="11.5703125" customWidth="1" style="115" min="1" max="1"/>
    <col width="16.140625" customWidth="1" style="115" min="2" max="2"/>
    <col width="11.5703125" customWidth="1" style="115" min="3" max="3"/>
    <col width="43.140625" customWidth="1" style="115" min="4" max="4"/>
    <col width="11.5703125" customWidth="1" style="115" min="5" max="16384"/>
  </cols>
  <sheetData>
    <row r="1">
      <c r="A1" s="114" t="inlineStr">
        <is>
          <t>Fecha</t>
        </is>
      </c>
      <c r="B1" s="114" t="inlineStr">
        <is>
          <t>Hoja</t>
        </is>
      </c>
      <c r="C1" s="114" t="inlineStr">
        <is>
          <t>Celdas</t>
        </is>
      </c>
      <c r="D1" s="114" t="inlineStr">
        <is>
          <t>Descripción</t>
        </is>
      </c>
    </row>
    <row r="2">
      <c r="A2" s="321" t="n">
        <v>45555</v>
      </c>
      <c r="B2" s="321" t="inlineStr">
        <is>
          <t>ERROR FINAL</t>
        </is>
      </c>
      <c r="C2" s="114" t="inlineStr">
        <is>
          <t>O4</t>
        </is>
      </c>
      <c r="D2" s="114" t="inlineStr">
        <is>
          <t>Se agregó "500" como opción</t>
        </is>
      </c>
    </row>
    <row r="3" ht="25.5" customHeight="1">
      <c r="A3" s="321" t="n">
        <v>45617</v>
      </c>
      <c r="B3" s="321" t="inlineStr">
        <is>
          <t>Hoja1</t>
        </is>
      </c>
      <c r="C3" s="114" t="inlineStr">
        <is>
          <t>B</t>
        </is>
      </c>
      <c r="D3" s="120" t="inlineStr">
        <is>
          <t>Se agregó condición para resaltar de amarillo los duplicados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2025-12-15T20:35:51Z</dcterms:modified>
  <cp:lastModifiedBy>John Oyola</cp:lastModifiedBy>
  <cp:lastPrinted>2024-02-06T20:38:46Z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